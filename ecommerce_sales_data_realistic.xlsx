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yash\Desktop\"/>
    </mc:Choice>
  </mc:AlternateContent>
  <xr:revisionPtr revIDLastSave="0" documentId="13_ncr:1_{B2ABC355-236C-4C03-B4CE-40C720DA3D44}" xr6:coauthVersionLast="47" xr6:coauthVersionMax="47" xr10:uidLastSave="{00000000-0000-0000-0000-000000000000}"/>
  <bookViews>
    <workbookView xWindow="-108" yWindow="-108" windowWidth="23256" windowHeight="12456" xr2:uid="{00000000-000D-0000-FFFF-FFFF00000000}"/>
  </bookViews>
  <sheets>
    <sheet name="Sheet2" sheetId="9" r:id="rId1"/>
    <sheet name="Raw Data" sheetId="1" r:id="rId2"/>
    <sheet name="Sheet1" sheetId="8" r:id="rId3"/>
    <sheet name="Master Table" sheetId="4" r:id="rId4"/>
    <sheet name="Cleaned Data" sheetId="3" r:id="rId5"/>
    <sheet name="Order Record" sheetId="7" r:id="rId6"/>
    <sheet name="Pivot Tables" sheetId="5" r:id="rId7"/>
    <sheet name="Dashboard" sheetId="2" r:id="rId8"/>
  </sheets>
  <definedNames>
    <definedName name="Slicer_Category">#N/A</definedName>
    <definedName name="Slicer_Discount">#N/A</definedName>
    <definedName name="Slicer_Month2">#N/A</definedName>
    <definedName name="Slicer_Product_Name">#N/A</definedName>
    <definedName name="Slicer_Region">#N/A</definedName>
    <definedName name="Slicer_Total_Sales">#N/A</definedName>
    <definedName name="Slicer_Year">#N/A</definedName>
  </definedNames>
  <calcPr calcId="191029"/>
  <pivotCaches>
    <pivotCache cacheId="0" r:id="rId9"/>
    <pivotCache cacheId="6" r:id="rId10"/>
    <pivotCache cacheId="1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7" l="1"/>
  <c r="E12" i="7" s="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3" i="3"/>
  <c r="L2" i="3"/>
  <c r="O2" i="3"/>
  <c r="S2" i="3" s="1"/>
  <c r="O3" i="3"/>
  <c r="S3" i="3" s="1"/>
  <c r="O4" i="3"/>
  <c r="S4" i="3" s="1"/>
  <c r="O5" i="3"/>
  <c r="S5" i="3" s="1"/>
  <c r="O6" i="3"/>
  <c r="S6" i="3" s="1"/>
  <c r="O7" i="3"/>
  <c r="S7" i="3" s="1"/>
  <c r="O8" i="3"/>
  <c r="S8" i="3" s="1"/>
  <c r="O9" i="3"/>
  <c r="S9" i="3" s="1"/>
  <c r="O10" i="3"/>
  <c r="S10" i="3" s="1"/>
  <c r="O11" i="3"/>
  <c r="S11" i="3" s="1"/>
  <c r="O12" i="3"/>
  <c r="S12" i="3" s="1"/>
  <c r="O13" i="3"/>
  <c r="S13" i="3" s="1"/>
  <c r="O14" i="3"/>
  <c r="S14" i="3" s="1"/>
  <c r="O15" i="3"/>
  <c r="S15" i="3" s="1"/>
  <c r="O16" i="3"/>
  <c r="S16" i="3" s="1"/>
  <c r="O17" i="3"/>
  <c r="S17" i="3" s="1"/>
  <c r="O18" i="3"/>
  <c r="S18" i="3" s="1"/>
  <c r="O19" i="3"/>
  <c r="S19" i="3" s="1"/>
  <c r="O20" i="3"/>
  <c r="S20" i="3" s="1"/>
  <c r="O21" i="3"/>
  <c r="S21" i="3" s="1"/>
  <c r="O22" i="3"/>
  <c r="S22" i="3" s="1"/>
  <c r="O23" i="3"/>
  <c r="S23" i="3" s="1"/>
  <c r="O24" i="3"/>
  <c r="S24" i="3" s="1"/>
  <c r="O25" i="3"/>
  <c r="S25" i="3" s="1"/>
  <c r="O26" i="3"/>
  <c r="S26" i="3" s="1"/>
  <c r="O27" i="3"/>
  <c r="S27" i="3" s="1"/>
  <c r="O28" i="3"/>
  <c r="S28" i="3" s="1"/>
  <c r="O29" i="3"/>
  <c r="S29" i="3" s="1"/>
  <c r="O30" i="3"/>
  <c r="S30" i="3" s="1"/>
  <c r="O31" i="3"/>
  <c r="S31" i="3" s="1"/>
  <c r="O32" i="3"/>
  <c r="S32" i="3" s="1"/>
  <c r="O33" i="3"/>
  <c r="S33" i="3" s="1"/>
  <c r="O34" i="3"/>
  <c r="S34" i="3" s="1"/>
  <c r="O35" i="3"/>
  <c r="S35" i="3" s="1"/>
  <c r="O36" i="3"/>
  <c r="S36" i="3" s="1"/>
  <c r="O37" i="3"/>
  <c r="S37" i="3" s="1"/>
  <c r="O38" i="3"/>
  <c r="S38" i="3" s="1"/>
  <c r="O39" i="3"/>
  <c r="S39" i="3" s="1"/>
  <c r="O40" i="3"/>
  <c r="S40" i="3" s="1"/>
  <c r="O41" i="3"/>
  <c r="S41" i="3" s="1"/>
  <c r="O42" i="3"/>
  <c r="S42" i="3" s="1"/>
  <c r="O43" i="3"/>
  <c r="S43" i="3" s="1"/>
  <c r="O44" i="3"/>
  <c r="S44" i="3" s="1"/>
  <c r="O45" i="3"/>
  <c r="S45" i="3" s="1"/>
  <c r="O46" i="3"/>
  <c r="S46" i="3" s="1"/>
  <c r="O47" i="3"/>
  <c r="S47" i="3" s="1"/>
  <c r="O48" i="3"/>
  <c r="S48" i="3" s="1"/>
  <c r="O49" i="3"/>
  <c r="S49" i="3" s="1"/>
  <c r="O50" i="3"/>
  <c r="S50" i="3" s="1"/>
  <c r="O51" i="3"/>
  <c r="S51" i="3" s="1"/>
  <c r="O52" i="3"/>
  <c r="S52" i="3" s="1"/>
  <c r="O53" i="3"/>
  <c r="S53" i="3" s="1"/>
  <c r="O54" i="3"/>
  <c r="S54" i="3" s="1"/>
  <c r="O55" i="3"/>
  <c r="S55" i="3" s="1"/>
  <c r="O56" i="3"/>
  <c r="S56" i="3" s="1"/>
  <c r="O57" i="3"/>
  <c r="S57" i="3" s="1"/>
  <c r="O58" i="3"/>
  <c r="S58" i="3" s="1"/>
  <c r="O59" i="3"/>
  <c r="S59" i="3" s="1"/>
  <c r="O60" i="3"/>
  <c r="S60" i="3" s="1"/>
  <c r="O61" i="3"/>
  <c r="S61" i="3" s="1"/>
  <c r="O62" i="3"/>
  <c r="S62" i="3" s="1"/>
  <c r="O63" i="3"/>
  <c r="S63" i="3" s="1"/>
  <c r="O64" i="3"/>
  <c r="S64" i="3" s="1"/>
  <c r="O65" i="3"/>
  <c r="S65" i="3" s="1"/>
  <c r="O66" i="3"/>
  <c r="S66" i="3" s="1"/>
  <c r="O67" i="3"/>
  <c r="S67" i="3" s="1"/>
  <c r="O68" i="3"/>
  <c r="S68" i="3" s="1"/>
  <c r="O69" i="3"/>
  <c r="S69" i="3" s="1"/>
  <c r="O70" i="3"/>
  <c r="S70" i="3" s="1"/>
  <c r="O71" i="3"/>
  <c r="S71" i="3" s="1"/>
  <c r="O72" i="3"/>
  <c r="S72" i="3" s="1"/>
  <c r="O73" i="3"/>
  <c r="S73" i="3" s="1"/>
  <c r="O74" i="3"/>
  <c r="S74" i="3" s="1"/>
  <c r="O75" i="3"/>
  <c r="S75" i="3" s="1"/>
  <c r="O76" i="3"/>
  <c r="S76" i="3" s="1"/>
  <c r="O77" i="3"/>
  <c r="S77" i="3" s="1"/>
  <c r="O78" i="3"/>
  <c r="S78" i="3" s="1"/>
  <c r="O79" i="3"/>
  <c r="S79" i="3" s="1"/>
  <c r="O80" i="3"/>
  <c r="S80" i="3" s="1"/>
  <c r="O81" i="3"/>
  <c r="S81" i="3" s="1"/>
  <c r="O82" i="3"/>
  <c r="S82" i="3" s="1"/>
  <c r="O83" i="3"/>
  <c r="S83" i="3" s="1"/>
  <c r="O84" i="3"/>
  <c r="S84" i="3" s="1"/>
  <c r="O85" i="3"/>
  <c r="S85" i="3" s="1"/>
  <c r="O86" i="3"/>
  <c r="S86" i="3" s="1"/>
  <c r="O87" i="3"/>
  <c r="S87" i="3" s="1"/>
  <c r="O88" i="3"/>
  <c r="S88" i="3" s="1"/>
  <c r="O89" i="3"/>
  <c r="S89" i="3" s="1"/>
  <c r="O90" i="3"/>
  <c r="S90" i="3" s="1"/>
  <c r="O91" i="3"/>
  <c r="S91" i="3" s="1"/>
  <c r="O92" i="3"/>
  <c r="S92" i="3" s="1"/>
  <c r="O93" i="3"/>
  <c r="S93" i="3" s="1"/>
  <c r="O94" i="3"/>
  <c r="S94" i="3" s="1"/>
  <c r="O95" i="3"/>
  <c r="S95" i="3" s="1"/>
  <c r="O96" i="3"/>
  <c r="S96" i="3" s="1"/>
  <c r="O97" i="3"/>
  <c r="S97" i="3" s="1"/>
  <c r="O98" i="3"/>
  <c r="S98" i="3" s="1"/>
  <c r="O99" i="3"/>
  <c r="S99" i="3" s="1"/>
  <c r="O100" i="3"/>
  <c r="S100" i="3" s="1"/>
  <c r="O101" i="3"/>
  <c r="S101" i="3" s="1"/>
  <c r="O102" i="3"/>
  <c r="S102" i="3" s="1"/>
  <c r="O103" i="3"/>
  <c r="S103" i="3" s="1"/>
  <c r="O104" i="3"/>
  <c r="S104" i="3" s="1"/>
  <c r="O105" i="3"/>
  <c r="S105" i="3" s="1"/>
  <c r="O106" i="3"/>
  <c r="S106" i="3" s="1"/>
  <c r="O107" i="3"/>
  <c r="S107" i="3" s="1"/>
  <c r="O108" i="3"/>
  <c r="S108" i="3" s="1"/>
  <c r="O109" i="3"/>
  <c r="S109" i="3" s="1"/>
  <c r="O110" i="3"/>
  <c r="S110" i="3" s="1"/>
  <c r="O111" i="3"/>
  <c r="S111" i="3" s="1"/>
  <c r="O112" i="3"/>
  <c r="S112" i="3" s="1"/>
  <c r="O113" i="3"/>
  <c r="S113" i="3" s="1"/>
  <c r="O114" i="3"/>
  <c r="S114" i="3" s="1"/>
  <c r="O115" i="3"/>
  <c r="S115" i="3" s="1"/>
  <c r="O116" i="3"/>
  <c r="S116" i="3" s="1"/>
  <c r="O117" i="3"/>
  <c r="S117" i="3" s="1"/>
  <c r="O118" i="3"/>
  <c r="S118" i="3" s="1"/>
  <c r="O119" i="3"/>
  <c r="S119" i="3" s="1"/>
  <c r="O120" i="3"/>
  <c r="S120" i="3" s="1"/>
  <c r="O121" i="3"/>
  <c r="S121" i="3" s="1"/>
  <c r="O122" i="3"/>
  <c r="S122" i="3" s="1"/>
  <c r="O123" i="3"/>
  <c r="S123" i="3" s="1"/>
  <c r="O124" i="3"/>
  <c r="S124" i="3" s="1"/>
  <c r="O125" i="3"/>
  <c r="S125" i="3" s="1"/>
  <c r="O126" i="3"/>
  <c r="S126" i="3" s="1"/>
  <c r="O127" i="3"/>
  <c r="S127" i="3" s="1"/>
  <c r="O128" i="3"/>
  <c r="S128" i="3" s="1"/>
  <c r="O129" i="3"/>
  <c r="S129" i="3" s="1"/>
  <c r="O130" i="3"/>
  <c r="S130" i="3" s="1"/>
  <c r="O131" i="3"/>
  <c r="S131" i="3" s="1"/>
  <c r="O132" i="3"/>
  <c r="S132" i="3" s="1"/>
  <c r="O133" i="3"/>
  <c r="S133" i="3" s="1"/>
  <c r="O134" i="3"/>
  <c r="S134" i="3" s="1"/>
  <c r="O135" i="3"/>
  <c r="S135" i="3" s="1"/>
  <c r="O136" i="3"/>
  <c r="S136" i="3" s="1"/>
  <c r="O137" i="3"/>
  <c r="S137" i="3" s="1"/>
  <c r="O138" i="3"/>
  <c r="S138" i="3" s="1"/>
  <c r="O139" i="3"/>
  <c r="S139" i="3" s="1"/>
  <c r="O140" i="3"/>
  <c r="S140" i="3" s="1"/>
  <c r="O141" i="3"/>
  <c r="S141" i="3" s="1"/>
  <c r="O142" i="3"/>
  <c r="S142" i="3" s="1"/>
  <c r="O143" i="3"/>
  <c r="S143" i="3" s="1"/>
  <c r="O144" i="3"/>
  <c r="S144" i="3" s="1"/>
  <c r="O145" i="3"/>
  <c r="S145" i="3" s="1"/>
  <c r="O146" i="3"/>
  <c r="S146" i="3" s="1"/>
  <c r="O147" i="3"/>
  <c r="S147" i="3" s="1"/>
  <c r="O148" i="3"/>
  <c r="S148" i="3" s="1"/>
  <c r="O149" i="3"/>
  <c r="S149" i="3" s="1"/>
  <c r="O150" i="3"/>
  <c r="S150" i="3" s="1"/>
  <c r="O151" i="3"/>
  <c r="S151" i="3" s="1"/>
  <c r="O152" i="3"/>
  <c r="S152" i="3" s="1"/>
  <c r="O153" i="3"/>
  <c r="S153" i="3" s="1"/>
  <c r="O154" i="3"/>
  <c r="S154" i="3" s="1"/>
  <c r="O155" i="3"/>
  <c r="S155" i="3" s="1"/>
  <c r="O156" i="3"/>
  <c r="S156" i="3" s="1"/>
  <c r="O157" i="3"/>
  <c r="S157" i="3" s="1"/>
  <c r="O158" i="3"/>
  <c r="S158" i="3" s="1"/>
  <c r="O159" i="3"/>
  <c r="S159" i="3" s="1"/>
  <c r="O160" i="3"/>
  <c r="S160" i="3" s="1"/>
  <c r="O161" i="3"/>
  <c r="S161" i="3" s="1"/>
  <c r="O162" i="3"/>
  <c r="S162" i="3" s="1"/>
  <c r="O163" i="3"/>
  <c r="S163" i="3" s="1"/>
  <c r="O164" i="3"/>
  <c r="S164" i="3" s="1"/>
  <c r="O165" i="3"/>
  <c r="S165" i="3" s="1"/>
  <c r="O166" i="3"/>
  <c r="S166" i="3" s="1"/>
  <c r="O167" i="3"/>
  <c r="S167" i="3" s="1"/>
  <c r="O168" i="3"/>
  <c r="S168" i="3" s="1"/>
  <c r="O169" i="3"/>
  <c r="S169" i="3" s="1"/>
  <c r="O170" i="3"/>
  <c r="S170" i="3" s="1"/>
  <c r="O171" i="3"/>
  <c r="S171" i="3" s="1"/>
  <c r="O172" i="3"/>
  <c r="S172" i="3" s="1"/>
  <c r="O173" i="3"/>
  <c r="S173" i="3" s="1"/>
  <c r="O174" i="3"/>
  <c r="S174" i="3" s="1"/>
  <c r="O175" i="3"/>
  <c r="S175" i="3" s="1"/>
  <c r="O176" i="3"/>
  <c r="S176" i="3" s="1"/>
  <c r="O177" i="3"/>
  <c r="S177" i="3" s="1"/>
  <c r="O178" i="3"/>
  <c r="S178" i="3" s="1"/>
  <c r="O179" i="3"/>
  <c r="S179" i="3" s="1"/>
  <c r="O180" i="3"/>
  <c r="S180" i="3" s="1"/>
  <c r="O181" i="3"/>
  <c r="S181" i="3" s="1"/>
  <c r="O182" i="3"/>
  <c r="S182" i="3" s="1"/>
  <c r="O183" i="3"/>
  <c r="S183" i="3" s="1"/>
  <c r="O184" i="3"/>
  <c r="S184" i="3" s="1"/>
  <c r="O185" i="3"/>
  <c r="S185" i="3" s="1"/>
  <c r="O186" i="3"/>
  <c r="S186" i="3" s="1"/>
  <c r="O187" i="3"/>
  <c r="S187" i="3" s="1"/>
  <c r="O188" i="3"/>
  <c r="S188" i="3" s="1"/>
  <c r="O189" i="3"/>
  <c r="S189" i="3" s="1"/>
  <c r="O190" i="3"/>
  <c r="S190" i="3" s="1"/>
  <c r="O191" i="3"/>
  <c r="S191" i="3" s="1"/>
  <c r="O192" i="3"/>
  <c r="S192" i="3" s="1"/>
  <c r="O193" i="3"/>
  <c r="S193" i="3" s="1"/>
  <c r="O194" i="3"/>
  <c r="S194" i="3" s="1"/>
  <c r="O195" i="3"/>
  <c r="S195" i="3" s="1"/>
  <c r="O196" i="3"/>
  <c r="S196" i="3" s="1"/>
  <c r="O197" i="3"/>
  <c r="S197" i="3" s="1"/>
  <c r="O198" i="3"/>
  <c r="S198" i="3" s="1"/>
  <c r="O199" i="3"/>
  <c r="S199" i="3" s="1"/>
  <c r="O200" i="3"/>
  <c r="S200" i="3" s="1"/>
  <c r="O201" i="3"/>
  <c r="S201" i="3" s="1"/>
  <c r="O202" i="3"/>
  <c r="S202" i="3" s="1"/>
  <c r="O203" i="3"/>
  <c r="S203" i="3" s="1"/>
  <c r="O204" i="3"/>
  <c r="S204" i="3" s="1"/>
  <c r="O205" i="3"/>
  <c r="S205" i="3" s="1"/>
  <c r="O206" i="3"/>
  <c r="S206" i="3" s="1"/>
  <c r="O207" i="3"/>
  <c r="S207" i="3" s="1"/>
  <c r="O208" i="3"/>
  <c r="S208" i="3" s="1"/>
  <c r="O209" i="3"/>
  <c r="S209" i="3" s="1"/>
  <c r="O210" i="3"/>
  <c r="S210" i="3" s="1"/>
  <c r="O211" i="3"/>
  <c r="S211" i="3" s="1"/>
  <c r="O212" i="3"/>
  <c r="S212" i="3" s="1"/>
  <c r="O213" i="3"/>
  <c r="S213" i="3" s="1"/>
  <c r="O214" i="3"/>
  <c r="S214" i="3" s="1"/>
  <c r="O215" i="3"/>
  <c r="S215" i="3" s="1"/>
  <c r="O216" i="3"/>
  <c r="S216" i="3" s="1"/>
  <c r="O217" i="3"/>
  <c r="S217" i="3" s="1"/>
  <c r="O218" i="3"/>
  <c r="S218" i="3" s="1"/>
  <c r="O219" i="3"/>
  <c r="S219" i="3" s="1"/>
  <c r="O220" i="3"/>
  <c r="S220" i="3" s="1"/>
  <c r="O221" i="3"/>
  <c r="S221" i="3" s="1"/>
  <c r="O222" i="3"/>
  <c r="S222" i="3" s="1"/>
  <c r="O223" i="3"/>
  <c r="S223" i="3" s="1"/>
  <c r="O224" i="3"/>
  <c r="S224" i="3" s="1"/>
  <c r="O225" i="3"/>
  <c r="S225" i="3" s="1"/>
  <c r="O226" i="3"/>
  <c r="S226" i="3" s="1"/>
  <c r="O227" i="3"/>
  <c r="S227" i="3" s="1"/>
  <c r="O228" i="3"/>
  <c r="S228" i="3" s="1"/>
  <c r="O229" i="3"/>
  <c r="S229" i="3" s="1"/>
  <c r="O230" i="3"/>
  <c r="S230" i="3" s="1"/>
  <c r="O231" i="3"/>
  <c r="S231" i="3" s="1"/>
  <c r="O232" i="3"/>
  <c r="S232" i="3" s="1"/>
  <c r="O233" i="3"/>
  <c r="S233" i="3" s="1"/>
  <c r="O234" i="3"/>
  <c r="S234" i="3" s="1"/>
  <c r="O235" i="3"/>
  <c r="S235" i="3" s="1"/>
  <c r="O236" i="3"/>
  <c r="S236" i="3" s="1"/>
  <c r="O237" i="3"/>
  <c r="S237" i="3" s="1"/>
  <c r="O238" i="3"/>
  <c r="S238" i="3" s="1"/>
  <c r="O239" i="3"/>
  <c r="S239" i="3" s="1"/>
  <c r="O240" i="3"/>
  <c r="S240" i="3" s="1"/>
  <c r="O241" i="3"/>
  <c r="S241" i="3" s="1"/>
  <c r="O242" i="3"/>
  <c r="S242" i="3" s="1"/>
  <c r="O243" i="3"/>
  <c r="S243" i="3" s="1"/>
  <c r="O244" i="3"/>
  <c r="S244" i="3" s="1"/>
  <c r="O245" i="3"/>
  <c r="S245" i="3" s="1"/>
  <c r="O246" i="3"/>
  <c r="S246" i="3" s="1"/>
  <c r="O247" i="3"/>
  <c r="S247" i="3" s="1"/>
  <c r="O248" i="3"/>
  <c r="S248" i="3" s="1"/>
  <c r="O249" i="3"/>
  <c r="S249" i="3" s="1"/>
  <c r="O250" i="3"/>
  <c r="S250" i="3" s="1"/>
  <c r="O251" i="3"/>
  <c r="S251" i="3" s="1"/>
  <c r="O252" i="3"/>
  <c r="S252" i="3" s="1"/>
  <c r="O253" i="3"/>
  <c r="S253" i="3" s="1"/>
  <c r="O254" i="3"/>
  <c r="S254" i="3" s="1"/>
  <c r="O255" i="3"/>
  <c r="S255" i="3" s="1"/>
  <c r="O256" i="3"/>
  <c r="S256" i="3" s="1"/>
  <c r="O257" i="3"/>
  <c r="S257" i="3" s="1"/>
  <c r="O258" i="3"/>
  <c r="S258" i="3" s="1"/>
  <c r="O259" i="3"/>
  <c r="S259" i="3" s="1"/>
  <c r="O260" i="3"/>
  <c r="S260" i="3" s="1"/>
  <c r="O261" i="3"/>
  <c r="S261" i="3" s="1"/>
  <c r="O262" i="3"/>
  <c r="S262" i="3" s="1"/>
  <c r="O263" i="3"/>
  <c r="S263" i="3" s="1"/>
  <c r="O264" i="3"/>
  <c r="S264" i="3" s="1"/>
  <c r="O265" i="3"/>
  <c r="S265" i="3" s="1"/>
  <c r="O266" i="3"/>
  <c r="S266" i="3" s="1"/>
  <c r="O267" i="3"/>
  <c r="S267" i="3" s="1"/>
  <c r="O268" i="3"/>
  <c r="S268" i="3" s="1"/>
  <c r="O269" i="3"/>
  <c r="S269" i="3" s="1"/>
  <c r="O270" i="3"/>
  <c r="S270" i="3" s="1"/>
  <c r="O271" i="3"/>
  <c r="S271" i="3" s="1"/>
  <c r="O272" i="3"/>
  <c r="S272" i="3" s="1"/>
  <c r="O273" i="3"/>
  <c r="S273" i="3" s="1"/>
  <c r="O274" i="3"/>
  <c r="S274" i="3" s="1"/>
  <c r="O275" i="3"/>
  <c r="S275" i="3" s="1"/>
  <c r="O276" i="3"/>
  <c r="S276" i="3" s="1"/>
  <c r="O277" i="3"/>
  <c r="S277" i="3" s="1"/>
  <c r="O278" i="3"/>
  <c r="S278" i="3" s="1"/>
  <c r="O279" i="3"/>
  <c r="S279" i="3" s="1"/>
  <c r="O280" i="3"/>
  <c r="S280" i="3" s="1"/>
  <c r="O281" i="3"/>
  <c r="S281" i="3" s="1"/>
  <c r="O282" i="3"/>
  <c r="S282" i="3" s="1"/>
  <c r="O283" i="3"/>
  <c r="S283" i="3" s="1"/>
  <c r="O284" i="3"/>
  <c r="S284" i="3" s="1"/>
  <c r="O285" i="3"/>
  <c r="S285" i="3" s="1"/>
  <c r="O286" i="3"/>
  <c r="S286" i="3" s="1"/>
  <c r="O287" i="3"/>
  <c r="S287" i="3" s="1"/>
  <c r="O288" i="3"/>
  <c r="S288" i="3" s="1"/>
  <c r="O289" i="3"/>
  <c r="S289" i="3" s="1"/>
  <c r="O290" i="3"/>
  <c r="S290" i="3" s="1"/>
  <c r="O291" i="3"/>
  <c r="S291" i="3" s="1"/>
  <c r="O292" i="3"/>
  <c r="S292" i="3" s="1"/>
  <c r="O293" i="3"/>
  <c r="S293" i="3" s="1"/>
  <c r="O294" i="3"/>
  <c r="S294" i="3" s="1"/>
  <c r="O295" i="3"/>
  <c r="S295" i="3" s="1"/>
  <c r="O296" i="3"/>
  <c r="S296" i="3" s="1"/>
  <c r="O297" i="3"/>
  <c r="S297" i="3" s="1"/>
  <c r="O298" i="3"/>
  <c r="S298" i="3" s="1"/>
  <c r="O299" i="3"/>
  <c r="S299" i="3" s="1"/>
  <c r="O300" i="3"/>
  <c r="S300" i="3" s="1"/>
  <c r="O301" i="3"/>
  <c r="S301" i="3" s="1"/>
  <c r="O302" i="3"/>
  <c r="S302" i="3" s="1"/>
  <c r="O303" i="3"/>
  <c r="S303" i="3" s="1"/>
  <c r="O304" i="3"/>
  <c r="S304" i="3" s="1"/>
  <c r="O305" i="3"/>
  <c r="S305" i="3" s="1"/>
  <c r="O306" i="3"/>
  <c r="S306" i="3" s="1"/>
  <c r="O307" i="3"/>
  <c r="S307" i="3" s="1"/>
  <c r="O308" i="3"/>
  <c r="S308" i="3" s="1"/>
  <c r="O309" i="3"/>
  <c r="S309" i="3" s="1"/>
  <c r="O310" i="3"/>
  <c r="S310" i="3" s="1"/>
  <c r="O311" i="3"/>
  <c r="S311" i="3" s="1"/>
  <c r="O312" i="3"/>
  <c r="S312" i="3" s="1"/>
  <c r="O313" i="3"/>
  <c r="S313" i="3" s="1"/>
  <c r="O314" i="3"/>
  <c r="S314" i="3" s="1"/>
  <c r="O315" i="3"/>
  <c r="S315" i="3" s="1"/>
  <c r="O316" i="3"/>
  <c r="S316" i="3" s="1"/>
  <c r="O317" i="3"/>
  <c r="S317" i="3" s="1"/>
  <c r="O318" i="3"/>
  <c r="S318" i="3" s="1"/>
  <c r="O319" i="3"/>
  <c r="S319" i="3" s="1"/>
  <c r="O320" i="3"/>
  <c r="S320" i="3" s="1"/>
  <c r="O321" i="3"/>
  <c r="S321" i="3" s="1"/>
  <c r="O322" i="3"/>
  <c r="S322" i="3" s="1"/>
  <c r="O323" i="3"/>
  <c r="S323" i="3" s="1"/>
  <c r="O324" i="3"/>
  <c r="S324" i="3" s="1"/>
  <c r="O325" i="3"/>
  <c r="S325" i="3" s="1"/>
  <c r="O326" i="3"/>
  <c r="S326" i="3" s="1"/>
  <c r="O327" i="3"/>
  <c r="S327" i="3" s="1"/>
  <c r="O328" i="3"/>
  <c r="S328" i="3" s="1"/>
  <c r="O329" i="3"/>
  <c r="S329" i="3" s="1"/>
  <c r="O330" i="3"/>
  <c r="S330" i="3" s="1"/>
  <c r="O331" i="3"/>
  <c r="S331" i="3" s="1"/>
  <c r="O332" i="3"/>
  <c r="S332" i="3" s="1"/>
  <c r="O333" i="3"/>
  <c r="S333" i="3" s="1"/>
  <c r="O334" i="3"/>
  <c r="S334" i="3" s="1"/>
  <c r="O335" i="3"/>
  <c r="S335" i="3" s="1"/>
  <c r="O336" i="3"/>
  <c r="S336" i="3" s="1"/>
  <c r="O337" i="3"/>
  <c r="S337" i="3" s="1"/>
  <c r="O338" i="3"/>
  <c r="S338" i="3" s="1"/>
  <c r="O339" i="3"/>
  <c r="S339" i="3" s="1"/>
  <c r="O340" i="3"/>
  <c r="S340" i="3" s="1"/>
  <c r="O341" i="3"/>
  <c r="S341" i="3" s="1"/>
  <c r="O342" i="3"/>
  <c r="S342" i="3" s="1"/>
  <c r="O343" i="3"/>
  <c r="S343" i="3" s="1"/>
  <c r="O344" i="3"/>
  <c r="S344" i="3" s="1"/>
  <c r="O345" i="3"/>
  <c r="S345" i="3" s="1"/>
  <c r="O346" i="3"/>
  <c r="S346" i="3" s="1"/>
  <c r="O347" i="3"/>
  <c r="S347" i="3" s="1"/>
  <c r="O348" i="3"/>
  <c r="S348" i="3" s="1"/>
  <c r="O349" i="3"/>
  <c r="S349" i="3" s="1"/>
  <c r="O350" i="3"/>
  <c r="S350" i="3" s="1"/>
  <c r="O351" i="3"/>
  <c r="S351" i="3" s="1"/>
  <c r="O352" i="3"/>
  <c r="S352" i="3" s="1"/>
  <c r="O353" i="3"/>
  <c r="S353" i="3" s="1"/>
  <c r="O354" i="3"/>
  <c r="S354" i="3" s="1"/>
  <c r="O355" i="3"/>
  <c r="S355" i="3" s="1"/>
  <c r="O356" i="3"/>
  <c r="S356" i="3" s="1"/>
  <c r="O357" i="3"/>
  <c r="S357" i="3" s="1"/>
  <c r="O358" i="3"/>
  <c r="S358" i="3" s="1"/>
  <c r="O359" i="3"/>
  <c r="S359" i="3" s="1"/>
  <c r="O360" i="3"/>
  <c r="S360" i="3" s="1"/>
  <c r="O361" i="3"/>
  <c r="S361" i="3" s="1"/>
  <c r="O362" i="3"/>
  <c r="S362" i="3" s="1"/>
  <c r="O363" i="3"/>
  <c r="S363" i="3" s="1"/>
  <c r="O364" i="3"/>
  <c r="S364" i="3" s="1"/>
  <c r="O365" i="3"/>
  <c r="S365" i="3" s="1"/>
  <c r="O366" i="3"/>
  <c r="S366" i="3" s="1"/>
  <c r="O367" i="3"/>
  <c r="S367" i="3" s="1"/>
  <c r="O368" i="3"/>
  <c r="S368" i="3" s="1"/>
  <c r="O369" i="3"/>
  <c r="S369" i="3" s="1"/>
  <c r="O370" i="3"/>
  <c r="S370" i="3" s="1"/>
  <c r="O371" i="3"/>
  <c r="S371" i="3" s="1"/>
  <c r="O372" i="3"/>
  <c r="S372" i="3" s="1"/>
  <c r="O373" i="3"/>
  <c r="S373" i="3" s="1"/>
  <c r="O374" i="3"/>
  <c r="S374" i="3" s="1"/>
  <c r="O375" i="3"/>
  <c r="S375" i="3" s="1"/>
  <c r="O376" i="3"/>
  <c r="S376" i="3" s="1"/>
  <c r="O377" i="3"/>
  <c r="S377" i="3" s="1"/>
  <c r="O378" i="3"/>
  <c r="S378" i="3" s="1"/>
  <c r="O379" i="3"/>
  <c r="S379" i="3" s="1"/>
  <c r="O380" i="3"/>
  <c r="S380" i="3" s="1"/>
  <c r="O381" i="3"/>
  <c r="S381" i="3" s="1"/>
  <c r="O382" i="3"/>
  <c r="S382" i="3" s="1"/>
  <c r="O383" i="3"/>
  <c r="S383" i="3" s="1"/>
  <c r="O384" i="3"/>
  <c r="S384" i="3" s="1"/>
  <c r="O385" i="3"/>
  <c r="S385" i="3" s="1"/>
  <c r="O386" i="3"/>
  <c r="S386" i="3" s="1"/>
  <c r="O387" i="3"/>
  <c r="S387" i="3" s="1"/>
  <c r="O388" i="3"/>
  <c r="S388" i="3" s="1"/>
  <c r="O389" i="3"/>
  <c r="S389" i="3" s="1"/>
  <c r="O390" i="3"/>
  <c r="S390" i="3" s="1"/>
  <c r="O391" i="3"/>
  <c r="S391" i="3" s="1"/>
  <c r="O392" i="3"/>
  <c r="S392" i="3" s="1"/>
  <c r="O393" i="3"/>
  <c r="S393" i="3" s="1"/>
  <c r="O394" i="3"/>
  <c r="S394" i="3" s="1"/>
  <c r="O395" i="3"/>
  <c r="S395" i="3" s="1"/>
  <c r="O396" i="3"/>
  <c r="S396" i="3" s="1"/>
  <c r="O397" i="3"/>
  <c r="S397" i="3" s="1"/>
  <c r="O398" i="3"/>
  <c r="S398" i="3" s="1"/>
  <c r="O399" i="3"/>
  <c r="S399" i="3" s="1"/>
  <c r="O400" i="3"/>
  <c r="S400" i="3" s="1"/>
  <c r="O401" i="3"/>
  <c r="S401" i="3" s="1"/>
  <c r="O402" i="3"/>
  <c r="S402" i="3" s="1"/>
  <c r="O403" i="3"/>
  <c r="S403" i="3" s="1"/>
  <c r="O404" i="3"/>
  <c r="S404" i="3" s="1"/>
  <c r="O405" i="3"/>
  <c r="S405" i="3" s="1"/>
  <c r="O406" i="3"/>
  <c r="S406" i="3" s="1"/>
  <c r="O407" i="3"/>
  <c r="S407" i="3" s="1"/>
  <c r="O408" i="3"/>
  <c r="S408" i="3" s="1"/>
  <c r="O409" i="3"/>
  <c r="S409" i="3" s="1"/>
  <c r="O410" i="3"/>
  <c r="S410" i="3" s="1"/>
  <c r="O411" i="3"/>
  <c r="S411" i="3" s="1"/>
  <c r="O412" i="3"/>
  <c r="S412" i="3" s="1"/>
  <c r="O413" i="3"/>
  <c r="S413" i="3" s="1"/>
  <c r="O414" i="3"/>
  <c r="S414" i="3" s="1"/>
  <c r="O415" i="3"/>
  <c r="S415" i="3" s="1"/>
  <c r="O416" i="3"/>
  <c r="S416" i="3" s="1"/>
  <c r="O417" i="3"/>
  <c r="S417" i="3" s="1"/>
  <c r="O418" i="3"/>
  <c r="S418" i="3" s="1"/>
  <c r="O419" i="3"/>
  <c r="S419" i="3" s="1"/>
  <c r="O420" i="3"/>
  <c r="S420" i="3" s="1"/>
  <c r="O421" i="3"/>
  <c r="S421" i="3" s="1"/>
  <c r="O422" i="3"/>
  <c r="S422" i="3" s="1"/>
  <c r="O423" i="3"/>
  <c r="S423" i="3" s="1"/>
  <c r="O424" i="3"/>
  <c r="S424" i="3" s="1"/>
  <c r="O425" i="3"/>
  <c r="S425" i="3" s="1"/>
  <c r="O426" i="3"/>
  <c r="S426" i="3" s="1"/>
  <c r="O427" i="3"/>
  <c r="S427" i="3" s="1"/>
  <c r="O428" i="3"/>
  <c r="S428" i="3" s="1"/>
  <c r="O429" i="3"/>
  <c r="S429" i="3" s="1"/>
  <c r="O430" i="3"/>
  <c r="S430" i="3" s="1"/>
  <c r="O431" i="3"/>
  <c r="S431" i="3" s="1"/>
  <c r="O432" i="3"/>
  <c r="S432" i="3" s="1"/>
  <c r="O433" i="3"/>
  <c r="S433" i="3" s="1"/>
  <c r="O434" i="3"/>
  <c r="S434" i="3" s="1"/>
  <c r="O435" i="3"/>
  <c r="S435" i="3" s="1"/>
  <c r="O436" i="3"/>
  <c r="S436" i="3" s="1"/>
  <c r="O437" i="3"/>
  <c r="S437" i="3" s="1"/>
  <c r="O438" i="3"/>
  <c r="S438" i="3" s="1"/>
  <c r="O439" i="3"/>
  <c r="S439" i="3" s="1"/>
  <c r="O440" i="3"/>
  <c r="S440" i="3" s="1"/>
  <c r="O441" i="3"/>
  <c r="S441" i="3" s="1"/>
  <c r="O442" i="3"/>
  <c r="S442" i="3" s="1"/>
  <c r="O443" i="3"/>
  <c r="S443" i="3" s="1"/>
  <c r="O444" i="3"/>
  <c r="S444" i="3" s="1"/>
  <c r="O445" i="3"/>
  <c r="S445" i="3" s="1"/>
  <c r="O446" i="3"/>
  <c r="S446" i="3" s="1"/>
  <c r="O447" i="3"/>
  <c r="S447" i="3" s="1"/>
  <c r="O448" i="3"/>
  <c r="S448" i="3" s="1"/>
  <c r="O449" i="3"/>
  <c r="S449" i="3" s="1"/>
  <c r="O450" i="3"/>
  <c r="S450" i="3" s="1"/>
  <c r="O451" i="3"/>
  <c r="S451" i="3" s="1"/>
  <c r="O452" i="3"/>
  <c r="S452" i="3" s="1"/>
  <c r="O453" i="3"/>
  <c r="S453" i="3" s="1"/>
  <c r="O454" i="3"/>
  <c r="S454" i="3" s="1"/>
  <c r="O455" i="3"/>
  <c r="S455" i="3" s="1"/>
  <c r="O456" i="3"/>
  <c r="S456" i="3" s="1"/>
  <c r="O457" i="3"/>
  <c r="S457" i="3" s="1"/>
  <c r="O458" i="3"/>
  <c r="S458" i="3" s="1"/>
  <c r="O459" i="3"/>
  <c r="S459" i="3" s="1"/>
  <c r="O460" i="3"/>
  <c r="S460" i="3" s="1"/>
  <c r="O461" i="3"/>
  <c r="S461" i="3" s="1"/>
  <c r="O462" i="3"/>
  <c r="S462" i="3" s="1"/>
  <c r="O463" i="3"/>
  <c r="S463" i="3" s="1"/>
  <c r="O464" i="3"/>
  <c r="S464" i="3" s="1"/>
  <c r="O465" i="3"/>
  <c r="S465" i="3" s="1"/>
  <c r="O466" i="3"/>
  <c r="S466" i="3" s="1"/>
  <c r="O467" i="3"/>
  <c r="S467" i="3" s="1"/>
  <c r="O468" i="3"/>
  <c r="S468" i="3" s="1"/>
  <c r="O469" i="3"/>
  <c r="S469" i="3" s="1"/>
  <c r="O470" i="3"/>
  <c r="S470" i="3" s="1"/>
  <c r="O471" i="3"/>
  <c r="S471" i="3" s="1"/>
  <c r="O472" i="3"/>
  <c r="S472" i="3" s="1"/>
  <c r="O473" i="3"/>
  <c r="S473" i="3" s="1"/>
  <c r="O474" i="3"/>
  <c r="S474" i="3" s="1"/>
  <c r="O475" i="3"/>
  <c r="S475" i="3" s="1"/>
  <c r="O476" i="3"/>
  <c r="S476" i="3" s="1"/>
  <c r="O477" i="3"/>
  <c r="S477" i="3" s="1"/>
  <c r="O478" i="3"/>
  <c r="S478" i="3" s="1"/>
  <c r="O479" i="3"/>
  <c r="S479" i="3" s="1"/>
  <c r="O480" i="3"/>
  <c r="S480" i="3" s="1"/>
  <c r="O481" i="3"/>
  <c r="S481" i="3" s="1"/>
  <c r="O482" i="3"/>
  <c r="S482" i="3" s="1"/>
  <c r="O483" i="3"/>
  <c r="S483" i="3" s="1"/>
  <c r="O484" i="3"/>
  <c r="S484" i="3" s="1"/>
  <c r="O485" i="3"/>
  <c r="S485" i="3" s="1"/>
  <c r="O486" i="3"/>
  <c r="S486" i="3" s="1"/>
  <c r="O487" i="3"/>
  <c r="S487" i="3" s="1"/>
  <c r="O488" i="3"/>
  <c r="S488" i="3" s="1"/>
  <c r="O489" i="3"/>
  <c r="S489" i="3" s="1"/>
  <c r="O490" i="3"/>
  <c r="S490" i="3" s="1"/>
  <c r="O491" i="3"/>
  <c r="S491" i="3" s="1"/>
  <c r="O492" i="3"/>
  <c r="S492" i="3" s="1"/>
  <c r="O493" i="3"/>
  <c r="S493" i="3" s="1"/>
  <c r="O494" i="3"/>
  <c r="S494" i="3" s="1"/>
  <c r="O495" i="3"/>
  <c r="S495" i="3" s="1"/>
  <c r="O496" i="3"/>
  <c r="S496" i="3" s="1"/>
  <c r="O497" i="3"/>
  <c r="S497" i="3" s="1"/>
  <c r="O498" i="3"/>
  <c r="S498" i="3" s="1"/>
  <c r="O499" i="3"/>
  <c r="S499" i="3" s="1"/>
  <c r="O500" i="3"/>
  <c r="S500" i="3" s="1"/>
  <c r="O501" i="3"/>
  <c r="S501" i="3" s="1"/>
  <c r="O502" i="3"/>
  <c r="S502" i="3" s="1"/>
  <c r="O503" i="3"/>
  <c r="S503" i="3" s="1"/>
  <c r="O504" i="3"/>
  <c r="S504" i="3" s="1"/>
  <c r="O505" i="3"/>
  <c r="S505" i="3" s="1"/>
  <c r="O506" i="3"/>
  <c r="S506" i="3" s="1"/>
  <c r="O507" i="3"/>
  <c r="S507" i="3" s="1"/>
  <c r="O508" i="3"/>
  <c r="S508" i="3" s="1"/>
  <c r="O509" i="3"/>
  <c r="S509" i="3" s="1"/>
  <c r="O510" i="3"/>
  <c r="S510" i="3" s="1"/>
  <c r="O511" i="3"/>
  <c r="S511" i="3" s="1"/>
  <c r="O512" i="3"/>
  <c r="S512" i="3" s="1"/>
  <c r="O513" i="3"/>
  <c r="S513" i="3" s="1"/>
  <c r="O514" i="3"/>
  <c r="S514" i="3" s="1"/>
  <c r="O515" i="3"/>
  <c r="S515" i="3" s="1"/>
  <c r="O516" i="3"/>
  <c r="S516" i="3" s="1"/>
  <c r="O517" i="3"/>
  <c r="S517" i="3" s="1"/>
  <c r="O518" i="3"/>
  <c r="S518" i="3" s="1"/>
  <c r="O519" i="3"/>
  <c r="S519" i="3" s="1"/>
  <c r="O520" i="3"/>
  <c r="S520" i="3" s="1"/>
  <c r="O521" i="3"/>
  <c r="S521" i="3" s="1"/>
  <c r="O522" i="3"/>
  <c r="S522" i="3" s="1"/>
  <c r="O523" i="3"/>
  <c r="S523" i="3" s="1"/>
  <c r="O524" i="3"/>
  <c r="S524" i="3" s="1"/>
  <c r="O525" i="3"/>
  <c r="S525" i="3" s="1"/>
  <c r="O526" i="3"/>
  <c r="S526" i="3" s="1"/>
  <c r="O527" i="3"/>
  <c r="S527" i="3" s="1"/>
  <c r="O528" i="3"/>
  <c r="S528" i="3" s="1"/>
  <c r="O529" i="3"/>
  <c r="S529" i="3" s="1"/>
  <c r="O530" i="3"/>
  <c r="S530" i="3" s="1"/>
  <c r="O531" i="3"/>
  <c r="S531" i="3" s="1"/>
  <c r="O532" i="3"/>
  <c r="S532" i="3" s="1"/>
  <c r="O533" i="3"/>
  <c r="S533" i="3" s="1"/>
  <c r="O534" i="3"/>
  <c r="S534" i="3" s="1"/>
  <c r="O535" i="3"/>
  <c r="S535" i="3" s="1"/>
  <c r="O536" i="3"/>
  <c r="S536" i="3" s="1"/>
  <c r="O537" i="3"/>
  <c r="S537" i="3" s="1"/>
  <c r="O538" i="3"/>
  <c r="S538" i="3" s="1"/>
  <c r="O539" i="3"/>
  <c r="S539" i="3" s="1"/>
  <c r="O540" i="3"/>
  <c r="S540" i="3" s="1"/>
  <c r="O541" i="3"/>
  <c r="S541" i="3" s="1"/>
  <c r="O542" i="3"/>
  <c r="S542" i="3" s="1"/>
  <c r="O543" i="3"/>
  <c r="S543" i="3" s="1"/>
  <c r="O544" i="3"/>
  <c r="S544" i="3" s="1"/>
  <c r="O545" i="3"/>
  <c r="S545" i="3" s="1"/>
  <c r="O546" i="3"/>
  <c r="S546" i="3" s="1"/>
  <c r="O547" i="3"/>
  <c r="S547" i="3" s="1"/>
  <c r="O548" i="3"/>
  <c r="S548" i="3" s="1"/>
  <c r="O549" i="3"/>
  <c r="S549" i="3" s="1"/>
  <c r="O550" i="3"/>
  <c r="S550" i="3" s="1"/>
  <c r="O551" i="3"/>
  <c r="S551" i="3" s="1"/>
  <c r="O552" i="3"/>
  <c r="S552" i="3" s="1"/>
  <c r="O553" i="3"/>
  <c r="S553" i="3" s="1"/>
  <c r="O554" i="3"/>
  <c r="S554" i="3" s="1"/>
  <c r="O555" i="3"/>
  <c r="S555" i="3" s="1"/>
  <c r="O556" i="3"/>
  <c r="S556" i="3" s="1"/>
  <c r="O557" i="3"/>
  <c r="S557" i="3" s="1"/>
  <c r="O558" i="3"/>
  <c r="S558" i="3" s="1"/>
  <c r="O559" i="3"/>
  <c r="S559" i="3" s="1"/>
  <c r="O560" i="3"/>
  <c r="S560" i="3" s="1"/>
  <c r="O561" i="3"/>
  <c r="S561" i="3" s="1"/>
  <c r="O562" i="3"/>
  <c r="S562" i="3" s="1"/>
  <c r="O563" i="3"/>
  <c r="S563" i="3" s="1"/>
  <c r="O564" i="3"/>
  <c r="S564" i="3" s="1"/>
  <c r="O565" i="3"/>
  <c r="S565" i="3" s="1"/>
  <c r="O566" i="3"/>
  <c r="S566" i="3" s="1"/>
  <c r="O567" i="3"/>
  <c r="S567" i="3" s="1"/>
  <c r="O568" i="3"/>
  <c r="S568" i="3" s="1"/>
  <c r="O569" i="3"/>
  <c r="S569" i="3" s="1"/>
  <c r="O570" i="3"/>
  <c r="S570" i="3" s="1"/>
  <c r="O571" i="3"/>
  <c r="S571" i="3" s="1"/>
  <c r="O572" i="3"/>
  <c r="S572" i="3" s="1"/>
  <c r="O573" i="3"/>
  <c r="S573" i="3" s="1"/>
  <c r="O574" i="3"/>
  <c r="S574" i="3" s="1"/>
  <c r="O575" i="3"/>
  <c r="S575" i="3" s="1"/>
  <c r="O576" i="3"/>
  <c r="S576" i="3" s="1"/>
  <c r="O577" i="3"/>
  <c r="S577" i="3" s="1"/>
  <c r="O578" i="3"/>
  <c r="S578" i="3" s="1"/>
  <c r="O579" i="3"/>
  <c r="S579" i="3" s="1"/>
  <c r="O580" i="3"/>
  <c r="S580" i="3" s="1"/>
  <c r="O581" i="3"/>
  <c r="S581" i="3" s="1"/>
  <c r="O582" i="3"/>
  <c r="S582" i="3" s="1"/>
  <c r="O583" i="3"/>
  <c r="S583" i="3" s="1"/>
  <c r="O584" i="3"/>
  <c r="S584" i="3" s="1"/>
  <c r="O585" i="3"/>
  <c r="S585" i="3" s="1"/>
  <c r="O586" i="3"/>
  <c r="S586" i="3" s="1"/>
  <c r="O587" i="3"/>
  <c r="S587" i="3" s="1"/>
  <c r="O588" i="3"/>
  <c r="S588" i="3" s="1"/>
  <c r="O589" i="3"/>
  <c r="S589" i="3" s="1"/>
  <c r="O590" i="3"/>
  <c r="S590" i="3" s="1"/>
  <c r="O591" i="3"/>
  <c r="S591" i="3" s="1"/>
  <c r="O592" i="3"/>
  <c r="S592" i="3" s="1"/>
  <c r="O593" i="3"/>
  <c r="S593" i="3" s="1"/>
  <c r="O594" i="3"/>
  <c r="S594" i="3" s="1"/>
  <c r="O595" i="3"/>
  <c r="S595" i="3" s="1"/>
  <c r="O596" i="3"/>
  <c r="S596" i="3" s="1"/>
  <c r="O597" i="3"/>
  <c r="S597" i="3" s="1"/>
  <c r="O598" i="3"/>
  <c r="S598" i="3" s="1"/>
  <c r="O599" i="3"/>
  <c r="S599" i="3" s="1"/>
  <c r="O600" i="3"/>
  <c r="S600" i="3" s="1"/>
  <c r="O601" i="3"/>
  <c r="S601" i="3" s="1"/>
  <c r="O602" i="3"/>
  <c r="S602" i="3" s="1"/>
  <c r="O603" i="3"/>
  <c r="S603" i="3" s="1"/>
  <c r="O604" i="3"/>
  <c r="S604" i="3" s="1"/>
  <c r="O605" i="3"/>
  <c r="S605" i="3" s="1"/>
  <c r="O606" i="3"/>
  <c r="S606" i="3" s="1"/>
  <c r="O607" i="3"/>
  <c r="S607" i="3" s="1"/>
  <c r="O608" i="3"/>
  <c r="S608" i="3" s="1"/>
  <c r="O609" i="3"/>
  <c r="S609" i="3" s="1"/>
  <c r="O610" i="3"/>
  <c r="S610" i="3" s="1"/>
  <c r="O611" i="3"/>
  <c r="S611" i="3" s="1"/>
  <c r="O612" i="3"/>
  <c r="S612" i="3" s="1"/>
  <c r="O613" i="3"/>
  <c r="S613" i="3" s="1"/>
  <c r="O614" i="3"/>
  <c r="S614" i="3" s="1"/>
  <c r="O615" i="3"/>
  <c r="S615" i="3" s="1"/>
  <c r="O616" i="3"/>
  <c r="S616" i="3" s="1"/>
  <c r="O617" i="3"/>
  <c r="S617" i="3" s="1"/>
  <c r="O618" i="3"/>
  <c r="S618" i="3" s="1"/>
  <c r="O619" i="3"/>
  <c r="S619" i="3" s="1"/>
  <c r="O620" i="3"/>
  <c r="S620" i="3" s="1"/>
  <c r="O621" i="3"/>
  <c r="S621" i="3" s="1"/>
  <c r="O622" i="3"/>
  <c r="S622" i="3" s="1"/>
  <c r="O623" i="3"/>
  <c r="S623" i="3" s="1"/>
  <c r="O624" i="3"/>
  <c r="S624" i="3" s="1"/>
  <c r="O625" i="3"/>
  <c r="S625" i="3" s="1"/>
  <c r="O626" i="3"/>
  <c r="S626" i="3" s="1"/>
  <c r="O627" i="3"/>
  <c r="S627" i="3" s="1"/>
  <c r="O628" i="3"/>
  <c r="S628" i="3" s="1"/>
  <c r="O629" i="3"/>
  <c r="S629" i="3" s="1"/>
  <c r="O630" i="3"/>
  <c r="S630" i="3" s="1"/>
  <c r="O631" i="3"/>
  <c r="S631" i="3" s="1"/>
  <c r="O632" i="3"/>
  <c r="S632" i="3" s="1"/>
  <c r="O633" i="3"/>
  <c r="S633" i="3" s="1"/>
  <c r="O634" i="3"/>
  <c r="S634" i="3" s="1"/>
  <c r="O635" i="3"/>
  <c r="S635" i="3" s="1"/>
  <c r="O636" i="3"/>
  <c r="S636" i="3" s="1"/>
  <c r="O637" i="3"/>
  <c r="S637" i="3" s="1"/>
  <c r="O638" i="3"/>
  <c r="S638" i="3" s="1"/>
  <c r="O639" i="3"/>
  <c r="S639" i="3" s="1"/>
  <c r="O640" i="3"/>
  <c r="S640" i="3" s="1"/>
  <c r="O641" i="3"/>
  <c r="S641" i="3" s="1"/>
  <c r="O642" i="3"/>
  <c r="S642" i="3" s="1"/>
  <c r="O643" i="3"/>
  <c r="S643" i="3" s="1"/>
  <c r="O644" i="3"/>
  <c r="S644" i="3" s="1"/>
  <c r="O645" i="3"/>
  <c r="S645" i="3" s="1"/>
  <c r="O646" i="3"/>
  <c r="S646" i="3" s="1"/>
  <c r="O647" i="3"/>
  <c r="S647" i="3" s="1"/>
  <c r="O648" i="3"/>
  <c r="S648" i="3" s="1"/>
  <c r="O649" i="3"/>
  <c r="S649" i="3" s="1"/>
  <c r="O650" i="3"/>
  <c r="S650" i="3" s="1"/>
  <c r="O651" i="3"/>
  <c r="S651" i="3" s="1"/>
  <c r="O652" i="3"/>
  <c r="S652" i="3" s="1"/>
  <c r="O653" i="3"/>
  <c r="S653" i="3" s="1"/>
  <c r="O654" i="3"/>
  <c r="S654" i="3" s="1"/>
  <c r="O655" i="3"/>
  <c r="S655" i="3" s="1"/>
  <c r="O656" i="3"/>
  <c r="S656" i="3" s="1"/>
  <c r="O657" i="3"/>
  <c r="S657" i="3" s="1"/>
  <c r="O658" i="3"/>
  <c r="S658" i="3" s="1"/>
  <c r="O659" i="3"/>
  <c r="S659" i="3" s="1"/>
  <c r="O660" i="3"/>
  <c r="S660" i="3" s="1"/>
  <c r="O661" i="3"/>
  <c r="S661" i="3" s="1"/>
  <c r="O662" i="3"/>
  <c r="S662" i="3" s="1"/>
  <c r="O663" i="3"/>
  <c r="S663" i="3" s="1"/>
  <c r="O664" i="3"/>
  <c r="S664" i="3" s="1"/>
  <c r="O665" i="3"/>
  <c r="S665" i="3" s="1"/>
  <c r="O666" i="3"/>
  <c r="S666" i="3" s="1"/>
  <c r="O667" i="3"/>
  <c r="S667" i="3" s="1"/>
  <c r="O668" i="3"/>
  <c r="S668" i="3" s="1"/>
  <c r="O669" i="3"/>
  <c r="S669" i="3" s="1"/>
  <c r="O670" i="3"/>
  <c r="S670" i="3" s="1"/>
  <c r="O671" i="3"/>
  <c r="S671" i="3" s="1"/>
  <c r="O672" i="3"/>
  <c r="S672" i="3" s="1"/>
  <c r="O673" i="3"/>
  <c r="S673" i="3" s="1"/>
  <c r="O674" i="3"/>
  <c r="S674" i="3" s="1"/>
  <c r="O675" i="3"/>
  <c r="S675" i="3" s="1"/>
  <c r="O676" i="3"/>
  <c r="S676" i="3" s="1"/>
  <c r="O677" i="3"/>
  <c r="S677" i="3" s="1"/>
  <c r="O678" i="3"/>
  <c r="S678" i="3" s="1"/>
  <c r="O679" i="3"/>
  <c r="S679" i="3" s="1"/>
  <c r="O680" i="3"/>
  <c r="S680" i="3" s="1"/>
  <c r="O681" i="3"/>
  <c r="S681" i="3" s="1"/>
  <c r="O682" i="3"/>
  <c r="S682" i="3" s="1"/>
  <c r="O683" i="3"/>
  <c r="S683" i="3" s="1"/>
  <c r="O684" i="3"/>
  <c r="S684" i="3" s="1"/>
  <c r="O685" i="3"/>
  <c r="S685" i="3" s="1"/>
  <c r="O686" i="3"/>
  <c r="S686" i="3" s="1"/>
  <c r="O687" i="3"/>
  <c r="S687" i="3" s="1"/>
  <c r="O688" i="3"/>
  <c r="S688" i="3" s="1"/>
  <c r="O689" i="3"/>
  <c r="S689" i="3" s="1"/>
  <c r="O690" i="3"/>
  <c r="S690" i="3" s="1"/>
  <c r="O691" i="3"/>
  <c r="S691" i="3" s="1"/>
  <c r="O692" i="3"/>
  <c r="S692" i="3" s="1"/>
  <c r="O693" i="3"/>
  <c r="S693" i="3" s="1"/>
  <c r="O694" i="3"/>
  <c r="S694" i="3" s="1"/>
  <c r="O695" i="3"/>
  <c r="S695" i="3" s="1"/>
  <c r="O696" i="3"/>
  <c r="S696" i="3" s="1"/>
  <c r="O697" i="3"/>
  <c r="S697" i="3" s="1"/>
  <c r="O698" i="3"/>
  <c r="S698" i="3" s="1"/>
  <c r="O699" i="3"/>
  <c r="S699" i="3" s="1"/>
  <c r="O700" i="3"/>
  <c r="S700" i="3" s="1"/>
  <c r="O701" i="3"/>
  <c r="S701" i="3" s="1"/>
  <c r="O702" i="3"/>
  <c r="S702" i="3" s="1"/>
  <c r="O703" i="3"/>
  <c r="S703" i="3" s="1"/>
  <c r="O704" i="3"/>
  <c r="S704" i="3" s="1"/>
  <c r="O705" i="3"/>
  <c r="S705" i="3" s="1"/>
  <c r="O706" i="3"/>
  <c r="S706" i="3" s="1"/>
  <c r="O707" i="3"/>
  <c r="S707" i="3" s="1"/>
  <c r="O708" i="3"/>
  <c r="S708" i="3" s="1"/>
  <c r="O709" i="3"/>
  <c r="S709" i="3" s="1"/>
  <c r="O710" i="3"/>
  <c r="S710" i="3" s="1"/>
  <c r="O711" i="3"/>
  <c r="S711" i="3" s="1"/>
  <c r="O712" i="3"/>
  <c r="S712" i="3" s="1"/>
  <c r="O713" i="3"/>
  <c r="S713" i="3" s="1"/>
  <c r="O714" i="3"/>
  <c r="S714" i="3" s="1"/>
  <c r="O715" i="3"/>
  <c r="S715" i="3" s="1"/>
  <c r="O716" i="3"/>
  <c r="S716" i="3" s="1"/>
  <c r="O717" i="3"/>
  <c r="S717" i="3" s="1"/>
  <c r="O718" i="3"/>
  <c r="S718" i="3" s="1"/>
  <c r="O719" i="3"/>
  <c r="S719" i="3" s="1"/>
  <c r="O720" i="3"/>
  <c r="S720" i="3" s="1"/>
  <c r="O721" i="3"/>
  <c r="S721" i="3" s="1"/>
  <c r="O722" i="3"/>
  <c r="S722" i="3" s="1"/>
  <c r="O723" i="3"/>
  <c r="S723" i="3" s="1"/>
  <c r="O724" i="3"/>
  <c r="S724" i="3" s="1"/>
  <c r="O725" i="3"/>
  <c r="S725" i="3" s="1"/>
  <c r="O726" i="3"/>
  <c r="S726" i="3" s="1"/>
  <c r="O727" i="3"/>
  <c r="S727" i="3" s="1"/>
  <c r="O728" i="3"/>
  <c r="S728" i="3" s="1"/>
  <c r="O729" i="3"/>
  <c r="S729" i="3" s="1"/>
  <c r="O730" i="3"/>
  <c r="S730" i="3" s="1"/>
  <c r="O731" i="3"/>
  <c r="S731" i="3" s="1"/>
  <c r="O732" i="3"/>
  <c r="S732" i="3" s="1"/>
  <c r="O733" i="3"/>
  <c r="S733" i="3" s="1"/>
  <c r="O734" i="3"/>
  <c r="S734" i="3" s="1"/>
  <c r="O735" i="3"/>
  <c r="S735" i="3" s="1"/>
  <c r="O736" i="3"/>
  <c r="S736" i="3" s="1"/>
  <c r="O737" i="3"/>
  <c r="S737" i="3" s="1"/>
  <c r="O738" i="3"/>
  <c r="S738" i="3" s="1"/>
  <c r="O739" i="3"/>
  <c r="S739" i="3" s="1"/>
  <c r="O740" i="3"/>
  <c r="S740" i="3" s="1"/>
  <c r="O741" i="3"/>
  <c r="S741" i="3" s="1"/>
  <c r="O742" i="3"/>
  <c r="S742" i="3" s="1"/>
  <c r="O743" i="3"/>
  <c r="S743" i="3" s="1"/>
  <c r="O744" i="3"/>
  <c r="S744" i="3" s="1"/>
  <c r="O745" i="3"/>
  <c r="S745" i="3" s="1"/>
  <c r="O746" i="3"/>
  <c r="S746" i="3" s="1"/>
  <c r="O747" i="3"/>
  <c r="S747" i="3" s="1"/>
  <c r="O748" i="3"/>
  <c r="S748" i="3" s="1"/>
  <c r="O749" i="3"/>
  <c r="S749" i="3" s="1"/>
  <c r="O750" i="3"/>
  <c r="S750" i="3" s="1"/>
  <c r="O751" i="3"/>
  <c r="S751" i="3" s="1"/>
  <c r="O752" i="3"/>
  <c r="S752" i="3" s="1"/>
  <c r="O753" i="3"/>
  <c r="S753" i="3" s="1"/>
  <c r="O754" i="3"/>
  <c r="S754" i="3" s="1"/>
  <c r="O755" i="3"/>
  <c r="S755" i="3" s="1"/>
  <c r="O756" i="3"/>
  <c r="S756" i="3" s="1"/>
  <c r="O757" i="3"/>
  <c r="S757" i="3" s="1"/>
  <c r="O758" i="3"/>
  <c r="S758" i="3" s="1"/>
  <c r="O759" i="3"/>
  <c r="S759" i="3" s="1"/>
  <c r="O760" i="3"/>
  <c r="S760" i="3" s="1"/>
  <c r="O761" i="3"/>
  <c r="S761" i="3" s="1"/>
  <c r="O762" i="3"/>
  <c r="S762" i="3" s="1"/>
  <c r="O763" i="3"/>
  <c r="S763" i="3" s="1"/>
  <c r="O764" i="3"/>
  <c r="S764" i="3" s="1"/>
  <c r="O765" i="3"/>
  <c r="S765" i="3" s="1"/>
  <c r="O766" i="3"/>
  <c r="S766" i="3" s="1"/>
  <c r="O767" i="3"/>
  <c r="S767" i="3" s="1"/>
  <c r="O768" i="3"/>
  <c r="S768" i="3" s="1"/>
  <c r="O769" i="3"/>
  <c r="S769" i="3" s="1"/>
  <c r="O770" i="3"/>
  <c r="S770" i="3" s="1"/>
  <c r="O771" i="3"/>
  <c r="S771" i="3" s="1"/>
  <c r="O772" i="3"/>
  <c r="S772" i="3" s="1"/>
  <c r="O773" i="3"/>
  <c r="S773" i="3" s="1"/>
  <c r="O774" i="3"/>
  <c r="S774" i="3" s="1"/>
  <c r="O775" i="3"/>
  <c r="S775" i="3" s="1"/>
  <c r="O776" i="3"/>
  <c r="S776" i="3" s="1"/>
  <c r="O777" i="3"/>
  <c r="S777" i="3" s="1"/>
  <c r="O778" i="3"/>
  <c r="S778" i="3" s="1"/>
  <c r="O779" i="3"/>
  <c r="S779" i="3" s="1"/>
  <c r="O780" i="3"/>
  <c r="S780" i="3" s="1"/>
  <c r="O781" i="3"/>
  <c r="S781" i="3" s="1"/>
  <c r="O782" i="3"/>
  <c r="S782" i="3" s="1"/>
  <c r="O783" i="3"/>
  <c r="S783" i="3" s="1"/>
  <c r="O784" i="3"/>
  <c r="S784" i="3" s="1"/>
  <c r="O785" i="3"/>
  <c r="S785" i="3" s="1"/>
  <c r="O786" i="3"/>
  <c r="S786" i="3" s="1"/>
  <c r="O787" i="3"/>
  <c r="S787" i="3" s="1"/>
  <c r="O788" i="3"/>
  <c r="S788" i="3" s="1"/>
  <c r="O789" i="3"/>
  <c r="S789" i="3" s="1"/>
  <c r="O790" i="3"/>
  <c r="S790" i="3" s="1"/>
  <c r="O791" i="3"/>
  <c r="S791" i="3" s="1"/>
  <c r="O792" i="3"/>
  <c r="S792" i="3" s="1"/>
  <c r="O793" i="3"/>
  <c r="S793" i="3" s="1"/>
  <c r="O794" i="3"/>
  <c r="S794" i="3" s="1"/>
  <c r="O795" i="3"/>
  <c r="S795" i="3" s="1"/>
  <c r="O796" i="3"/>
  <c r="S796" i="3" s="1"/>
  <c r="O797" i="3"/>
  <c r="S797" i="3" s="1"/>
  <c r="O798" i="3"/>
  <c r="S798" i="3" s="1"/>
  <c r="O799" i="3"/>
  <c r="S799" i="3" s="1"/>
  <c r="O800" i="3"/>
  <c r="S800" i="3" s="1"/>
  <c r="O801" i="3"/>
  <c r="S801" i="3" s="1"/>
  <c r="O802" i="3"/>
  <c r="S802" i="3" s="1"/>
  <c r="O803" i="3"/>
  <c r="S803" i="3" s="1"/>
  <c r="O804" i="3"/>
  <c r="S804" i="3" s="1"/>
  <c r="O805" i="3"/>
  <c r="S805" i="3" s="1"/>
  <c r="O806" i="3"/>
  <c r="S806" i="3" s="1"/>
  <c r="O807" i="3"/>
  <c r="S807" i="3" s="1"/>
  <c r="O808" i="3"/>
  <c r="S808" i="3" s="1"/>
  <c r="O809" i="3"/>
  <c r="S809" i="3" s="1"/>
  <c r="O810" i="3"/>
  <c r="S810" i="3" s="1"/>
  <c r="O811" i="3"/>
  <c r="S811" i="3" s="1"/>
  <c r="O812" i="3"/>
  <c r="S812" i="3" s="1"/>
  <c r="O813" i="3"/>
  <c r="S813" i="3" s="1"/>
  <c r="O814" i="3"/>
  <c r="S814" i="3" s="1"/>
  <c r="O815" i="3"/>
  <c r="S815" i="3" s="1"/>
  <c r="O816" i="3"/>
  <c r="S816" i="3" s="1"/>
  <c r="O817" i="3"/>
  <c r="S817" i="3" s="1"/>
  <c r="O818" i="3"/>
  <c r="S818" i="3" s="1"/>
  <c r="O819" i="3"/>
  <c r="S819" i="3" s="1"/>
  <c r="O820" i="3"/>
  <c r="S820" i="3" s="1"/>
  <c r="O821" i="3"/>
  <c r="S821" i="3" s="1"/>
  <c r="O822" i="3"/>
  <c r="S822" i="3" s="1"/>
  <c r="O823" i="3"/>
  <c r="S823" i="3" s="1"/>
  <c r="O824" i="3"/>
  <c r="S824" i="3" s="1"/>
  <c r="O825" i="3"/>
  <c r="S825" i="3" s="1"/>
  <c r="O826" i="3"/>
  <c r="S826" i="3" s="1"/>
  <c r="O827" i="3"/>
  <c r="S827" i="3" s="1"/>
  <c r="O828" i="3"/>
  <c r="S828" i="3" s="1"/>
  <c r="O829" i="3"/>
  <c r="S829" i="3" s="1"/>
  <c r="O830" i="3"/>
  <c r="S830" i="3" s="1"/>
  <c r="O831" i="3"/>
  <c r="S831" i="3" s="1"/>
  <c r="O832" i="3"/>
  <c r="S832" i="3" s="1"/>
  <c r="O833" i="3"/>
  <c r="S833" i="3" s="1"/>
  <c r="O834" i="3"/>
  <c r="S834" i="3" s="1"/>
  <c r="O835" i="3"/>
  <c r="S835" i="3" s="1"/>
  <c r="O836" i="3"/>
  <c r="S836" i="3" s="1"/>
  <c r="O837" i="3"/>
  <c r="S837" i="3" s="1"/>
  <c r="O838" i="3"/>
  <c r="S838" i="3" s="1"/>
  <c r="O839" i="3"/>
  <c r="S839" i="3" s="1"/>
  <c r="O840" i="3"/>
  <c r="S840" i="3" s="1"/>
  <c r="O841" i="3"/>
  <c r="S841" i="3" s="1"/>
  <c r="O842" i="3"/>
  <c r="S842" i="3" s="1"/>
  <c r="O843" i="3"/>
  <c r="S843" i="3" s="1"/>
  <c r="O844" i="3"/>
  <c r="S844" i="3" s="1"/>
  <c r="O845" i="3"/>
  <c r="S845" i="3" s="1"/>
  <c r="O846" i="3"/>
  <c r="S846" i="3" s="1"/>
  <c r="O847" i="3"/>
  <c r="S847" i="3" s="1"/>
  <c r="O848" i="3"/>
  <c r="S848" i="3" s="1"/>
  <c r="O849" i="3"/>
  <c r="S849" i="3" s="1"/>
  <c r="O850" i="3"/>
  <c r="S850" i="3" s="1"/>
  <c r="O851" i="3"/>
  <c r="S851" i="3" s="1"/>
  <c r="O852" i="3"/>
  <c r="S852" i="3" s="1"/>
  <c r="O853" i="3"/>
  <c r="S853" i="3" s="1"/>
  <c r="O854" i="3"/>
  <c r="S854" i="3" s="1"/>
  <c r="O855" i="3"/>
  <c r="S855" i="3" s="1"/>
  <c r="O856" i="3"/>
  <c r="S856" i="3" s="1"/>
  <c r="O857" i="3"/>
  <c r="S857" i="3" s="1"/>
  <c r="O858" i="3"/>
  <c r="S858" i="3" s="1"/>
  <c r="O859" i="3"/>
  <c r="S859" i="3" s="1"/>
  <c r="O860" i="3"/>
  <c r="S860" i="3" s="1"/>
  <c r="O861" i="3"/>
  <c r="S861" i="3" s="1"/>
  <c r="O862" i="3"/>
  <c r="S862" i="3" s="1"/>
  <c r="O863" i="3"/>
  <c r="S863" i="3" s="1"/>
  <c r="O864" i="3"/>
  <c r="S864" i="3" s="1"/>
  <c r="O865" i="3"/>
  <c r="S865" i="3" s="1"/>
  <c r="O866" i="3"/>
  <c r="S866" i="3" s="1"/>
  <c r="O867" i="3"/>
  <c r="S867" i="3" s="1"/>
  <c r="O868" i="3"/>
  <c r="S868" i="3" s="1"/>
  <c r="O869" i="3"/>
  <c r="S869" i="3" s="1"/>
  <c r="O870" i="3"/>
  <c r="S870" i="3" s="1"/>
  <c r="O871" i="3"/>
  <c r="S871" i="3" s="1"/>
  <c r="O872" i="3"/>
  <c r="S872" i="3" s="1"/>
  <c r="O873" i="3"/>
  <c r="S873" i="3" s="1"/>
  <c r="O874" i="3"/>
  <c r="S874" i="3" s="1"/>
  <c r="O875" i="3"/>
  <c r="S875" i="3" s="1"/>
  <c r="O876" i="3"/>
  <c r="S876" i="3" s="1"/>
  <c r="O877" i="3"/>
  <c r="S877" i="3" s="1"/>
  <c r="O878" i="3"/>
  <c r="S878" i="3" s="1"/>
  <c r="O879" i="3"/>
  <c r="S879" i="3" s="1"/>
  <c r="O880" i="3"/>
  <c r="S880" i="3" s="1"/>
  <c r="O881" i="3"/>
  <c r="S881" i="3" s="1"/>
  <c r="O882" i="3"/>
  <c r="S882" i="3" s="1"/>
  <c r="O883" i="3"/>
  <c r="S883" i="3" s="1"/>
  <c r="O884" i="3"/>
  <c r="S884" i="3" s="1"/>
  <c r="O885" i="3"/>
  <c r="S885" i="3" s="1"/>
  <c r="O886" i="3"/>
  <c r="S886" i="3" s="1"/>
  <c r="O887" i="3"/>
  <c r="S887" i="3" s="1"/>
  <c r="O888" i="3"/>
  <c r="S888" i="3" s="1"/>
  <c r="O889" i="3"/>
  <c r="S889" i="3" s="1"/>
  <c r="O890" i="3"/>
  <c r="S890" i="3" s="1"/>
  <c r="O891" i="3"/>
  <c r="S891" i="3" s="1"/>
  <c r="O892" i="3"/>
  <c r="S892" i="3" s="1"/>
  <c r="O893" i="3"/>
  <c r="S893" i="3" s="1"/>
  <c r="O894" i="3"/>
  <c r="S894" i="3" s="1"/>
  <c r="O895" i="3"/>
  <c r="S895" i="3" s="1"/>
  <c r="O896" i="3"/>
  <c r="S896" i="3" s="1"/>
  <c r="O897" i="3"/>
  <c r="S897" i="3" s="1"/>
  <c r="O898" i="3"/>
  <c r="S898" i="3" s="1"/>
  <c r="O899" i="3"/>
  <c r="S899" i="3" s="1"/>
  <c r="O900" i="3"/>
  <c r="S900" i="3" s="1"/>
  <c r="O901" i="3"/>
  <c r="S901" i="3" s="1"/>
  <c r="O902" i="3"/>
  <c r="S902" i="3" s="1"/>
  <c r="O903" i="3"/>
  <c r="S903" i="3" s="1"/>
  <c r="O904" i="3"/>
  <c r="S904" i="3" s="1"/>
  <c r="O905" i="3"/>
  <c r="S905" i="3" s="1"/>
  <c r="O906" i="3"/>
  <c r="S906" i="3" s="1"/>
  <c r="O907" i="3"/>
  <c r="S907" i="3" s="1"/>
  <c r="O908" i="3"/>
  <c r="S908" i="3" s="1"/>
  <c r="O909" i="3"/>
  <c r="S909" i="3" s="1"/>
  <c r="O910" i="3"/>
  <c r="S910" i="3" s="1"/>
  <c r="O911" i="3"/>
  <c r="S911" i="3" s="1"/>
  <c r="O912" i="3"/>
  <c r="S912" i="3" s="1"/>
  <c r="O913" i="3"/>
  <c r="S913" i="3" s="1"/>
  <c r="O914" i="3"/>
  <c r="S914" i="3" s="1"/>
  <c r="O915" i="3"/>
  <c r="S915" i="3" s="1"/>
  <c r="O916" i="3"/>
  <c r="S916" i="3" s="1"/>
  <c r="O917" i="3"/>
  <c r="S917" i="3" s="1"/>
  <c r="O918" i="3"/>
  <c r="S918" i="3" s="1"/>
  <c r="O919" i="3"/>
  <c r="S919" i="3" s="1"/>
  <c r="O920" i="3"/>
  <c r="S920" i="3" s="1"/>
  <c r="O921" i="3"/>
  <c r="S921" i="3" s="1"/>
  <c r="O922" i="3"/>
  <c r="S922" i="3" s="1"/>
  <c r="O923" i="3"/>
  <c r="S923" i="3" s="1"/>
  <c r="O924" i="3"/>
  <c r="S924" i="3" s="1"/>
  <c r="O925" i="3"/>
  <c r="S925" i="3" s="1"/>
  <c r="O926" i="3"/>
  <c r="S926" i="3" s="1"/>
  <c r="O927" i="3"/>
  <c r="S927" i="3" s="1"/>
  <c r="O928" i="3"/>
  <c r="S928" i="3" s="1"/>
  <c r="O929" i="3"/>
  <c r="S929" i="3" s="1"/>
  <c r="O930" i="3"/>
  <c r="S930" i="3" s="1"/>
  <c r="O931" i="3"/>
  <c r="S931" i="3" s="1"/>
  <c r="O932" i="3"/>
  <c r="S932" i="3" s="1"/>
  <c r="O933" i="3"/>
  <c r="S933" i="3" s="1"/>
  <c r="O934" i="3"/>
  <c r="S934" i="3" s="1"/>
  <c r="O935" i="3"/>
  <c r="S935" i="3" s="1"/>
  <c r="O936" i="3"/>
  <c r="S936" i="3" s="1"/>
  <c r="O937" i="3"/>
  <c r="S937" i="3" s="1"/>
  <c r="O938" i="3"/>
  <c r="S938" i="3" s="1"/>
  <c r="O939" i="3"/>
  <c r="S939" i="3" s="1"/>
  <c r="O940" i="3"/>
  <c r="S940" i="3" s="1"/>
  <c r="O941" i="3"/>
  <c r="S941" i="3" s="1"/>
  <c r="O942" i="3"/>
  <c r="S942" i="3" s="1"/>
  <c r="O943" i="3"/>
  <c r="S943" i="3" s="1"/>
  <c r="O944" i="3"/>
  <c r="S944" i="3" s="1"/>
  <c r="O945" i="3"/>
  <c r="S945" i="3" s="1"/>
  <c r="O946" i="3"/>
  <c r="S946" i="3" s="1"/>
  <c r="O947" i="3"/>
  <c r="S947" i="3" s="1"/>
  <c r="O948" i="3"/>
  <c r="S948" i="3" s="1"/>
  <c r="O949" i="3"/>
  <c r="S949" i="3" s="1"/>
  <c r="O950" i="3"/>
  <c r="S950" i="3" s="1"/>
  <c r="O951" i="3"/>
  <c r="S951" i="3" s="1"/>
  <c r="O952" i="3"/>
  <c r="S952" i="3" s="1"/>
  <c r="O953" i="3"/>
  <c r="S953" i="3" s="1"/>
  <c r="O954" i="3"/>
  <c r="S954" i="3" s="1"/>
  <c r="O955" i="3"/>
  <c r="S955" i="3" s="1"/>
  <c r="O956" i="3"/>
  <c r="S956" i="3" s="1"/>
  <c r="O957" i="3"/>
  <c r="S957" i="3" s="1"/>
  <c r="O958" i="3"/>
  <c r="S958" i="3" s="1"/>
  <c r="O959" i="3"/>
  <c r="S959" i="3" s="1"/>
  <c r="O960" i="3"/>
  <c r="S960" i="3" s="1"/>
  <c r="O961" i="3"/>
  <c r="S961" i="3" s="1"/>
  <c r="O962" i="3"/>
  <c r="S962" i="3" s="1"/>
  <c r="O963" i="3"/>
  <c r="S963" i="3" s="1"/>
  <c r="O964" i="3"/>
  <c r="S964" i="3" s="1"/>
  <c r="O965" i="3"/>
  <c r="S965" i="3" s="1"/>
  <c r="O966" i="3"/>
  <c r="S966" i="3" s="1"/>
  <c r="O967" i="3"/>
  <c r="S967" i="3" s="1"/>
  <c r="O968" i="3"/>
  <c r="S968" i="3" s="1"/>
  <c r="O969" i="3"/>
  <c r="S969" i="3" s="1"/>
  <c r="O970" i="3"/>
  <c r="S970" i="3" s="1"/>
  <c r="O971" i="3"/>
  <c r="S971" i="3" s="1"/>
  <c r="O972" i="3"/>
  <c r="S972" i="3" s="1"/>
  <c r="O973" i="3"/>
  <c r="S973" i="3" s="1"/>
  <c r="O974" i="3"/>
  <c r="S974" i="3" s="1"/>
  <c r="O975" i="3"/>
  <c r="S975" i="3" s="1"/>
  <c r="O976" i="3"/>
  <c r="S976" i="3" s="1"/>
  <c r="O977" i="3"/>
  <c r="S977" i="3" s="1"/>
  <c r="O978" i="3"/>
  <c r="S978" i="3" s="1"/>
  <c r="O979" i="3"/>
  <c r="S979" i="3" s="1"/>
  <c r="O980" i="3"/>
  <c r="S980" i="3" s="1"/>
  <c r="O981" i="3"/>
  <c r="S981" i="3" s="1"/>
  <c r="O982" i="3"/>
  <c r="S982" i="3" s="1"/>
  <c r="O983" i="3"/>
  <c r="S983" i="3" s="1"/>
  <c r="O984" i="3"/>
  <c r="S984" i="3" s="1"/>
  <c r="O985" i="3"/>
  <c r="S985" i="3" s="1"/>
  <c r="O986" i="3"/>
  <c r="S986" i="3" s="1"/>
  <c r="O987" i="3"/>
  <c r="S987" i="3" s="1"/>
  <c r="O988" i="3"/>
  <c r="S988" i="3" s="1"/>
  <c r="O989" i="3"/>
  <c r="S989" i="3" s="1"/>
  <c r="O990" i="3"/>
  <c r="S990" i="3" s="1"/>
  <c r="O991" i="3"/>
  <c r="S991" i="3" s="1"/>
  <c r="O992" i="3"/>
  <c r="S992" i="3" s="1"/>
  <c r="O993" i="3"/>
  <c r="S993" i="3" s="1"/>
  <c r="O994" i="3"/>
  <c r="S994" i="3" s="1"/>
  <c r="O995" i="3"/>
  <c r="S995" i="3" s="1"/>
  <c r="O996" i="3"/>
  <c r="S996" i="3" s="1"/>
  <c r="O997" i="3"/>
  <c r="S997" i="3" s="1"/>
  <c r="O998" i="3"/>
  <c r="S998" i="3" s="1"/>
  <c r="O999" i="3"/>
  <c r="S999" i="3" s="1"/>
  <c r="O1000" i="3"/>
  <c r="S1000" i="3" s="1"/>
  <c r="O1001" i="3"/>
  <c r="S1001" i="3" s="1"/>
  <c r="O1002" i="3"/>
  <c r="S1002" i="3" s="1"/>
  <c r="O1003" i="3"/>
  <c r="S1003" i="3" s="1"/>
  <c r="O1004" i="3"/>
  <c r="S1004" i="3" s="1"/>
  <c r="O1005" i="3"/>
  <c r="S1005" i="3" s="1"/>
  <c r="O1006" i="3"/>
  <c r="S1006" i="3" s="1"/>
  <c r="O1007" i="3"/>
  <c r="S1007" i="3" s="1"/>
  <c r="O1008" i="3"/>
  <c r="S1008" i="3" s="1"/>
  <c r="O1009" i="3"/>
  <c r="S1009" i="3" s="1"/>
  <c r="O1010" i="3"/>
  <c r="S1010" i="3" s="1"/>
  <c r="O1011" i="3"/>
  <c r="S1011" i="3" s="1"/>
  <c r="O1012" i="3"/>
  <c r="S1012" i="3" s="1"/>
  <c r="O1013" i="3"/>
  <c r="S1013" i="3" s="1"/>
  <c r="O1014" i="3"/>
  <c r="S1014" i="3" s="1"/>
  <c r="O1015" i="3"/>
  <c r="S1015" i="3" s="1"/>
  <c r="O1016" i="3"/>
  <c r="S1016" i="3" s="1"/>
  <c r="O1017" i="3"/>
  <c r="S1017" i="3" s="1"/>
  <c r="O1018" i="3"/>
  <c r="S1018" i="3" s="1"/>
  <c r="O1019" i="3"/>
  <c r="S1019" i="3" s="1"/>
  <c r="O1020" i="3"/>
  <c r="S1020" i="3" s="1"/>
  <c r="O1021" i="3"/>
  <c r="S1021" i="3" s="1"/>
  <c r="O1022" i="3"/>
  <c r="S1022" i="3" s="1"/>
  <c r="O1023" i="3"/>
  <c r="S1023" i="3" s="1"/>
  <c r="O1024" i="3"/>
  <c r="S1024" i="3" s="1"/>
  <c r="O1025" i="3"/>
  <c r="S1025" i="3" s="1"/>
  <c r="O1026" i="3"/>
  <c r="S1026" i="3" s="1"/>
  <c r="O1027" i="3"/>
  <c r="S1027" i="3" s="1"/>
  <c r="O1028" i="3"/>
  <c r="S1028" i="3" s="1"/>
  <c r="O1029" i="3"/>
  <c r="S1029" i="3" s="1"/>
  <c r="O1030" i="3"/>
  <c r="S1030" i="3" s="1"/>
  <c r="O1031" i="3"/>
  <c r="S1031" i="3" s="1"/>
  <c r="O1032" i="3"/>
  <c r="S1032" i="3" s="1"/>
  <c r="O1033" i="3"/>
  <c r="S1033" i="3" s="1"/>
  <c r="O1034" i="3"/>
  <c r="S1034" i="3" s="1"/>
  <c r="O1035" i="3"/>
  <c r="S1035" i="3" s="1"/>
  <c r="O1036" i="3"/>
  <c r="S1036" i="3" s="1"/>
  <c r="O1037" i="3"/>
  <c r="S1037" i="3" s="1"/>
  <c r="O1038" i="3"/>
  <c r="S1038" i="3" s="1"/>
  <c r="O1039" i="3"/>
  <c r="S1039" i="3" s="1"/>
  <c r="O1040" i="3"/>
  <c r="S1040" i="3" s="1"/>
  <c r="O1041" i="3"/>
  <c r="S1041" i="3" s="1"/>
  <c r="O1042" i="3"/>
  <c r="S1042" i="3" s="1"/>
  <c r="O1043" i="3"/>
  <c r="S1043" i="3" s="1"/>
  <c r="O1044" i="3"/>
  <c r="S1044" i="3" s="1"/>
  <c r="O1045" i="3"/>
  <c r="S1045" i="3" s="1"/>
  <c r="O1046" i="3"/>
  <c r="S1046" i="3" s="1"/>
  <c r="O1047" i="3"/>
  <c r="S1047" i="3" s="1"/>
  <c r="O1048" i="3"/>
  <c r="S1048" i="3" s="1"/>
  <c r="O1049" i="3"/>
  <c r="S1049" i="3" s="1"/>
  <c r="O1050" i="3"/>
  <c r="S1050" i="3" s="1"/>
  <c r="O1051" i="3"/>
  <c r="S1051" i="3" s="1"/>
  <c r="O1052" i="3"/>
  <c r="S1052" i="3" s="1"/>
  <c r="O1053" i="3"/>
  <c r="S1053" i="3" s="1"/>
  <c r="O1054" i="3"/>
  <c r="S1054" i="3" s="1"/>
  <c r="O1055" i="3"/>
  <c r="S1055" i="3" s="1"/>
  <c r="O1056" i="3"/>
  <c r="S1056" i="3" s="1"/>
  <c r="O1057" i="3"/>
  <c r="S1057" i="3" s="1"/>
  <c r="O1058" i="3"/>
  <c r="S1058" i="3" s="1"/>
  <c r="O1059" i="3"/>
  <c r="S1059" i="3" s="1"/>
  <c r="O1060" i="3"/>
  <c r="S1060" i="3" s="1"/>
  <c r="O1061" i="3"/>
  <c r="S1061" i="3" s="1"/>
  <c r="O1062" i="3"/>
  <c r="S1062" i="3" s="1"/>
  <c r="O1063" i="3"/>
  <c r="S1063" i="3" s="1"/>
  <c r="O1064" i="3"/>
  <c r="S1064" i="3" s="1"/>
  <c r="O1065" i="3"/>
  <c r="S1065" i="3" s="1"/>
  <c r="O1066" i="3"/>
  <c r="S1066" i="3" s="1"/>
  <c r="O1067" i="3"/>
  <c r="S1067" i="3" s="1"/>
  <c r="O1068" i="3"/>
  <c r="S1068" i="3" s="1"/>
  <c r="O1069" i="3"/>
  <c r="S1069" i="3" s="1"/>
  <c r="O1070" i="3"/>
  <c r="S1070" i="3" s="1"/>
  <c r="O1071" i="3"/>
  <c r="S1071" i="3" s="1"/>
  <c r="O1072" i="3"/>
  <c r="S1072" i="3" s="1"/>
  <c r="O1073" i="3"/>
  <c r="S1073" i="3" s="1"/>
  <c r="O1074" i="3"/>
  <c r="S1074" i="3" s="1"/>
  <c r="O1075" i="3"/>
  <c r="S1075" i="3" s="1"/>
  <c r="O1076" i="3"/>
  <c r="S1076" i="3" s="1"/>
  <c r="O1077" i="3"/>
  <c r="S1077" i="3" s="1"/>
  <c r="O1078" i="3"/>
  <c r="S1078" i="3" s="1"/>
  <c r="O1079" i="3"/>
  <c r="S1079" i="3" s="1"/>
  <c r="O1080" i="3"/>
  <c r="S1080" i="3" s="1"/>
  <c r="O1081" i="3"/>
  <c r="S1081" i="3" s="1"/>
  <c r="O1082" i="3"/>
  <c r="S1082" i="3" s="1"/>
  <c r="O1083" i="3"/>
  <c r="S1083" i="3" s="1"/>
  <c r="O1084" i="3"/>
  <c r="S1084" i="3" s="1"/>
  <c r="O1085" i="3"/>
  <c r="S1085" i="3" s="1"/>
  <c r="O1086" i="3"/>
  <c r="S1086" i="3" s="1"/>
  <c r="O1087" i="3"/>
  <c r="S1087" i="3" s="1"/>
  <c r="O1088" i="3"/>
  <c r="S1088" i="3" s="1"/>
  <c r="O1089" i="3"/>
  <c r="S1089" i="3" s="1"/>
  <c r="O1090" i="3"/>
  <c r="S1090" i="3" s="1"/>
  <c r="O1091" i="3"/>
  <c r="S1091" i="3" s="1"/>
  <c r="O1092" i="3"/>
  <c r="S1092" i="3" s="1"/>
  <c r="O1093" i="3"/>
  <c r="S1093" i="3" s="1"/>
  <c r="O1094" i="3"/>
  <c r="S1094" i="3" s="1"/>
  <c r="O1095" i="3"/>
  <c r="S1095" i="3" s="1"/>
  <c r="O1096" i="3"/>
  <c r="S1096" i="3" s="1"/>
  <c r="O1097" i="3"/>
  <c r="S1097" i="3" s="1"/>
  <c r="O1098" i="3"/>
  <c r="S1098" i="3" s="1"/>
  <c r="O1099" i="3"/>
  <c r="S1099" i="3" s="1"/>
  <c r="O1100" i="3"/>
  <c r="S1100" i="3" s="1"/>
  <c r="O1101" i="3"/>
  <c r="S1101" i="3" s="1"/>
  <c r="O1102" i="3"/>
  <c r="S1102" i="3" s="1"/>
  <c r="O1103" i="3"/>
  <c r="S1103" i="3" s="1"/>
  <c r="O1104" i="3"/>
  <c r="S1104" i="3" s="1"/>
  <c r="O1105" i="3"/>
  <c r="S1105" i="3" s="1"/>
  <c r="O1106" i="3"/>
  <c r="S1106" i="3" s="1"/>
  <c r="O1107" i="3"/>
  <c r="S1107" i="3" s="1"/>
  <c r="O1108" i="3"/>
  <c r="S1108" i="3" s="1"/>
  <c r="O1109" i="3"/>
  <c r="S1109" i="3" s="1"/>
  <c r="O1110" i="3"/>
  <c r="S1110" i="3" s="1"/>
  <c r="O1111" i="3"/>
  <c r="S1111" i="3" s="1"/>
  <c r="O1112" i="3"/>
  <c r="S1112" i="3" s="1"/>
  <c r="O1113" i="3"/>
  <c r="S1113" i="3" s="1"/>
  <c r="O1114" i="3"/>
  <c r="S1114" i="3" s="1"/>
  <c r="O1115" i="3"/>
  <c r="S1115" i="3" s="1"/>
  <c r="O1116" i="3"/>
  <c r="S1116" i="3" s="1"/>
  <c r="O1117" i="3"/>
  <c r="S1117" i="3" s="1"/>
  <c r="O1118" i="3"/>
  <c r="S1118" i="3" s="1"/>
  <c r="O1119" i="3"/>
  <c r="S1119" i="3" s="1"/>
  <c r="O1120" i="3"/>
  <c r="S1120" i="3" s="1"/>
  <c r="O1121" i="3"/>
  <c r="S1121" i="3" s="1"/>
  <c r="O1122" i="3"/>
  <c r="S1122" i="3" s="1"/>
  <c r="O1123" i="3"/>
  <c r="S1123" i="3" s="1"/>
  <c r="O1124" i="3"/>
  <c r="S1124" i="3" s="1"/>
  <c r="O1125" i="3"/>
  <c r="S1125" i="3" s="1"/>
  <c r="O1126" i="3"/>
  <c r="S1126" i="3" s="1"/>
  <c r="O1127" i="3"/>
  <c r="S1127" i="3" s="1"/>
  <c r="O1128" i="3"/>
  <c r="S1128" i="3" s="1"/>
  <c r="O1129" i="3"/>
  <c r="S1129" i="3" s="1"/>
  <c r="O1130" i="3"/>
  <c r="S1130" i="3" s="1"/>
  <c r="O1131" i="3"/>
  <c r="S1131" i="3" s="1"/>
  <c r="O1132" i="3"/>
  <c r="S1132" i="3" s="1"/>
  <c r="O1133" i="3"/>
  <c r="S1133" i="3" s="1"/>
  <c r="O1134" i="3"/>
  <c r="S1134" i="3" s="1"/>
  <c r="O1135" i="3"/>
  <c r="S1135" i="3" s="1"/>
  <c r="O1136" i="3"/>
  <c r="S1136" i="3" s="1"/>
  <c r="O1137" i="3"/>
  <c r="S1137" i="3" s="1"/>
  <c r="O1138" i="3"/>
  <c r="S1138" i="3" s="1"/>
  <c r="O1139" i="3"/>
  <c r="S1139" i="3" s="1"/>
  <c r="O1140" i="3"/>
  <c r="S1140" i="3" s="1"/>
  <c r="O1141" i="3"/>
  <c r="S1141" i="3" s="1"/>
  <c r="O1142" i="3"/>
  <c r="S1142" i="3" s="1"/>
  <c r="O1143" i="3"/>
  <c r="S1143" i="3" s="1"/>
  <c r="O1144" i="3"/>
  <c r="S1144" i="3" s="1"/>
  <c r="O1145" i="3"/>
  <c r="S1145" i="3" s="1"/>
  <c r="O1146" i="3"/>
  <c r="S1146" i="3" s="1"/>
  <c r="O1147" i="3"/>
  <c r="S1147" i="3" s="1"/>
  <c r="O1148" i="3"/>
  <c r="S1148" i="3" s="1"/>
  <c r="O1149" i="3"/>
  <c r="S1149" i="3" s="1"/>
  <c r="O1150" i="3"/>
  <c r="S1150" i="3" s="1"/>
  <c r="O1151" i="3"/>
  <c r="S1151" i="3" s="1"/>
  <c r="O1152" i="3"/>
  <c r="S1152" i="3" s="1"/>
  <c r="O1153" i="3"/>
  <c r="S1153" i="3" s="1"/>
  <c r="O1154" i="3"/>
  <c r="S1154" i="3" s="1"/>
  <c r="O1155" i="3"/>
  <c r="S1155" i="3" s="1"/>
  <c r="O1156" i="3"/>
  <c r="S1156" i="3" s="1"/>
  <c r="O1157" i="3"/>
  <c r="S1157" i="3" s="1"/>
  <c r="O1158" i="3"/>
  <c r="S1158" i="3" s="1"/>
  <c r="O1159" i="3"/>
  <c r="S1159" i="3" s="1"/>
  <c r="O1160" i="3"/>
  <c r="S1160" i="3" s="1"/>
  <c r="O1161" i="3"/>
  <c r="S1161" i="3" s="1"/>
  <c r="O1162" i="3"/>
  <c r="S1162" i="3" s="1"/>
  <c r="O1163" i="3"/>
  <c r="S1163" i="3" s="1"/>
  <c r="O1164" i="3"/>
  <c r="S1164" i="3" s="1"/>
  <c r="O1165" i="3"/>
  <c r="S1165" i="3" s="1"/>
  <c r="O1166" i="3"/>
  <c r="S1166" i="3" s="1"/>
  <c r="O1167" i="3"/>
  <c r="S1167" i="3" s="1"/>
  <c r="O1168" i="3"/>
  <c r="S1168" i="3" s="1"/>
  <c r="O1169" i="3"/>
  <c r="S1169" i="3" s="1"/>
  <c r="O1170" i="3"/>
  <c r="S1170" i="3" s="1"/>
  <c r="O1171" i="3"/>
  <c r="S1171" i="3" s="1"/>
  <c r="O1172" i="3"/>
  <c r="S1172" i="3" s="1"/>
  <c r="O1173" i="3"/>
  <c r="S1173" i="3" s="1"/>
  <c r="O1174" i="3"/>
  <c r="S1174" i="3" s="1"/>
  <c r="O1175" i="3"/>
  <c r="S1175" i="3" s="1"/>
  <c r="O1176" i="3"/>
  <c r="S1176" i="3" s="1"/>
  <c r="O1177" i="3"/>
  <c r="S1177" i="3" s="1"/>
  <c r="O1178" i="3"/>
  <c r="S1178" i="3" s="1"/>
  <c r="O1179" i="3"/>
  <c r="S1179" i="3" s="1"/>
  <c r="O1180" i="3"/>
  <c r="S1180" i="3" s="1"/>
  <c r="O1181" i="3"/>
  <c r="S1181" i="3" s="1"/>
  <c r="O1182" i="3"/>
  <c r="S1182" i="3" s="1"/>
  <c r="O1183" i="3"/>
  <c r="S1183" i="3" s="1"/>
  <c r="O1184" i="3"/>
  <c r="S1184" i="3" s="1"/>
  <c r="O1185" i="3"/>
  <c r="S1185" i="3" s="1"/>
  <c r="O1186" i="3"/>
  <c r="S1186" i="3" s="1"/>
  <c r="O1187" i="3"/>
  <c r="S1187" i="3" s="1"/>
  <c r="O1188" i="3"/>
  <c r="S1188" i="3" s="1"/>
  <c r="O1189" i="3"/>
  <c r="S1189" i="3" s="1"/>
  <c r="O1190" i="3"/>
  <c r="S1190" i="3" s="1"/>
  <c r="O1191" i="3"/>
  <c r="S1191" i="3" s="1"/>
  <c r="O1192" i="3"/>
  <c r="S1192" i="3" s="1"/>
  <c r="O1193" i="3"/>
  <c r="S1193" i="3" s="1"/>
  <c r="O1194" i="3"/>
  <c r="S1194" i="3" s="1"/>
  <c r="O1195" i="3"/>
  <c r="S1195" i="3" s="1"/>
  <c r="O1196" i="3"/>
  <c r="S1196" i="3" s="1"/>
  <c r="O1197" i="3"/>
  <c r="S1197" i="3" s="1"/>
  <c r="O1198" i="3"/>
  <c r="S1198" i="3" s="1"/>
  <c r="O1199" i="3"/>
  <c r="S1199" i="3" s="1"/>
  <c r="O1200" i="3"/>
  <c r="S1200" i="3" s="1"/>
  <c r="O1201" i="3"/>
  <c r="S1201" i="3" s="1"/>
  <c r="D6" i="7" l="1"/>
  <c r="D8" i="7"/>
  <c r="D9" i="7"/>
  <c r="F12" i="7"/>
  <c r="G12" i="7" s="1"/>
  <c r="F14" i="7"/>
  <c r="H7" i="7"/>
  <c r="H6" i="7"/>
  <c r="D7" i="7"/>
  <c r="C12" i="7"/>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3" i="3"/>
  <c r="P2" i="3"/>
  <c r="G14" i="7" l="1"/>
  <c r="G16" i="7" s="1"/>
  <c r="C18" i="7" s="1"/>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2" i="3"/>
</calcChain>
</file>

<file path=xl/sharedStrings.xml><?xml version="1.0" encoding="utf-8"?>
<sst xmlns="http://schemas.openxmlformats.org/spreadsheetml/2006/main" count="16160" uniqueCount="1400">
  <si>
    <t>Product_Name</t>
  </si>
  <si>
    <t>Category</t>
  </si>
  <si>
    <t>Brand</t>
  </si>
  <si>
    <t>Brand_Type</t>
  </si>
  <si>
    <t>Region</t>
  </si>
  <si>
    <t>City</t>
  </si>
  <si>
    <t>Unit_Price</t>
  </si>
  <si>
    <t>Discount_%</t>
  </si>
  <si>
    <t>Final_Unit_Price</t>
  </si>
  <si>
    <t>Quantity</t>
  </si>
  <si>
    <t>Total_Sales</t>
  </si>
  <si>
    <t>Profit</t>
  </si>
  <si>
    <t>Order_Date</t>
  </si>
  <si>
    <t>Delivery_Date</t>
  </si>
  <si>
    <t>Days_to_Deliver</t>
  </si>
  <si>
    <t>Season</t>
  </si>
  <si>
    <t>Sneakers</t>
  </si>
  <si>
    <t>Coffee Table</t>
  </si>
  <si>
    <t>Laptop</t>
  </si>
  <si>
    <t>Headphones</t>
  </si>
  <si>
    <t>Bed</t>
  </si>
  <si>
    <t>Jacket</t>
  </si>
  <si>
    <t>Formal Shoes</t>
  </si>
  <si>
    <t>Refrigerator</t>
  </si>
  <si>
    <t>Dining Table</t>
  </si>
  <si>
    <t>T-Shirt</t>
  </si>
  <si>
    <t>Sofa Set</t>
  </si>
  <si>
    <t>Microwave</t>
  </si>
  <si>
    <t>Jeans</t>
  </si>
  <si>
    <t>Washing Machine</t>
  </si>
  <si>
    <t>Smartphone</t>
  </si>
  <si>
    <t>Footwear</t>
  </si>
  <si>
    <t>Furniture</t>
  </si>
  <si>
    <t>Electronics</t>
  </si>
  <si>
    <t>Clothing</t>
  </si>
  <si>
    <t>Home Appliance</t>
  </si>
  <si>
    <t>Puma</t>
  </si>
  <si>
    <t>Godrej Interio</t>
  </si>
  <si>
    <t>Samsung</t>
  </si>
  <si>
    <t>Dell</t>
  </si>
  <si>
    <t>Ikea</t>
  </si>
  <si>
    <t>Max</t>
  </si>
  <si>
    <t>Bata</t>
  </si>
  <si>
    <t>HomeTown</t>
  </si>
  <si>
    <t>Godrej</t>
  </si>
  <si>
    <t>Zara</t>
  </si>
  <si>
    <t>LG</t>
  </si>
  <si>
    <t>Adidas</t>
  </si>
  <si>
    <t>Whirlpool</t>
  </si>
  <si>
    <t>Levis</t>
  </si>
  <si>
    <t>Apple</t>
  </si>
  <si>
    <t>Nike</t>
  </si>
  <si>
    <t>Roadster</t>
  </si>
  <si>
    <t>HP</t>
  </si>
  <si>
    <t>Nilkamal</t>
  </si>
  <si>
    <t>H&amp;M</t>
  </si>
  <si>
    <t>Xiaomi</t>
  </si>
  <si>
    <t>Realme</t>
  </si>
  <si>
    <t>Standard</t>
  </si>
  <si>
    <t>Premium</t>
  </si>
  <si>
    <t>Budget</t>
  </si>
  <si>
    <t>South</t>
  </si>
  <si>
    <t>North</t>
  </si>
  <si>
    <t>East</t>
  </si>
  <si>
    <t>West</t>
  </si>
  <si>
    <t>Bengaluru</t>
  </si>
  <si>
    <t>Delhi</t>
  </si>
  <si>
    <t>Jaipur</t>
  </si>
  <si>
    <t>Bhubaneswar</t>
  </si>
  <si>
    <t>Lucknow</t>
  </si>
  <si>
    <t>Hyderabad</t>
  </si>
  <si>
    <t>Chennai</t>
  </si>
  <si>
    <t>Mumbai</t>
  </si>
  <si>
    <t>Patna</t>
  </si>
  <si>
    <t>Pune</t>
  </si>
  <si>
    <t>Kolkata</t>
  </si>
  <si>
    <t>Ahmedabad</t>
  </si>
  <si>
    <t>Product</t>
  </si>
  <si>
    <t>Brand Type</t>
  </si>
  <si>
    <t>ProductID</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</si>
  <si>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</si>
  <si>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</si>
  <si>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</si>
  <si>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</si>
  <si>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</si>
  <si>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</si>
  <si>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</si>
  <si>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</si>
  <si>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</si>
  <si>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</si>
  <si>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</si>
  <si>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</si>
  <si>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</si>
  <si>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</si>
  <si>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</si>
  <si>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</si>
  <si>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</si>
  <si>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</si>
  <si>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</si>
  <si>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</si>
  <si>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</si>
  <si>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</si>
  <si>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</si>
  <si>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</si>
  <si>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</si>
  <si>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</si>
  <si>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</si>
  <si>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</si>
  <si>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</si>
  <si>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</si>
  <si>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</si>
  <si>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</si>
  <si>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</si>
  <si>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</si>
  <si>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</si>
  <si>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</si>
  <si>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</si>
  <si>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</si>
  <si>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</si>
  <si>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</si>
  <si>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</si>
  <si>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</si>
  <si>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</si>
  <si>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</si>
  <si>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</si>
  <si>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</si>
  <si>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</si>
  <si>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</si>
  <si>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</si>
  <si>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</si>
  <si>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</si>
  <si>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</si>
  <si>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</si>
  <si>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</si>
  <si>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</si>
  <si>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</si>
  <si>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</si>
  <si>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</si>
  <si>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</si>
  <si>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</si>
  <si>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</si>
  <si>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</si>
  <si>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</si>
  <si>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</si>
  <si>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</si>
  <si>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</si>
  <si>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</si>
  <si>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</si>
  <si>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</si>
  <si>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</si>
  <si>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Cities</t>
  </si>
  <si>
    <t>Year</t>
  </si>
  <si>
    <t>E-COMMERCE SALES PERFORMANCE DASHBOARD</t>
  </si>
  <si>
    <t>Sum of Total_Sales</t>
  </si>
  <si>
    <t>Aug</t>
  </si>
  <si>
    <t>Mar</t>
  </si>
  <si>
    <t>Jul</t>
  </si>
  <si>
    <t>May</t>
  </si>
  <si>
    <t>Sep</t>
  </si>
  <si>
    <t>Jan</t>
  </si>
  <si>
    <t>Jun</t>
  </si>
  <si>
    <t>Feb</t>
  </si>
  <si>
    <t>Dec</t>
  </si>
  <si>
    <t>Nov</t>
  </si>
  <si>
    <t>Oct</t>
  </si>
  <si>
    <t>Apr</t>
  </si>
  <si>
    <t>Sum of Quantity</t>
  </si>
  <si>
    <t>Month2</t>
  </si>
  <si>
    <t>Total Sales</t>
  </si>
  <si>
    <t>Sum of Profit</t>
  </si>
  <si>
    <t>Total Profits</t>
  </si>
  <si>
    <t>Average of Days_to_Deliver</t>
  </si>
  <si>
    <t>Average Days to Deliver</t>
  </si>
  <si>
    <t>Average Discount</t>
  </si>
  <si>
    <t>Total Quantity Sold</t>
  </si>
  <si>
    <t>Monsoon</t>
  </si>
  <si>
    <t>Summer</t>
  </si>
  <si>
    <t>Winter</t>
  </si>
  <si>
    <t>Order_ID</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</si>
  <si>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</si>
  <si>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</si>
  <si>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</si>
  <si>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</si>
  <si>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</si>
  <si>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</si>
  <si>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</si>
  <si>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</si>
  <si>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</si>
  <si>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</si>
  <si>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</si>
  <si>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</si>
  <si>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</si>
  <si>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</si>
  <si>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</si>
  <si>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</si>
  <si>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</si>
  <si>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</si>
  <si>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</si>
  <si>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</si>
  <si>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</si>
  <si>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</si>
  <si>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</si>
  <si>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</si>
  <si>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</si>
  <si>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</si>
  <si>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</si>
  <si>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</si>
  <si>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</si>
  <si>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</si>
  <si>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</si>
  <si>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</si>
  <si>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</si>
  <si>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</si>
  <si>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</si>
  <si>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</si>
  <si>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</si>
  <si>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</si>
  <si>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</si>
  <si>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</si>
  <si>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</si>
  <si>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</si>
  <si>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</si>
  <si>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</si>
  <si>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</si>
  <si>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</si>
  <si>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</si>
  <si>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</si>
  <si>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</si>
  <si>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</si>
  <si>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</si>
  <si>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</si>
  <si>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</si>
  <si>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</si>
  <si>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</si>
  <si>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</si>
  <si>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</si>
  <si>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</si>
  <si>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</si>
  <si>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</si>
  <si>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</si>
  <si>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</si>
  <si>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</si>
  <si>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</si>
  <si>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</si>
  <si>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</si>
  <si>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</si>
  <si>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</si>
  <si>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</si>
  <si>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</si>
  <si>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</si>
  <si>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</si>
  <si>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</si>
  <si>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</si>
  <si>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</si>
  <si>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</si>
  <si>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</si>
  <si>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</si>
  <si>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</si>
  <si>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</si>
  <si>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</si>
  <si>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</si>
  <si>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</si>
  <si>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</si>
  <si>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</si>
  <si>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</si>
  <si>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</si>
  <si>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</si>
  <si>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</si>
  <si>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</si>
  <si>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</si>
  <si>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</si>
  <si>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</si>
  <si>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</si>
  <si>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</si>
  <si>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</si>
  <si>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</si>
  <si>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</si>
  <si>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</si>
  <si>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</si>
  <si>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</si>
  <si>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</si>
  <si>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</si>
  <si>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</si>
  <si>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</si>
  <si>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</si>
  <si>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</si>
  <si>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</si>
  <si>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</si>
  <si>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</si>
  <si>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</si>
  <si>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</si>
  <si>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</si>
  <si>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</si>
  <si>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</si>
  <si>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</si>
  <si>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</si>
  <si>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</si>
  <si>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</si>
  <si>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</si>
  <si>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</si>
  <si>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</si>
  <si>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</si>
  <si>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</si>
  <si>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</si>
  <si>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</si>
  <si>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</si>
  <si>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</si>
  <si>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</si>
  <si>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</si>
  <si>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</si>
  <si>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</si>
  <si>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</si>
  <si>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</si>
  <si>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</si>
  <si>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</si>
  <si>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</si>
  <si>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</si>
  <si>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</si>
  <si>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</si>
  <si>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</si>
  <si>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</si>
  <si>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</si>
  <si>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</si>
  <si>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</si>
  <si>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</si>
  <si>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</si>
  <si>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</si>
  <si>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</si>
  <si>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</si>
  <si>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</si>
  <si>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</si>
  <si>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</si>
  <si>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</si>
  <si>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</si>
  <si>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</si>
  <si>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</si>
  <si>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</si>
  <si>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</si>
  <si>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</si>
  <si>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</si>
  <si>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</si>
  <si>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</si>
  <si>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</si>
  <si>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</si>
  <si>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</si>
  <si>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</si>
  <si>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</si>
  <si>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</si>
  <si>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</si>
  <si>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</si>
  <si>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</si>
  <si>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</si>
  <si>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</si>
  <si>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</si>
  <si>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</si>
  <si>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</si>
  <si>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</si>
  <si>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</si>
  <si>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</si>
  <si>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</si>
  <si>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</si>
  <si>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</si>
  <si>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</si>
  <si>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</si>
  <si>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</si>
  <si>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</si>
  <si>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</si>
  <si>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</si>
  <si>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</si>
  <si>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</si>
  <si>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</si>
  <si>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</si>
  <si>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</si>
  <si>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</si>
  <si>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</si>
  <si>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</si>
  <si>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</si>
  <si>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</si>
  <si>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</si>
  <si>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</si>
  <si>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</si>
  <si>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</si>
  <si>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</si>
  <si>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</si>
  <si>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</si>
  <si>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</si>
  <si>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</si>
  <si>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</si>
  <si>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</si>
  <si>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</si>
  <si>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</si>
  <si>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</si>
  <si>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</si>
  <si>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</si>
  <si>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</si>
  <si>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</si>
  <si>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</si>
  <si>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</si>
  <si>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</si>
  <si>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</si>
  <si>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</si>
  <si>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</si>
  <si>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</si>
  <si>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</si>
  <si>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</si>
  <si>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</si>
  <si>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</si>
  <si>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</si>
  <si>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</si>
  <si>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</si>
  <si>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</si>
  <si>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</si>
  <si>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</si>
  <si>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</si>
  <si>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</si>
  <si>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</si>
  <si>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</si>
  <si>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</si>
  <si>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</si>
  <si>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</si>
  <si>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</si>
  <si>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</si>
  <si>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</si>
  <si>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</si>
  <si>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</si>
  <si>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</si>
  <si>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</si>
  <si>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</si>
  <si>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</si>
  <si>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</si>
  <si>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</si>
  <si>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</si>
  <si>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</si>
  <si>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</si>
  <si>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</si>
  <si>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</si>
  <si>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</si>
  <si>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</si>
  <si>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</si>
  <si>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</si>
  <si>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</si>
  <si>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</si>
  <si>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</si>
  <si>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</si>
  <si>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</si>
  <si>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</si>
  <si>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</si>
  <si>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</si>
  <si>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</si>
  <si>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</si>
  <si>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</si>
  <si>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</si>
  <si>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</si>
  <si>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</si>
  <si>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</si>
  <si>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</si>
  <si>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</si>
  <si>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</si>
  <si>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</si>
  <si>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</si>
  <si>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</si>
  <si>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</si>
  <si>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</si>
  <si>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</si>
  <si>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</si>
  <si>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</si>
  <si>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</si>
  <si>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</si>
  <si>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</si>
  <si>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</si>
  <si>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</si>
  <si>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</si>
  <si>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</si>
  <si>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</si>
  <si>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</si>
  <si>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</si>
  <si>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</si>
  <si>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</si>
  <si>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</si>
  <si>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</si>
  <si>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</si>
  <si>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</si>
  <si>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</si>
  <si>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</si>
  <si>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</si>
  <si>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</si>
  <si>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</si>
  <si>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</si>
  <si>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</si>
  <si>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</si>
  <si>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</si>
  <si>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</si>
  <si>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</si>
  <si>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</si>
  <si>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</si>
  <si>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</si>
  <si>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</si>
  <si>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</si>
  <si>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</si>
  <si>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</si>
  <si>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</si>
  <si>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</si>
  <si>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</si>
  <si>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</si>
  <si>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</si>
  <si>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</si>
  <si>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</si>
  <si>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</si>
  <si>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</si>
  <si>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</si>
  <si>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</si>
  <si>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</si>
  <si>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</si>
  <si>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</si>
  <si>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</si>
  <si>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</si>
  <si>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</si>
  <si>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</si>
  <si>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</si>
  <si>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</si>
  <si>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</si>
  <si>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</si>
  <si>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</si>
  <si>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</si>
  <si>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</si>
  <si>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</si>
  <si>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</si>
  <si>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</si>
  <si>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</si>
  <si>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</si>
  <si>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</si>
  <si>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</si>
  <si>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</si>
  <si>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</si>
  <si>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</si>
  <si>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</si>
  <si>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</si>
  <si>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</si>
  <si>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</si>
  <si>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</si>
  <si>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</si>
  <si>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</si>
  <si>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</si>
  <si>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</si>
  <si>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</si>
  <si>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</si>
  <si>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</si>
  <si>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</si>
  <si>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</si>
  <si>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</si>
  <si>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</si>
  <si>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</si>
  <si>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</si>
  <si>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</si>
  <si>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</si>
  <si>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</si>
  <si>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</si>
  <si>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</si>
  <si>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</si>
  <si>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</si>
  <si>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</si>
  <si>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</si>
  <si>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</si>
  <si>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</si>
  <si>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</si>
  <si>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</si>
  <si>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</si>
  <si>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</si>
  <si>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</si>
  <si>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</si>
  <si>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</si>
  <si>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</si>
  <si>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</si>
  <si>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</si>
  <si>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</si>
  <si>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</si>
  <si>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</si>
  <si>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</si>
  <si>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</si>
  <si>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</si>
  <si>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</si>
  <si>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</si>
  <si>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</si>
  <si>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</si>
  <si>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</si>
  <si>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</si>
  <si>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</si>
  <si>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</si>
  <si>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</si>
  <si>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</si>
  <si>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</si>
  <si>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</si>
  <si>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</si>
  <si>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</si>
  <si>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</si>
  <si>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</si>
  <si>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</si>
  <si>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</si>
  <si>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</si>
  <si>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</si>
  <si>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</si>
  <si>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</si>
  <si>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</si>
  <si>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</si>
  <si>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</si>
  <si>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</si>
  <si>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</si>
  <si>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</si>
  <si>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</si>
  <si>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</si>
  <si>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</si>
  <si>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</si>
  <si>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</si>
  <si>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</si>
  <si>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</si>
  <si>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</si>
  <si>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</si>
  <si>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</si>
  <si>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</si>
  <si>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</si>
  <si>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</si>
  <si>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</si>
  <si>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</si>
  <si>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</si>
  <si>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</si>
  <si>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</si>
  <si>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</si>
  <si>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</si>
  <si>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</si>
  <si>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</si>
  <si>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</si>
  <si>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</si>
  <si>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</si>
  <si>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</si>
  <si>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</si>
  <si>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</si>
  <si>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</si>
  <si>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</si>
  <si>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</si>
  <si>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</si>
  <si>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</si>
  <si>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</si>
  <si>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</si>
  <si>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</si>
  <si>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</si>
  <si>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</si>
  <si>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</si>
  <si>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</si>
  <si>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</si>
  <si>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</si>
  <si>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</si>
  <si>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</si>
  <si>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</si>
  <si>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</si>
  <si>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</si>
  <si>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</si>
  <si>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</si>
  <si>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</si>
  <si>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</si>
  <si>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</si>
  <si>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</si>
  <si>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</si>
  <si>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</si>
  <si>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</si>
  <si>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</si>
  <si>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</si>
  <si>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</si>
  <si>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</si>
  <si>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</si>
  <si>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</si>
  <si>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</si>
  <si>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</si>
  <si>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</si>
  <si>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</si>
  <si>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</si>
  <si>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</si>
  <si>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</si>
  <si>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</si>
  <si>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</si>
  <si>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</si>
  <si>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</si>
  <si>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</si>
  <si>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</si>
  <si>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</si>
  <si>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</si>
  <si>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</si>
  <si>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</si>
  <si>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</si>
  <si>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</si>
  <si>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</si>
  <si>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</si>
  <si>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</si>
  <si>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</si>
  <si>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</si>
  <si>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</si>
  <si>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</si>
  <si>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</si>
  <si>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</si>
  <si>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</si>
  <si>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</si>
  <si>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</si>
  <si>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</si>
  <si>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</si>
  <si>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</si>
  <si>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</si>
  <si>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</si>
  <si>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</si>
  <si>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</si>
  <si>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</si>
  <si>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</si>
  <si>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</si>
  <si>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</si>
  <si>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</si>
  <si>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</si>
  <si>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</si>
  <si>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</si>
  <si>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</si>
  <si>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</si>
  <si>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</si>
  <si>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</si>
  <si>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</si>
  <si>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</si>
  <si>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</si>
  <si>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</si>
  <si>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</si>
  <si>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</si>
  <si>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</si>
  <si>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</si>
  <si>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</si>
  <si>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</si>
  <si>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</si>
  <si>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</si>
  <si>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</si>
  <si>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</si>
  <si>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</si>
  <si>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</si>
  <si>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</si>
  <si>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</si>
  <si>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</si>
  <si>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</si>
  <si>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</si>
  <si>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</si>
  <si>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</si>
  <si>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</si>
  <si>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</si>
  <si>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</si>
  <si>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</si>
  <si>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</si>
  <si>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</si>
  <si>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</si>
  <si>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</si>
  <si>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</si>
  <si>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</si>
  <si>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</si>
  <si>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</si>
  <si>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</si>
  <si>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</si>
  <si>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</si>
  <si>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</si>
  <si>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</si>
  <si>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</si>
  <si>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</si>
  <si>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</si>
  <si>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</si>
  <si>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</si>
  <si>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</si>
  <si>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</si>
  <si>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</si>
  <si>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</si>
  <si>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</si>
  <si>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</si>
  <si>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</si>
  <si>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</si>
  <si>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</si>
  <si>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</si>
  <si>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</si>
  <si>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</si>
  <si>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</si>
  <si>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</si>
  <si>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</si>
  <si>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</si>
  <si>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</si>
  <si>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</si>
  <si>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</si>
  <si>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</si>
  <si>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</si>
  <si>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</si>
  <si>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</si>
  <si>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</si>
  <si>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</si>
  <si>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</si>
  <si>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</si>
  <si>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</si>
  <si>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</si>
  <si>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</si>
  <si>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</si>
  <si>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</si>
  <si>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</si>
  <si>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</si>
  <si>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</si>
  <si>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</si>
  <si>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</si>
  <si>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</si>
  <si>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</si>
  <si>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</si>
  <si>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</si>
  <si>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</si>
  <si>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</si>
  <si>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</si>
  <si>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</si>
  <si>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</si>
  <si>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</si>
  <si>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</si>
  <si>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</si>
  <si>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</si>
  <si>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</si>
  <si>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</si>
  <si>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</si>
  <si>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</si>
  <si>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</si>
  <si>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</si>
  <si>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</si>
  <si>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</si>
  <si>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</si>
  <si>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</si>
  <si>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</si>
  <si>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</si>
  <si>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</si>
  <si>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</si>
  <si>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</si>
  <si>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</si>
  <si>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</si>
  <si>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</si>
  <si>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</si>
  <si>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</si>
  <si>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</si>
  <si>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</si>
  <si>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</si>
  <si>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</si>
  <si>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</si>
  <si>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</si>
  <si>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</si>
  <si>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</si>
  <si>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</si>
  <si>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</si>
  <si>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</si>
  <si>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</si>
  <si>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</si>
  <si>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</si>
  <si>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</si>
  <si>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</si>
  <si>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</si>
  <si>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</si>
  <si>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</si>
  <si>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</si>
  <si>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</si>
  <si>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</si>
  <si>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</si>
  <si>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</si>
  <si>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</si>
  <si>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</si>
  <si>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</si>
  <si>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</si>
  <si>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</si>
  <si>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</si>
  <si>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</si>
  <si>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</si>
  <si>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</si>
  <si>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</si>
  <si>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</si>
  <si>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</si>
  <si>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</si>
  <si>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</si>
  <si>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</si>
  <si>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</si>
  <si>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</si>
  <si>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</si>
  <si>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</si>
  <si>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</si>
  <si>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</si>
  <si>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</si>
  <si>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</si>
  <si>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</si>
  <si>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</si>
  <si>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</si>
  <si>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</si>
  <si>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</si>
  <si>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</si>
  <si>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</si>
  <si>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</si>
  <si>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</si>
  <si>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</si>
  <si>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</si>
  <si>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</si>
  <si>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</si>
  <si>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</si>
  <si>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</si>
  <si>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</si>
  <si>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</si>
  <si>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</si>
  <si>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</si>
  <si>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</si>
  <si>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</si>
  <si>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</si>
  <si>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</si>
  <si>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</si>
  <si>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</si>
  <si>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</si>
  <si>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</si>
  <si>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</si>
  <si>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</si>
  <si>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</si>
  <si>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</si>
  <si>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</si>
  <si>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</si>
  <si>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</si>
  <si>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</si>
  <si>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</si>
  <si>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</si>
  <si>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</si>
  <si>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</si>
  <si>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</si>
  <si>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</si>
  <si>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</si>
  <si>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</si>
  <si>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</si>
  <si>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</si>
  <si>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</si>
  <si>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</si>
  <si>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</si>
  <si>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</si>
  <si>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</si>
  <si>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</si>
  <si>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</si>
  <si>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</si>
  <si>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</si>
  <si>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</si>
  <si>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</si>
  <si>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</si>
  <si>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</si>
  <si>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</si>
  <si>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</si>
  <si>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</si>
  <si>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</si>
  <si>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</si>
  <si>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</si>
  <si>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</si>
  <si>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</si>
  <si>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</si>
  <si>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</si>
  <si>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</si>
  <si>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</si>
  <si>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</si>
  <si>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</si>
  <si>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</si>
  <si>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</si>
  <si>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</si>
  <si>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</si>
  <si>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</si>
  <si>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</si>
  <si>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</si>
  <si>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</si>
  <si>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</si>
  <si>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</si>
  <si>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</si>
  <si>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</si>
  <si>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</si>
  <si>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</si>
  <si>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</si>
  <si>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</si>
  <si>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</si>
  <si>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</si>
  <si>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</si>
  <si>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</si>
  <si>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</si>
  <si>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</si>
  <si>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</si>
  <si>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</si>
  <si>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</si>
  <si>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</si>
  <si>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</si>
  <si>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</si>
  <si>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</si>
  <si>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</si>
  <si>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</si>
  <si>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</si>
  <si>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</si>
  <si>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</si>
  <si>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</si>
  <si>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</si>
  <si>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</si>
  <si>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</si>
  <si>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</si>
  <si>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</si>
  <si>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</si>
  <si>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</si>
  <si>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</si>
  <si>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</si>
  <si>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</si>
  <si>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</si>
  <si>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</si>
  <si>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</si>
  <si>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</si>
  <si>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</si>
  <si>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</si>
  <si>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</si>
  <si>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</si>
  <si>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</si>
  <si>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</si>
  <si>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</si>
  <si>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</si>
  <si>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</si>
  <si>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</si>
  <si>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</si>
  <si>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</si>
  <si>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</si>
  <si>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</si>
  <si>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</si>
  <si>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</si>
  <si>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</si>
  <si>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</si>
  <si>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</si>
  <si>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</si>
  <si>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</si>
  <si>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</si>
  <si>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</si>
  <si>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</si>
  <si>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</si>
  <si>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</si>
  <si>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</si>
  <si>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</si>
  <si>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</si>
  <si>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</si>
  <si>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</si>
  <si>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</si>
  <si>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</si>
  <si>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</si>
  <si>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</si>
  <si>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</si>
  <si>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</si>
  <si>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</si>
  <si>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</si>
  <si>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</si>
  <si>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</si>
  <si>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</si>
  <si>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</si>
  <si>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</si>
  <si>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</si>
  <si>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</si>
  <si>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</si>
  <si>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</si>
  <si>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</si>
  <si>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</si>
  <si>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</si>
  <si>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</si>
  <si>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</si>
  <si>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</si>
  <si>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</si>
  <si>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</si>
  <si>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</si>
  <si>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</si>
  <si>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</si>
  <si>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</si>
  <si>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</si>
  <si>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</si>
  <si>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</si>
  <si>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</si>
  <si>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</si>
  <si>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</si>
  <si>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</si>
  <si>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</si>
  <si>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</si>
  <si>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</si>
  <si>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</si>
  <si>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</si>
  <si>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</si>
  <si>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</si>
  <si>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</si>
  <si>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</si>
  <si>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</si>
  <si>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</si>
  <si>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</si>
  <si>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</si>
  <si>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</si>
  <si>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</si>
  <si>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</si>
  <si>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</si>
  <si>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</si>
  <si>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</si>
  <si>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</si>
  <si>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</si>
  <si>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</si>
  <si>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</si>
  <si>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</si>
  <si>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</si>
  <si>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</si>
  <si>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</si>
  <si>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</si>
  <si>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</si>
  <si>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</si>
  <si>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</si>
  <si>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</si>
  <si>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</si>
  <si>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</si>
  <si>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</si>
  <si>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</si>
  <si>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</si>
  <si>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</si>
  <si>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</si>
  <si>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</si>
  <si>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</si>
  <si>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</si>
  <si>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</si>
  <si>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</si>
  <si>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</si>
  <si>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</si>
  <si>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</si>
  <si>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</si>
  <si>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</si>
  <si>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</si>
  <si>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</si>
  <si>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</si>
  <si>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</si>
  <si>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</si>
  <si>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</si>
  <si>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</si>
  <si>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</si>
  <si>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</si>
  <si>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</si>
  <si>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</si>
  <si>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</si>
  <si>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</si>
  <si>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</si>
  <si>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</si>
  <si>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</si>
  <si>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</si>
  <si>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</si>
  <si>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</si>
  <si>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</si>
  <si>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</si>
  <si>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</si>
  <si>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</si>
  <si>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</si>
  <si>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</si>
  <si>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</si>
  <si>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</si>
  <si>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</si>
  <si>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</si>
  <si>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</si>
  <si>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</si>
  <si>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</si>
  <si>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</si>
  <si>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</si>
  <si>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</si>
  <si>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</si>
  <si>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</si>
  <si>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</si>
  <si>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</si>
  <si>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</si>
  <si>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</si>
  <si>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</si>
  <si>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</si>
  <si>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</si>
  <si>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</si>
  <si>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</si>
  <si>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</si>
  <si>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</si>
  <si>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</si>
  <si>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</si>
  <si>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</si>
  <si>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</si>
  <si>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</si>
  <si>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</si>
  <si>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</si>
  <si>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</si>
  <si>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</si>
  <si>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</si>
  <si>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</si>
  <si>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</si>
  <si>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</si>
  <si>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</si>
  <si>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</si>
  <si>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</si>
  <si>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</si>
  <si>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</si>
  <si>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</si>
  <si>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</si>
  <si>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</si>
  <si>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</si>
  <si>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</si>
  <si>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</si>
  <si>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</si>
  <si>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</si>
  <si>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</si>
  <si>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</si>
  <si>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</si>
  <si>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</si>
  <si>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</si>
  <si>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</si>
  <si>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</si>
  <si>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</si>
  <si>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</si>
  <si>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</si>
  <si>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</si>
  <si>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</si>
  <si>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</si>
  <si>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</si>
  <si>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</si>
  <si>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</si>
  <si>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</si>
  <si>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</si>
  <si>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</si>
  <si>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</si>
  <si>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</si>
  <si>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</si>
  <si>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</si>
  <si>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</si>
  <si>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</si>
  <si>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</si>
  <si>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</si>
  <si>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</si>
  <si>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</si>
  <si>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</si>
  <si>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</si>
  <si>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</si>
  <si>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</si>
  <si>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</si>
  <si>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</si>
  <si>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</si>
  <si>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</si>
  <si>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</si>
  <si>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</si>
  <si>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</si>
  <si>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</si>
  <si>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</si>
  <si>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</si>
  <si>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</si>
  <si>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</si>
  <si>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</si>
  <si>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</si>
  <si>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</si>
  <si>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</si>
  <si>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</si>
  <si>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</si>
  <si>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</si>
  <si>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</si>
  <si>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</si>
  <si>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</si>
  <si>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</si>
  <si>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</si>
  <si>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</si>
  <si>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</si>
  <si>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</si>
  <si>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</si>
  <si>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</si>
  <si>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</si>
  <si>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</si>
  <si>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</si>
  <si>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</si>
  <si>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</si>
  <si>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</si>
  <si>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</si>
  <si>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</si>
  <si>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</si>
  <si>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</si>
  <si>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</si>
  <si>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</si>
  <si>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</si>
  <si>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</si>
  <si>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</si>
  <si>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</si>
  <si>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</si>
  <si>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</si>
  <si>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</si>
  <si>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</si>
  <si>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</si>
  <si>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</si>
  <si>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</si>
  <si>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</si>
  <si>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</si>
  <si>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</si>
  <si>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</si>
  <si>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</si>
  <si>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</si>
  <si>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</si>
  <si>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</si>
  <si>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</si>
  <si>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</si>
  <si>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</si>
  <si>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</si>
  <si>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</si>
  <si>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</si>
  <si>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</si>
  <si>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</si>
  <si>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</si>
  <si>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</si>
  <si>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</si>
  <si>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</si>
  <si>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</si>
  <si>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</si>
  <si>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</si>
  <si>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</si>
  <si>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</si>
  <si>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</si>
  <si>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</si>
  <si>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</si>
  <si>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</si>
  <si>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</si>
  <si>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</si>
  <si>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</si>
  <si>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</si>
  <si>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</si>
  <si>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</si>
  <si>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</si>
  <si>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</si>
  <si>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</si>
  <si>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</si>
  <si>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</si>
  <si>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</si>
  <si>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</si>
  <si>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</si>
  <si>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</si>
  <si>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</si>
  <si>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</si>
  <si>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</si>
  <si>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</si>
  <si>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</si>
  <si>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</si>
  <si>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</si>
  <si>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</si>
  <si>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</si>
  <si>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</si>
  <si>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</si>
  <si>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</si>
  <si>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</si>
  <si>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</si>
  <si>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</si>
  <si>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</si>
  <si>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</si>
  <si>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</si>
  <si>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</si>
  <si>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</si>
  <si>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</si>
  <si>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</si>
  <si>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</si>
  <si>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</si>
  <si>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</si>
  <si>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</si>
  <si>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</si>
  <si>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</si>
  <si>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</si>
  <si>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</si>
  <si>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</si>
  <si>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</si>
  <si>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</si>
  <si>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</si>
  <si>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</si>
  <si>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</si>
  <si>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</si>
  <si>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</si>
  <si>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</si>
  <si>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</si>
  <si>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</si>
  <si>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</si>
  <si>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</si>
  <si>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</si>
  <si>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</si>
  <si>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</si>
  <si>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</si>
  <si>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</si>
  <si>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</si>
  <si>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</si>
  <si>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</si>
  <si>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</si>
  <si>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</si>
  <si>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</si>
  <si>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</si>
  <si>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</si>
  <si>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</si>
  <si>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Count of Order_ID</t>
  </si>
  <si>
    <t>0001</t>
  </si>
  <si>
    <t>Order ID:</t>
  </si>
  <si>
    <t>Delivery Date:</t>
  </si>
  <si>
    <t>Order Date:</t>
  </si>
  <si>
    <t>Product Name</t>
  </si>
  <si>
    <t>Unit Price</t>
  </si>
  <si>
    <t>Category:</t>
  </si>
  <si>
    <t>Brand:</t>
  </si>
  <si>
    <t>Region:</t>
  </si>
  <si>
    <t>City:</t>
  </si>
  <si>
    <t>Amount</t>
  </si>
  <si>
    <t>Discount:</t>
  </si>
  <si>
    <t xml:space="preserve">Total Amount: </t>
  </si>
  <si>
    <t>Enter Record No:</t>
  </si>
  <si>
    <t>Thank You...</t>
  </si>
  <si>
    <t>Row Labels</t>
  </si>
  <si>
    <t>Grand Total</t>
  </si>
  <si>
    <t>Count of ProductID</t>
  </si>
  <si>
    <t>Sum of Discount_%</t>
  </si>
  <si>
    <t>Jacket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</si>
</sst>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1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sz val="28"/>
      <color theme="3" tint="-0.249977111117893"/>
      <name val="Arial Black"/>
      <family val="2"/>
    </font>
    <font>
      <sz val="11"/>
      <color theme="3" tint="-0.249977111117893"/>
      <name val="Calibri"/>
      <family val="2"/>
      <scheme val="minor"/>
    </font>
    <font>
      <sz val="11"/>
      <color theme="2" tint="-0.89999084444715716"/>
      <name val="Calibri"/>
      <family val="2"/>
      <scheme val="minor"/>
    </font>
    <font>
      <b/>
      <sz val="14"/>
      <color theme="3" tint="-0.249977111117893"/>
      <name val="Calibri"/>
      <family val="2"/>
      <scheme val="minor"/>
    </font>
    <font>
      <b/>
      <sz val="14"/>
      <color rgb="FF00B050"/>
      <name val="Calibri"/>
      <family val="2"/>
      <scheme val="minor"/>
    </font>
    <font>
      <sz val="14"/>
      <color theme="1"/>
      <name val="Calibri"/>
      <family val="2"/>
      <scheme val="minor"/>
    </font>
    <font>
      <b/>
      <sz val="14"/>
      <color theme="1"/>
      <name val="Calibri"/>
      <family val="2"/>
      <scheme val="minor"/>
    </font>
    <font>
      <i/>
      <sz val="11"/>
      <color theme="1"/>
      <name val="Calibri"/>
      <family val="2"/>
      <scheme val="minor"/>
    </font>
    <font>
      <i/>
      <sz val="11"/>
      <color theme="2" tint="-0.89999084444715716"/>
      <name val="Calibri"/>
      <family val="2"/>
      <scheme val="minor"/>
    </font>
    <font>
      <sz val="11"/>
      <color theme="0"/>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4" tint="0.79998168889431442"/>
        <bgColor indexed="64"/>
      </patternFill>
    </fill>
    <fill>
      <patternFill patternType="solid">
        <fgColor theme="5" tint="-0.249977111117893"/>
        <bgColor theme="5" tint="-0.249977111117893"/>
      </patternFill>
    </fill>
    <fill>
      <patternFill patternType="solid">
        <fgColor theme="5" tint="0.39997558519241921"/>
        <bgColor theme="5" tint="0.39997558519241921"/>
      </patternFill>
    </fill>
  </fills>
  <borders count="2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thin">
        <color theme="5" tint="-0.249977111117893"/>
      </left>
      <right style="thin">
        <color theme="5" tint="-0.249977111117893"/>
      </right>
      <top style="thin">
        <color theme="5" tint="0.79998168889431442"/>
      </top>
      <bottom style="thin">
        <color theme="5" tint="0.79998168889431442"/>
      </bottom>
      <diagonal/>
    </border>
    <border>
      <left/>
      <right/>
      <top style="thin">
        <color theme="5" tint="0.79998168889431442"/>
      </top>
      <bottom style="thin">
        <color theme="5" tint="0.39997558519241921"/>
      </bottom>
      <diagonal/>
    </border>
    <border>
      <left/>
      <right/>
      <top style="thin">
        <color theme="5" tint="0.39997558519241921"/>
      </top>
      <bottom style="thin">
        <color theme="5" tint="0.39997558519241921"/>
      </bottom>
      <diagonal/>
    </border>
    <border>
      <left/>
      <right/>
      <top style="thin">
        <color theme="5" tint="0.39997558519241921"/>
      </top>
      <bottom style="thin">
        <color theme="5" tint="0.79998168889431442"/>
      </bottom>
      <diagonal/>
    </border>
  </borders>
  <cellStyleXfs count="2">
    <xf numFmtId="0" fontId="0" fillId="0" borderId="0"/>
    <xf numFmtId="9" fontId="2" fillId="0" borderId="0" applyFont="0" applyFill="0" applyBorder="0" applyAlignment="0" applyProtection="0"/>
  </cellStyleXfs>
  <cellXfs count="108">
    <xf numFmtId="0" fontId="0" fillId="0" borderId="0" xfId="0"/>
    <xf numFmtId="0" fontId="1" fillId="0" borderId="1" xfId="0" applyFont="1" applyBorder="1" applyAlignment="1">
      <alignment horizontal="center" vertical="top"/>
    </xf>
    <xf numFmtId="164" fontId="0" fillId="0" borderId="0" xfId="0" applyNumberFormat="1"/>
    <xf numFmtId="0" fontId="0" fillId="4" borderId="3" xfId="0" applyFont="1" applyFill="1" applyBorder="1"/>
    <xf numFmtId="9" fontId="0" fillId="0" borderId="0" xfId="1" applyFont="1"/>
    <xf numFmtId="0" fontId="0" fillId="3" borderId="3" xfId="0" applyFont="1" applyFill="1" applyBorder="1"/>
    <xf numFmtId="0" fontId="0" fillId="5" borderId="0" xfId="0" applyFill="1"/>
    <xf numFmtId="0" fontId="0" fillId="0" borderId="0" xfId="0" applyAlignment="1">
      <alignment vertical="center"/>
    </xf>
    <xf numFmtId="0" fontId="0" fillId="3" borderId="2" xfId="0" applyFont="1" applyFill="1" applyBorder="1"/>
    <xf numFmtId="0" fontId="0" fillId="3" borderId="4" xfId="0" applyFont="1" applyFill="1" applyBorder="1"/>
    <xf numFmtId="9" fontId="0" fillId="3" borderId="4" xfId="1" applyNumberFormat="1" applyFont="1" applyFill="1" applyBorder="1"/>
    <xf numFmtId="0" fontId="0" fillId="4" borderId="5" xfId="0" applyFont="1" applyFill="1" applyBorder="1"/>
    <xf numFmtId="9" fontId="0" fillId="4" borderId="3" xfId="1" applyNumberFormat="1" applyFont="1" applyFill="1" applyBorder="1"/>
    <xf numFmtId="0" fontId="0" fillId="3" borderId="5" xfId="0" applyFont="1" applyFill="1" applyBorder="1"/>
    <xf numFmtId="9" fontId="0" fillId="3" borderId="3" xfId="1" applyNumberFormat="1" applyFont="1" applyFill="1" applyBorder="1"/>
    <xf numFmtId="0" fontId="0" fillId="0" borderId="0" xfId="0" applyNumberFormat="1"/>
    <xf numFmtId="0" fontId="3" fillId="2" borderId="6" xfId="0" applyFont="1" applyFill="1" applyBorder="1" applyAlignment="1">
      <alignment horizontal="center" vertical="top"/>
    </xf>
    <xf numFmtId="9" fontId="3" fillId="2" borderId="6" xfId="1" applyNumberFormat="1" applyFont="1" applyFill="1" applyBorder="1" applyAlignment="1">
      <alignment horizontal="center" vertical="top"/>
    </xf>
    <xf numFmtId="0" fontId="0" fillId="3" borderId="0" xfId="0" applyNumberFormat="1" applyFont="1" applyFill="1" applyBorder="1"/>
    <xf numFmtId="0" fontId="0" fillId="3" borderId="0" xfId="0" applyFont="1" applyFill="1" applyBorder="1"/>
    <xf numFmtId="0" fontId="0" fillId="4" borderId="0" xfId="0" applyFont="1" applyFill="1" applyBorder="1"/>
    <xf numFmtId="0" fontId="0" fillId="0" borderId="0" xfId="0" applyNumberFormat="1" applyBorder="1"/>
    <xf numFmtId="0" fontId="0" fillId="0" borderId="0" xfId="0" applyBorder="1"/>
    <xf numFmtId="0" fontId="0" fillId="0" borderId="0" xfId="0" applyBorder="1"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pivotButton="1"/>
    <xf numFmtId="0" fontId="0" fillId="0" borderId="0" xfId="0" applyBorder="1" applyAlignment="1"/>
    <xf numFmtId="0" fontId="0" fillId="0" borderId="1" xfId="0" applyBorder="1"/>
    <xf numFmtId="0" fontId="0" fillId="5" borderId="1" xfId="0" applyFill="1" applyBorder="1"/>
    <xf numFmtId="0" fontId="0" fillId="0" borderId="1" xfId="0" applyBorder="1" applyAlignment="1">
      <alignment horizontal="center" vertical="center"/>
    </xf>
    <xf numFmtId="0" fontId="0" fillId="0" borderId="1" xfId="0" applyBorder="1" applyAlignment="1">
      <alignment vertical="center"/>
    </xf>
    <xf numFmtId="165" fontId="3" fillId="2" borderId="6" xfId="0" applyNumberFormat="1" applyFont="1" applyFill="1" applyBorder="1" applyAlignment="1">
      <alignment horizontal="center" vertical="top"/>
    </xf>
    <xf numFmtId="165" fontId="0" fillId="3" borderId="4" xfId="0" applyNumberFormat="1" applyFont="1" applyFill="1" applyBorder="1"/>
    <xf numFmtId="165" fontId="0" fillId="4" borderId="3" xfId="0" applyNumberFormat="1" applyFont="1" applyFill="1" applyBorder="1"/>
    <xf numFmtId="165" fontId="0" fillId="3" borderId="3" xfId="0" applyNumberFormat="1" applyFont="1" applyFill="1" applyBorder="1"/>
    <xf numFmtId="165" fontId="0" fillId="0" borderId="0" xfId="0" applyNumberFormat="1"/>
    <xf numFmtId="14" fontId="3" fillId="2" borderId="6" xfId="0" applyNumberFormat="1" applyFont="1" applyFill="1" applyBorder="1" applyAlignment="1">
      <alignment horizontal="center" vertical="top"/>
    </xf>
    <xf numFmtId="14" fontId="0" fillId="3" borderId="4" xfId="0" applyNumberFormat="1" applyFont="1" applyFill="1" applyBorder="1"/>
    <xf numFmtId="14" fontId="0" fillId="4" borderId="3" xfId="0" applyNumberFormat="1" applyFont="1" applyFill="1" applyBorder="1"/>
    <xf numFmtId="14" fontId="0" fillId="3" borderId="3" xfId="0" applyNumberFormat="1" applyFont="1" applyFill="1" applyBorder="1"/>
    <xf numFmtId="14" fontId="0" fillId="0" borderId="0" xfId="0" applyNumberFormat="1"/>
    <xf numFmtId="14" fontId="0" fillId="3" borderId="0" xfId="0" applyNumberFormat="1" applyFont="1" applyFill="1" applyBorder="1"/>
    <xf numFmtId="14" fontId="0" fillId="4" borderId="0" xfId="0" applyNumberFormat="1" applyFont="1" applyFill="1" applyBorder="1"/>
    <xf numFmtId="14" fontId="0" fillId="0" borderId="0" xfId="0" applyNumberFormat="1" applyBorder="1"/>
    <xf numFmtId="1" fontId="0" fillId="0" borderId="0" xfId="0" applyNumberFormat="1"/>
    <xf numFmtId="0" fontId="5" fillId="0" borderId="0" xfId="0" applyFont="1" applyBorder="1" applyAlignment="1">
      <alignment vertical="center"/>
    </xf>
    <xf numFmtId="0" fontId="7" fillId="0" borderId="0" xfId="0" applyFont="1" applyFill="1" applyAlignment="1">
      <alignment horizontal="center" vertical="center"/>
    </xf>
    <xf numFmtId="165" fontId="8" fillId="0" borderId="0" xfId="0" applyNumberFormat="1" applyFont="1" applyAlignment="1">
      <alignment horizontal="center" vertical="center"/>
    </xf>
    <xf numFmtId="0" fontId="7" fillId="0" borderId="0" xfId="0" applyFont="1" applyAlignment="1">
      <alignment horizontal="center" vertical="center"/>
    </xf>
    <xf numFmtId="1" fontId="8" fillId="0" borderId="0" xfId="0" applyNumberFormat="1" applyFont="1" applyAlignment="1">
      <alignment horizontal="center" vertical="center"/>
    </xf>
    <xf numFmtId="10" fontId="8" fillId="0" borderId="0" xfId="0" applyNumberFormat="1" applyFont="1" applyAlignment="1">
      <alignment horizontal="center" vertical="center"/>
    </xf>
    <xf numFmtId="0" fontId="4" fillId="5" borderId="0" xfId="0" applyFont="1" applyFill="1" applyBorder="1" applyAlignment="1">
      <alignment vertical="center"/>
    </xf>
    <xf numFmtId="0" fontId="5" fillId="5" borderId="0" xfId="0" applyFont="1" applyFill="1" applyBorder="1" applyAlignment="1">
      <alignment vertical="center"/>
    </xf>
    <xf numFmtId="0" fontId="0" fillId="5" borderId="0" xfId="0" applyFill="1" applyBorder="1" applyAlignment="1"/>
    <xf numFmtId="0" fontId="0" fillId="5" borderId="0" xfId="0" applyFill="1" applyBorder="1"/>
    <xf numFmtId="165" fontId="0" fillId="4" borderId="5" xfId="0" applyNumberFormat="1" applyFont="1" applyFill="1" applyBorder="1"/>
    <xf numFmtId="165" fontId="0" fillId="3" borderId="5" xfId="0" applyNumberFormat="1" applyFont="1" applyFill="1" applyBorder="1"/>
    <xf numFmtId="165" fontId="0" fillId="4" borderId="0" xfId="0" applyNumberFormat="1" applyFont="1" applyFill="1" applyBorder="1"/>
    <xf numFmtId="165" fontId="0" fillId="3" borderId="0" xfId="0" applyNumberFormat="1" applyFont="1" applyFill="1" applyBorder="1"/>
    <xf numFmtId="0" fontId="3" fillId="2" borderId="7" xfId="0" applyNumberFormat="1" applyFont="1" applyFill="1" applyBorder="1" applyAlignment="1">
      <alignment horizontal="center" vertical="top"/>
    </xf>
    <xf numFmtId="14" fontId="3" fillId="2" borderId="7" xfId="0" applyNumberFormat="1" applyFont="1" applyFill="1" applyBorder="1" applyAlignment="1">
      <alignment horizontal="center" vertical="top"/>
    </xf>
    <xf numFmtId="0" fontId="3" fillId="2" borderId="7" xfId="0" applyFont="1" applyFill="1" applyBorder="1" applyAlignment="1">
      <alignment horizontal="center" vertical="top"/>
    </xf>
    <xf numFmtId="0" fontId="0" fillId="0" borderId="8" xfId="0" applyBorder="1"/>
    <xf numFmtId="0" fontId="0" fillId="0" borderId="9" xfId="0" applyBorder="1"/>
    <xf numFmtId="0" fontId="0" fillId="0" borderId="10" xfId="0" applyBorder="1"/>
    <xf numFmtId="0" fontId="10" fillId="0" borderId="0" xfId="0" applyFont="1" applyAlignment="1">
      <alignment vertical="center"/>
    </xf>
    <xf numFmtId="165" fontId="10" fillId="0" borderId="0" xfId="0" applyNumberFormat="1" applyFont="1" applyBorder="1" applyAlignment="1">
      <alignment horizontal="center" vertical="center"/>
    </xf>
    <xf numFmtId="165" fontId="0" fillId="0" borderId="1" xfId="0" applyNumberFormat="1" applyBorder="1" applyAlignment="1">
      <alignment horizontal="center" vertical="center"/>
    </xf>
    <xf numFmtId="9" fontId="0" fillId="0" borderId="1" xfId="1" applyFont="1" applyBorder="1" applyAlignment="1">
      <alignment horizontal="center" vertical="center"/>
    </xf>
    <xf numFmtId="0" fontId="11" fillId="5" borderId="1" xfId="0" applyFont="1" applyFill="1" applyBorder="1" applyAlignment="1">
      <alignment horizontal="center" vertical="center"/>
    </xf>
    <xf numFmtId="0" fontId="11" fillId="6" borderId="1" xfId="0" applyFont="1" applyFill="1" applyBorder="1" applyAlignment="1">
      <alignment horizontal="center" vertical="center"/>
    </xf>
    <xf numFmtId="0" fontId="0" fillId="0" borderId="11" xfId="0" applyBorder="1" applyAlignment="1"/>
    <xf numFmtId="0" fontId="11" fillId="0" borderId="0" xfId="0" applyFont="1" applyBorder="1" applyAlignment="1"/>
    <xf numFmtId="0" fontId="0" fillId="0" borderId="1" xfId="0" applyBorder="1" applyAlignment="1">
      <alignment horizont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0" xfId="0" applyBorder="1" applyAlignment="1">
      <alignment horizontal="center"/>
    </xf>
    <xf numFmtId="0" fontId="12" fillId="0" borderId="0" xfId="0" applyFont="1" applyBorder="1" applyAlignment="1">
      <alignment horizontal="center"/>
    </xf>
    <xf numFmtId="0" fontId="6" fillId="0" borderId="0" xfId="0" applyFont="1" applyBorder="1" applyAlignment="1">
      <alignment horizontal="center"/>
    </xf>
    <xf numFmtId="0" fontId="0" fillId="0" borderId="0" xfId="0" applyBorder="1" applyAlignment="1">
      <alignment horizontal="right" vertical="center"/>
    </xf>
    <xf numFmtId="0" fontId="10" fillId="0" borderId="0" xfId="0" applyFont="1" applyBorder="1" applyAlignment="1">
      <alignment horizontal="right" vertical="center"/>
    </xf>
    <xf numFmtId="49" fontId="9" fillId="5" borderId="1" xfId="0" applyNumberFormat="1" applyFont="1" applyFill="1" applyBorder="1" applyAlignment="1">
      <alignment horizontal="center" vertical="center"/>
    </xf>
    <xf numFmtId="0" fontId="10" fillId="5" borderId="1" xfId="0" applyFont="1" applyFill="1" applyBorder="1" applyAlignment="1">
      <alignment horizontal="center" vertical="center"/>
    </xf>
    <xf numFmtId="0" fontId="0" fillId="5" borderId="1" xfId="0" applyFill="1" applyBorder="1" applyAlignment="1">
      <alignment horizontal="center" vertical="center"/>
    </xf>
    <xf numFmtId="14" fontId="0" fillId="0" borderId="0" xfId="0" applyNumberFormat="1" applyBorder="1" applyAlignment="1">
      <alignment horizontal="left"/>
    </xf>
    <xf numFmtId="14" fontId="0" fillId="0" borderId="12" xfId="0" applyNumberFormat="1" applyBorder="1" applyAlignment="1">
      <alignment horizontal="left"/>
    </xf>
    <xf numFmtId="0" fontId="11" fillId="5"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left"/>
    </xf>
    <xf numFmtId="0" fontId="9" fillId="5" borderId="1" xfId="0" applyNumberFormat="1" applyFont="1" applyFill="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0" fontId="0" fillId="0" borderId="0" xfId="0" applyAlignment="1">
      <alignment horizontal="left"/>
    </xf>
    <xf numFmtId="0" fontId="0" fillId="0" borderId="20" xfId="0" applyFont="1" applyBorder="1"/>
    <xf numFmtId="0" fontId="13" fillId="7" borderId="19" xfId="0" applyFont="1" applyFill="1" applyBorder="1"/>
    <xf numFmtId="0" fontId="13" fillId="8" borderId="22" xfId="0" applyFont="1" applyFill="1" applyBorder="1"/>
    <xf numFmtId="0" fontId="13" fillId="8" borderId="23" xfId="0" applyFont="1" applyFill="1" applyBorder="1"/>
    <xf numFmtId="0" fontId="13" fillId="8" borderId="24" xfId="0" applyFont="1" applyFill="1" applyBorder="1"/>
    <xf numFmtId="0" fontId="3" fillId="8" borderId="20" xfId="0" applyFont="1" applyFill="1" applyBorder="1"/>
    <xf numFmtId="0" fontId="0" fillId="0" borderId="21" xfId="0" applyNumberFormat="1" applyFont="1" applyBorder="1"/>
    <xf numFmtId="0" fontId="3" fillId="8" borderId="21" xfId="0" applyNumberFormat="1" applyFont="1" applyFill="1" applyBorder="1"/>
  </cellXfs>
  <cellStyles count="2">
    <cellStyle name="Normal" xfId="0" builtinId="0"/>
    <cellStyle name="Percent" xfId="1" builtinId="5"/>
  </cellStyles>
  <dxfs count="70">
    <dxf>
      <font>
        <sz val="14"/>
      </font>
    </dxf>
    <dxf>
      <font>
        <sz val="14"/>
      </font>
    </dxf>
    <dxf>
      <font>
        <sz val="14"/>
      </font>
    </dxf>
    <dxf>
      <numFmt numFmtId="1" formatCode="0"/>
    </dxf>
    <dxf>
      <font>
        <color rgb="FF00B050"/>
      </font>
      <numFmt numFmtId="165" formatCode="&quot;₹&quot;\ #,##0.00"/>
    </dxf>
    <dxf>
      <font>
        <b/>
        <sz val="12"/>
        <color theme="3" tint="-0.249977111117893"/>
      </font>
      <alignment horizontal="center" vertical="center" readingOrder="0"/>
    </dxf>
    <dxf>
      <font>
        <b/>
        <sz val="12"/>
        <color theme="3" tint="-0.249977111117893"/>
      </font>
      <alignment horizontal="center" vertical="center" readingOrder="0"/>
    </dxf>
    <dxf>
      <font>
        <b/>
        <sz val="12"/>
        <color theme="3" tint="-0.249977111117893"/>
      </font>
      <alignment horizontal="center" vertical="center" readingOrder="0"/>
    </dxf>
    <dxf>
      <font>
        <sz val="14"/>
      </font>
    </dxf>
    <dxf>
      <font>
        <sz val="14"/>
      </font>
    </dxf>
    <dxf>
      <font>
        <sz val="14"/>
      </font>
    </dxf>
    <dxf>
      <numFmt numFmtId="14" formatCode="0.00%"/>
    </dxf>
    <dxf>
      <numFmt numFmtId="1" formatCode="0"/>
    </dxf>
    <dxf>
      <font>
        <color rgb="FF00B050"/>
      </font>
      <numFmt numFmtId="165" formatCode="&quot;₹&quot;\ #,##0.00"/>
    </dxf>
    <dxf>
      <font>
        <b/>
        <sz val="12"/>
        <color theme="3" tint="-0.249977111117893"/>
      </font>
      <alignment horizontal="center" vertical="center" readingOrder="0"/>
    </dxf>
    <dxf>
      <font>
        <b/>
        <sz val="12"/>
        <color theme="3" tint="-0.249977111117893"/>
      </font>
      <alignment horizontal="center" vertical="center" readingOrder="0"/>
    </dxf>
    <dxf>
      <font>
        <b/>
        <sz val="12"/>
        <color theme="3" tint="-0.249977111117893"/>
      </font>
      <alignment horizontal="center" vertical="center" readingOrder="0"/>
    </dxf>
    <dxf>
      <font>
        <sz val="14"/>
      </font>
    </dxf>
    <dxf>
      <font>
        <sz val="14"/>
      </font>
    </dxf>
    <dxf>
      <font>
        <sz val="14"/>
      </font>
    </dxf>
    <dxf>
      <numFmt numFmtId="1" formatCode="0"/>
    </dxf>
    <dxf>
      <font>
        <color rgb="FF00B050"/>
      </font>
      <numFmt numFmtId="165" formatCode="&quot;₹&quot;\ #,##0.00"/>
    </dxf>
    <dxf>
      <numFmt numFmtId="1" formatCode="0"/>
    </dxf>
    <dxf>
      <font>
        <b/>
        <sz val="12"/>
        <color theme="3" tint="-0.249977111117893"/>
      </font>
      <alignment horizontal="center" vertical="center" readingOrder="0"/>
    </dxf>
    <dxf>
      <font>
        <b/>
        <sz val="12"/>
        <color theme="3" tint="-0.249977111117893"/>
      </font>
      <alignment horizontal="center" vertical="center" readingOrder="0"/>
    </dxf>
    <dxf>
      <font>
        <b/>
        <sz val="12"/>
        <color theme="3" tint="-0.249977111117893"/>
      </font>
      <alignment horizontal="center" vertical="center" readingOrder="0"/>
    </dxf>
    <dxf>
      <font>
        <sz val="14"/>
      </font>
    </dxf>
    <dxf>
      <font>
        <sz val="14"/>
      </font>
    </dxf>
    <dxf>
      <font>
        <sz val="14"/>
      </font>
    </dxf>
    <dxf>
      <numFmt numFmtId="165" formatCode="&quot;₹&quot;\ #,##0.00"/>
    </dxf>
    <dxf>
      <font>
        <color rgb="FF00B050"/>
      </font>
    </dxf>
    <dxf>
      <font>
        <b/>
        <sz val="12"/>
        <color theme="3" tint="-0.249977111117893"/>
      </font>
      <alignment horizontal="center" vertical="center" readingOrder="0"/>
    </dxf>
    <dxf>
      <font>
        <b/>
        <sz val="12"/>
        <color theme="3" tint="-0.249977111117893"/>
      </font>
      <alignment horizontal="center" vertical="center" readingOrder="0"/>
    </dxf>
    <dxf>
      <font>
        <b/>
        <sz val="12"/>
        <color theme="3" tint="-0.249977111117893"/>
      </font>
      <alignment horizontal="center" vertical="center" readingOrder="0"/>
    </dxf>
    <dxf>
      <font>
        <sz val="14"/>
      </font>
    </dxf>
    <dxf>
      <font>
        <sz val="14"/>
      </font>
    </dxf>
    <dxf>
      <font>
        <sz val="14"/>
      </font>
    </dxf>
    <dxf>
      <font>
        <color theme="3" tint="-0.249977111117893"/>
      </font>
    </dxf>
    <dxf>
      <font>
        <b/>
      </font>
    </dxf>
    <dxf>
      <font>
        <b/>
      </font>
    </dxf>
    <dxf>
      <font>
        <color rgb="FF00B050"/>
      </font>
    </dxf>
    <dxf>
      <fill>
        <patternFill>
          <bgColor auto="1"/>
        </patternFill>
      </fill>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5" formatCode="&quot;₹&quot;\ #,##0.00"/>
    </dxf>
    <dxf>
      <font>
        <b val="0"/>
        <i val="0"/>
        <strike val="0"/>
        <condense val="0"/>
        <extend val="0"/>
        <outline val="0"/>
        <shadow val="0"/>
        <u val="none"/>
        <vertAlign val="baseline"/>
        <sz val="11"/>
        <color theme="1"/>
        <name val="Calibri"/>
        <scheme val="minor"/>
      </font>
      <numFmt numFmtId="0" formatCode="General"/>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scheme val="minor"/>
      </font>
      <numFmt numFmtId="19" formatCode="dd/mm/yyyy"/>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scheme val="minor"/>
      </font>
      <numFmt numFmtId="0" formatCode="General"/>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scheme val="minor"/>
      </font>
      <numFmt numFmtId="19" formatCode="dd/mm/yyyy"/>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scheme val="minor"/>
      </font>
      <numFmt numFmtId="165" formatCode="&quot;₹&quot;\ #,##0.00"/>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scheme val="minor"/>
      </font>
      <numFmt numFmtId="165" formatCode="&quot;₹&quot;\ #,##0.00"/>
      <fill>
        <patternFill patternType="solid">
          <fgColor theme="4" tint="0.79998168889431442"/>
          <bgColor theme="4" tint="0.79998168889431442"/>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scheme val="minor"/>
      </font>
      <numFmt numFmtId="165" formatCode="&quot;₹&quot;\ #,##0.00"/>
      <fill>
        <patternFill patternType="solid">
          <fgColor theme="4" tint="0.79998168889431442"/>
          <bgColor theme="4" tint="0.79998168889431442"/>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alibri"/>
        <scheme val="minor"/>
      </font>
      <numFmt numFmtId="13" formatCode="0%"/>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scheme val="minor"/>
      </font>
      <numFmt numFmtId="165" formatCode="&quot;₹&quot;\ #,##0.00"/>
      <fill>
        <patternFill patternType="solid">
          <fgColor theme="4" tint="0.79998168889431442"/>
          <bgColor theme="4" tint="0.79998168889431442"/>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top style="thin">
          <color auto="1"/>
        </top>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[ecommerce_sales_data_realistic.xlsx]Pivot Tables!PivotTable15</c:name>
    <c:fmtId val="4"/>
  </c:pivotSource>
  <c:chart>
    <c:title>
      <c:tx>
        <c:rich>
          <a:bodyPr rot="0" spcFirstLastPara="1" vertOverflow="ellipsis" vert="horz" wrap="square" anchor="ctr" anchorCtr="1"/>
          <a:lstStyle/>
          <a:p>
            <a:pPr>
              <a:defRPr sz="1600" b="1" i="0" u="none" strike="noStrike" kern="1200" cap="none" spc="0" normalizeH="0" baseline="0">
                <a:solidFill>
                  <a:schemeClr val="tx2">
                    <a:lumMod val="75000"/>
                  </a:schemeClr>
                </a:solidFill>
                <a:latin typeface="+mj-lt"/>
                <a:ea typeface="+mj-ea"/>
                <a:cs typeface="+mj-cs"/>
              </a:defRPr>
            </a:pPr>
            <a:r>
              <a:rPr lang="en-IN">
                <a:solidFill>
                  <a:schemeClr val="tx2">
                    <a:lumMod val="75000"/>
                  </a:schemeClr>
                </a:solidFill>
              </a:rPr>
              <a:t>Monthly Sales Performance</a:t>
            </a:r>
          </a:p>
        </c:rich>
      </c:tx>
      <c:layout>
        <c:manualLayout>
          <c:xMode val="edge"/>
          <c:yMode val="edge"/>
          <c:x val="0.2440680046974438"/>
          <c:y val="2.4577569001041161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2">
                  <a:lumMod val="7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2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2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2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trendline>
            <c:spPr>
              <a:ln w="19050" cap="rnd">
                <a:solidFill>
                  <a:schemeClr val="accent1"/>
                </a:solidFill>
              </a:ln>
              <a:effectLst/>
            </c:spPr>
            <c:trendlineType val="linear"/>
            <c:dispRSqr val="0"/>
            <c:dispEq val="0"/>
          </c:trendline>
          <c:trendline>
            <c:spPr>
              <a:ln w="12700" cap="rnd">
                <a:solidFill>
                  <a:srgbClr val="FF0000"/>
                </a:solidFill>
                <a:headEnd type="none" w="sm" len="med"/>
              </a:ln>
              <a:effectLst/>
            </c:spPr>
            <c:trendlineType val="linear"/>
            <c:dispRSqr val="0"/>
            <c:dispEq val="0"/>
          </c:trendline>
          <c:cat>
            <c:strRef>
              <c:f>'Pivot Tables'!$A$2:$A$13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Tables'!$B$2:$B$13</c:f>
              <c:numCache>
                <c:formatCode>General</c:formatCode>
                <c:ptCount val="12"/>
                <c:pt idx="0">
                  <c:v>2766419.4845000012</c:v>
                </c:pt>
                <c:pt idx="1">
                  <c:v>3168947.8149999995</c:v>
                </c:pt>
                <c:pt idx="2">
                  <c:v>2836240.1124999998</c:v>
                </c:pt>
                <c:pt idx="3">
                  <c:v>2103874.2899999996</c:v>
                </c:pt>
                <c:pt idx="4">
                  <c:v>3194801.9619999998</c:v>
                </c:pt>
                <c:pt idx="5">
                  <c:v>3059869.6650000005</c:v>
                </c:pt>
                <c:pt idx="6">
                  <c:v>2129915.4490000005</c:v>
                </c:pt>
                <c:pt idx="7">
                  <c:v>2445305.0640000007</c:v>
                </c:pt>
                <c:pt idx="8">
                  <c:v>2644540.888499999</c:v>
                </c:pt>
                <c:pt idx="9">
                  <c:v>3370594.6489999993</c:v>
                </c:pt>
                <c:pt idx="10">
                  <c:v>2586855.5285000005</c:v>
                </c:pt>
                <c:pt idx="11">
                  <c:v>1790334.2684999995</c:v>
                </c:pt>
              </c:numCache>
            </c:numRef>
          </c:val>
          <c:smooth val="0"/>
          <c:extLst>
            <c:ext xmlns:c16="http://schemas.microsoft.com/office/drawing/2014/chart" uri="{C3380CC4-5D6E-409C-BE32-E72D297353CC}">
              <c16:uniqueId val="{00000002-88CC-48CC-A397-9771A1A5E490}"/>
            </c:ext>
          </c:extLst>
        </c:ser>
        <c:dLbls>
          <c:showLegendKey val="0"/>
          <c:showVal val="0"/>
          <c:showCatName val="0"/>
          <c:showSerName val="0"/>
          <c:showPercent val="0"/>
          <c:showBubbleSize val="0"/>
        </c:dLbls>
        <c:marker val="1"/>
        <c:smooth val="0"/>
        <c:axId val="-1139257088"/>
        <c:axId val="-1139254912"/>
      </c:lineChart>
      <c:catAx>
        <c:axId val="-113925708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1" i="0" u="none" strike="noStrike" kern="1200" cap="none" spc="0" normalizeH="0" baseline="0">
                <a:solidFill>
                  <a:schemeClr val="tx2">
                    <a:lumMod val="75000"/>
                  </a:schemeClr>
                </a:solidFill>
                <a:latin typeface="+mn-lt"/>
                <a:ea typeface="+mn-ea"/>
                <a:cs typeface="+mn-cs"/>
              </a:defRPr>
            </a:pPr>
            <a:endParaRPr lang="en-US"/>
          </a:p>
        </c:txPr>
        <c:crossAx val="-1139254912"/>
        <c:crosses val="autoZero"/>
        <c:auto val="1"/>
        <c:lblAlgn val="ctr"/>
        <c:lblOffset val="100"/>
        <c:noMultiLvlLbl val="0"/>
      </c:catAx>
      <c:valAx>
        <c:axId val="-1139254912"/>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2">
                    <a:lumMod val="75000"/>
                  </a:schemeClr>
                </a:solidFill>
                <a:latin typeface="+mn-lt"/>
                <a:ea typeface="+mn-ea"/>
                <a:cs typeface="+mn-cs"/>
              </a:defRPr>
            </a:pPr>
            <a:endParaRPr lang="en-US"/>
          </a:p>
        </c:txPr>
        <c:crossAx val="-113925708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[ecommerce_sales_data_realistic.xlsx]Pivot Tables!PivotTable5</c:name>
    <c:fmtId val="58"/>
  </c:pivotSource>
  <c:chart>
    <c:title>
      <c:tx>
        <c:rich>
          <a:bodyPr rot="0" spcFirstLastPara="1" vertOverflow="ellipsis" vert="horz" wrap="square" anchor="ctr" anchorCtr="1"/>
          <a:lstStyle/>
          <a:p>
            <a:pPr algn="ctr" rtl="0">
              <a:defRPr lang="en-IN" sz="1600" b="1" i="0" u="none" strike="noStrike" kern="1200" cap="none" spc="0" normalizeH="0" baseline="0">
                <a:solidFill>
                  <a:schemeClr val="tx2">
                    <a:lumMod val="75000"/>
                  </a:schemeClr>
                </a:solidFill>
                <a:latin typeface="+mj-lt"/>
                <a:ea typeface="+mj-ea"/>
                <a:cs typeface="+mj-cs"/>
              </a:defRPr>
            </a:pPr>
            <a:r>
              <a:rPr lang="en-IN" sz="1600" b="1" i="0" u="none" strike="noStrike" kern="1200" cap="none" spc="0" normalizeH="0" baseline="0">
                <a:solidFill>
                  <a:schemeClr val="tx2">
                    <a:lumMod val="75000"/>
                  </a:schemeClr>
                </a:solidFill>
                <a:latin typeface="+mj-lt"/>
                <a:ea typeface="+mj-ea"/>
                <a:cs typeface="+mj-cs"/>
              </a:rPr>
              <a:t>Total Sales &amp; Profits Per Catgory</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0" normalizeH="0" baseline="0">
              <a:solidFill>
                <a:schemeClr val="tx2">
                  <a:lumMod val="7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1" i="0" u="none" strike="noStrike" kern="1200" cap="none" spc="0" normalizeH="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1" i="0" u="none" strike="noStrike" kern="1200" cap="none" spc="0" normalizeH="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Sum of Total_Sales</c:v>
                </c:pt>
              </c:strCache>
            </c:strRef>
          </c:tx>
          <c:spPr>
            <a:solidFill>
              <a:schemeClr val="accent1"/>
            </a:solidFill>
            <a:ln>
              <a:noFill/>
            </a:ln>
            <a:effectLst/>
          </c:spPr>
          <c:invertIfNegative val="0"/>
          <c:cat>
            <c:strRef>
              <c:f>'Pivot Tables'!$D$2:$D$6</c:f>
              <c:strCache>
                <c:ptCount val="5"/>
                <c:pt idx="0">
                  <c:v>Clothing</c:v>
                </c:pt>
                <c:pt idx="1">
                  <c:v>Electronics</c:v>
                </c:pt>
                <c:pt idx="2">
                  <c:v>Footwear</c:v>
                </c:pt>
                <c:pt idx="3">
                  <c:v>Furniture</c:v>
                </c:pt>
                <c:pt idx="4">
                  <c:v>Home Appliance</c:v>
                </c:pt>
              </c:strCache>
            </c:strRef>
          </c:cat>
          <c:val>
            <c:numRef>
              <c:f>'Pivot Tables'!$E$2:$E$6</c:f>
              <c:numCache>
                <c:formatCode>General</c:formatCode>
                <c:ptCount val="5"/>
                <c:pt idx="0">
                  <c:v>1022503.879</c:v>
                </c:pt>
                <c:pt idx="1">
                  <c:v>8986284.6645</c:v>
                </c:pt>
                <c:pt idx="2">
                  <c:v>1171142.0375000001</c:v>
                </c:pt>
                <c:pt idx="3">
                  <c:v>14154979.614999998</c:v>
                </c:pt>
                <c:pt idx="4">
                  <c:v>6762788.9804999996</c:v>
                </c:pt>
              </c:numCache>
            </c:numRef>
          </c:val>
          <c:extLst>
            <c:ext xmlns:c16="http://schemas.microsoft.com/office/drawing/2014/chart" uri="{C3380CC4-5D6E-409C-BE32-E72D297353CC}">
              <c16:uniqueId val="{00000000-4D15-45E3-9950-2C73AD435A6A}"/>
            </c:ext>
          </c:extLst>
        </c:ser>
        <c:ser>
          <c:idx val="1"/>
          <c:order val="1"/>
          <c:tx>
            <c:strRef>
              <c:f>'Pivot Tables'!$F$1</c:f>
              <c:strCache>
                <c:ptCount val="1"/>
                <c:pt idx="0">
                  <c:v>Sum of Profit</c:v>
                </c:pt>
              </c:strCache>
            </c:strRef>
          </c:tx>
          <c:spPr>
            <a:solidFill>
              <a:schemeClr val="accent3"/>
            </a:solidFill>
            <a:ln>
              <a:noFill/>
            </a:ln>
            <a:effectLst/>
          </c:spPr>
          <c:invertIfNegative val="0"/>
          <c:cat>
            <c:strRef>
              <c:f>'Pivot Tables'!$D$2:$D$6</c:f>
              <c:strCache>
                <c:ptCount val="5"/>
                <c:pt idx="0">
                  <c:v>Clothing</c:v>
                </c:pt>
                <c:pt idx="1">
                  <c:v>Electronics</c:v>
                </c:pt>
                <c:pt idx="2">
                  <c:v>Footwear</c:v>
                </c:pt>
                <c:pt idx="3">
                  <c:v>Furniture</c:v>
                </c:pt>
                <c:pt idx="4">
                  <c:v>Home Appliance</c:v>
                </c:pt>
              </c:strCache>
            </c:strRef>
          </c:cat>
          <c:val>
            <c:numRef>
              <c:f>'Pivot Tables'!$F$2:$F$6</c:f>
              <c:numCache>
                <c:formatCode>General</c:formatCode>
                <c:ptCount val="5"/>
                <c:pt idx="0">
                  <c:v>187590.35000000003</c:v>
                </c:pt>
                <c:pt idx="1">
                  <c:v>2328040.21</c:v>
                </c:pt>
                <c:pt idx="2">
                  <c:v>219906.86</c:v>
                </c:pt>
                <c:pt idx="3">
                  <c:v>4149124.8999999971</c:v>
                </c:pt>
                <c:pt idx="4">
                  <c:v>2003335.5500000007</c:v>
                </c:pt>
              </c:numCache>
            </c:numRef>
          </c:val>
          <c:extLst>
            <c:ext xmlns:c16="http://schemas.microsoft.com/office/drawing/2014/chart" uri="{C3380CC4-5D6E-409C-BE32-E72D297353CC}">
              <c16:uniqueId val="{00000001-4D15-45E3-9950-2C73AD435A6A}"/>
            </c:ext>
          </c:extLst>
        </c:ser>
        <c:dLbls>
          <c:showLegendKey val="0"/>
          <c:showVal val="0"/>
          <c:showCatName val="0"/>
          <c:showSerName val="0"/>
          <c:showPercent val="0"/>
          <c:showBubbleSize val="0"/>
        </c:dLbls>
        <c:gapWidth val="150"/>
        <c:axId val="-1139261984"/>
        <c:axId val="-1139263072"/>
      </c:barChart>
      <c:catAx>
        <c:axId val="-1139261984"/>
        <c:scaling>
          <c:orientation val="minMax"/>
        </c:scaling>
        <c:delete val="0"/>
        <c:axPos val="b"/>
        <c:title>
          <c:tx>
            <c:rich>
              <a:bodyPr rot="0" spcFirstLastPara="1" vertOverflow="ellipsis" vert="horz" wrap="square" anchor="ctr" anchorCtr="1"/>
              <a:lstStyle/>
              <a:p>
                <a:pPr algn="ctr" rtl="0">
                  <a:defRPr lang="en-IN" sz="900" b="1" i="0" u="none" strike="noStrike" kern="1200" cap="none" spc="0" normalizeH="0" baseline="0">
                    <a:solidFill>
                      <a:sysClr val="windowText" lastClr="000000">
                        <a:lumMod val="65000"/>
                        <a:lumOff val="35000"/>
                      </a:sysClr>
                    </a:solidFill>
                    <a:latin typeface="+mn-lt"/>
                    <a:ea typeface="+mn-ea"/>
                    <a:cs typeface="+mn-cs"/>
                  </a:defRPr>
                </a:pPr>
                <a:r>
                  <a:rPr lang="en-IN" sz="900" b="1" i="0" u="none" strike="noStrike" kern="1200" baseline="0">
                    <a:solidFill>
                      <a:sysClr val="windowText" lastClr="000000">
                        <a:lumMod val="65000"/>
                        <a:lumOff val="35000"/>
                      </a:sysClr>
                    </a:solidFill>
                    <a:latin typeface="+mn-lt"/>
                    <a:ea typeface="+mn-ea"/>
                    <a:cs typeface="+mn-cs"/>
                  </a:rPr>
                  <a:t>Categories</a:t>
                </a:r>
              </a:p>
            </c:rich>
          </c:tx>
          <c:overlay val="0"/>
          <c:spPr>
            <a:noFill/>
            <a:ln>
              <a:noFill/>
            </a:ln>
            <a:effectLst/>
          </c:spPr>
          <c:txPr>
            <a:bodyPr rot="0" spcFirstLastPara="1" vertOverflow="ellipsis" vert="horz" wrap="square" anchor="ctr" anchorCtr="1"/>
            <a:lstStyle/>
            <a:p>
              <a:pPr algn="ctr" rtl="0">
                <a:defRPr lang="en-IN" sz="900" b="1" i="0" u="none" strike="noStrike" kern="1200" cap="none" spc="0" normalizeH="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1050" b="1" i="0" u="none" strike="noStrike" kern="1200" cap="none" spc="0" normalizeH="0" baseline="0">
                <a:solidFill>
                  <a:schemeClr val="tx2">
                    <a:lumMod val="75000"/>
                  </a:schemeClr>
                </a:solidFill>
                <a:latin typeface="+mn-lt"/>
                <a:ea typeface="+mn-ea"/>
                <a:cs typeface="+mn-cs"/>
              </a:defRPr>
            </a:pPr>
            <a:endParaRPr lang="en-US"/>
          </a:p>
        </c:txPr>
        <c:crossAx val="-1139263072"/>
        <c:crosses val="autoZero"/>
        <c:auto val="1"/>
        <c:lblAlgn val="ctr"/>
        <c:lblOffset val="100"/>
        <c:noMultiLvlLbl val="0"/>
      </c:catAx>
      <c:valAx>
        <c:axId val="-113926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900" b="1" i="0" u="none" strike="noStrike" kern="1200" cap="none" spc="0" normalizeH="0" baseline="0">
                    <a:solidFill>
                      <a:sysClr val="windowText" lastClr="000000">
                        <a:lumMod val="65000"/>
                        <a:lumOff val="35000"/>
                      </a:sysClr>
                    </a:solidFill>
                    <a:latin typeface="+mn-lt"/>
                    <a:ea typeface="+mn-ea"/>
                    <a:cs typeface="+mn-cs"/>
                  </a:defRPr>
                </a:pPr>
                <a:r>
                  <a:rPr lang="en-IN" sz="900" b="1" i="0" u="none" strike="noStrike" kern="1200" baseline="0">
                    <a:solidFill>
                      <a:sysClr val="windowText" lastClr="000000">
                        <a:lumMod val="65000"/>
                        <a:lumOff val="35000"/>
                      </a:sysClr>
                    </a:solidFill>
                    <a:latin typeface="+mn-lt"/>
                    <a:ea typeface="+mn-ea"/>
                    <a:cs typeface="+mn-cs"/>
                  </a:rPr>
                  <a:t>Total Sales</a:t>
                </a:r>
              </a:p>
            </c:rich>
          </c:tx>
          <c:overlay val="0"/>
          <c:spPr>
            <a:noFill/>
            <a:ln>
              <a:noFill/>
            </a:ln>
            <a:effectLst/>
          </c:spPr>
          <c:txPr>
            <a:bodyPr rot="-5400000" spcFirstLastPara="1" vertOverflow="ellipsis" vert="horz" wrap="square" anchor="ctr" anchorCtr="1"/>
            <a:lstStyle/>
            <a:p>
              <a:pPr algn="ctr" rtl="0">
                <a:defRPr lang="en-IN" sz="900" b="1" i="0" u="none" strike="noStrike" kern="1200" cap="none" spc="0" normalizeH="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050" b="1" i="0" u="none" strike="noStrike" kern="1200" cap="none" spc="0" normalizeH="0" baseline="0">
                <a:solidFill>
                  <a:schemeClr val="tx2">
                    <a:lumMod val="75000"/>
                  </a:schemeClr>
                </a:solidFill>
                <a:latin typeface="+mn-lt"/>
                <a:ea typeface="+mn-ea"/>
                <a:cs typeface="+mn-cs"/>
              </a:defRPr>
            </a:pPr>
            <a:endParaRPr lang="en-US"/>
          </a:p>
        </c:txPr>
        <c:crossAx val="-1139261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IN" sz="1050" b="1" i="0" u="none" strike="noStrike" kern="1200" cap="none" spc="0" normalizeH="0" baseline="0">
              <a:solidFill>
                <a:schemeClr val="tx2">
                  <a:lumMod val="7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lgn="ctr">
        <a:defRPr lang="en-IN" sz="900" b="1" i="0" u="none" strike="noStrike" kern="1200" cap="none" spc="0" normalizeH="0" baseline="0">
          <a:solidFill>
            <a:schemeClr val="tx2">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[ecommerce_sales_data_realistic.xlsx]Pivot Tables!PivotTable7</c:name>
    <c:fmtId val="69"/>
  </c:pivotSource>
  <c:chart>
    <c:title>
      <c:tx>
        <c:rich>
          <a:bodyPr rot="0" spcFirstLastPara="1" vertOverflow="ellipsis" vert="horz" wrap="square" anchor="ctr" anchorCtr="1"/>
          <a:lstStyle/>
          <a:p>
            <a:pPr algn="ctr" rtl="0">
              <a:defRPr lang="en-US" sz="1600" b="1" i="0" u="none" strike="noStrike" kern="1200" cap="none" spc="0" normalizeH="0" baseline="0">
                <a:solidFill>
                  <a:schemeClr val="tx2">
                    <a:lumMod val="75000"/>
                  </a:schemeClr>
                </a:solidFill>
                <a:latin typeface="+mj-lt"/>
                <a:ea typeface="+mj-ea"/>
                <a:cs typeface="+mj-cs"/>
              </a:defRPr>
            </a:pPr>
            <a:r>
              <a:rPr lang="en-US" sz="1600" b="1" i="0" u="none" strike="noStrike" kern="1200" cap="none" spc="0" normalizeH="0" baseline="0">
                <a:solidFill>
                  <a:schemeClr val="tx2">
                    <a:lumMod val="75000"/>
                  </a:schemeClr>
                </a:solidFill>
                <a:latin typeface="+mj-lt"/>
                <a:ea typeface="+mj-ea"/>
                <a:cs typeface="+mj-cs"/>
              </a:rPr>
              <a:t>Top 5 Brands (By Sales) </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normalizeH="0" baseline="0">
              <a:solidFill>
                <a:schemeClr val="tx2">
                  <a:lumMod val="7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1050" b="1"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1050" b="1" i="0" u="none" strike="noStrike" kern="1200" baseline="0">
                  <a:solidFill>
                    <a:schemeClr val="tx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c:f>
              <c:strCache>
                <c:ptCount val="1"/>
                <c:pt idx="0">
                  <c:v>Total</c:v>
                </c:pt>
              </c:strCache>
            </c:strRef>
          </c:tx>
          <c:spPr>
            <a:solidFill>
              <a:schemeClr val="accent1">
                <a:lumMod val="75000"/>
              </a:schemeClr>
            </a:solidFill>
            <a:ln>
              <a:noFill/>
            </a:ln>
            <a:effectLst/>
          </c:spPr>
          <c:invertIfNegative val="0"/>
          <c:cat>
            <c:strRef>
              <c:f>'Pivot Tables'!$L$2:$L$6</c:f>
              <c:strCache>
                <c:ptCount val="5"/>
                <c:pt idx="0">
                  <c:v>Godrej Interio</c:v>
                </c:pt>
                <c:pt idx="1">
                  <c:v>HomeTown</c:v>
                </c:pt>
                <c:pt idx="2">
                  <c:v>Ikea</c:v>
                </c:pt>
                <c:pt idx="3">
                  <c:v>Nilkamal</c:v>
                </c:pt>
                <c:pt idx="4">
                  <c:v>Samsung</c:v>
                </c:pt>
              </c:strCache>
            </c:strRef>
          </c:cat>
          <c:val>
            <c:numRef>
              <c:f>'Pivot Tables'!$M$2:$M$6</c:f>
              <c:numCache>
                <c:formatCode>General</c:formatCode>
                <c:ptCount val="5"/>
                <c:pt idx="0">
                  <c:v>3769531.5449999999</c:v>
                </c:pt>
                <c:pt idx="1">
                  <c:v>3352451.3749999995</c:v>
                </c:pt>
                <c:pt idx="2">
                  <c:v>4683633.2399999993</c:v>
                </c:pt>
                <c:pt idx="3">
                  <c:v>2349363.4549999996</c:v>
                </c:pt>
                <c:pt idx="4">
                  <c:v>3554384.7605000003</c:v>
                </c:pt>
              </c:numCache>
            </c:numRef>
          </c:val>
          <c:extLst>
            <c:ext xmlns:c16="http://schemas.microsoft.com/office/drawing/2014/chart" uri="{C3380CC4-5D6E-409C-BE32-E72D297353CC}">
              <c16:uniqueId val="{00000000-8AE4-419C-9D7B-9FAC7B05D16A}"/>
            </c:ext>
          </c:extLst>
        </c:ser>
        <c:dLbls>
          <c:showLegendKey val="0"/>
          <c:showVal val="0"/>
          <c:showCatName val="0"/>
          <c:showSerName val="0"/>
          <c:showPercent val="0"/>
          <c:showBubbleSize val="0"/>
        </c:dLbls>
        <c:gapWidth val="182"/>
        <c:axId val="-1025631216"/>
        <c:axId val="-987032352"/>
      </c:barChart>
      <c:catAx>
        <c:axId val="-102563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1050" b="1" i="0" u="none" strike="noStrike" kern="1200" baseline="0">
                <a:solidFill>
                  <a:schemeClr val="tx2">
                    <a:lumMod val="75000"/>
                  </a:schemeClr>
                </a:solidFill>
                <a:latin typeface="+mn-lt"/>
                <a:ea typeface="+mn-ea"/>
                <a:cs typeface="+mn-cs"/>
              </a:defRPr>
            </a:pPr>
            <a:endParaRPr lang="en-US"/>
          </a:p>
        </c:txPr>
        <c:crossAx val="-987032352"/>
        <c:crosses val="autoZero"/>
        <c:auto val="1"/>
        <c:lblAlgn val="ctr"/>
        <c:lblOffset val="100"/>
        <c:noMultiLvlLbl val="0"/>
      </c:catAx>
      <c:valAx>
        <c:axId val="-98703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050" b="1" i="0" u="none" strike="noStrike" kern="1200" baseline="0">
                <a:solidFill>
                  <a:schemeClr val="tx2">
                    <a:lumMod val="75000"/>
                  </a:schemeClr>
                </a:solidFill>
                <a:latin typeface="+mn-lt"/>
                <a:ea typeface="+mn-ea"/>
                <a:cs typeface="+mn-cs"/>
              </a:defRPr>
            </a:pPr>
            <a:endParaRPr lang="en-US"/>
          </a:p>
        </c:txPr>
        <c:crossAx val="-1025631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lgn="ctr">
        <a:defRPr lang="en-IN" sz="1050" b="1" i="0" u="none" strike="noStrike" kern="1200" baseline="0">
          <a:solidFill>
            <a:schemeClr val="tx2">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[ecommerce_sales_data_realistic.xlsx]Pivot Tables!PivotTable9</c:name>
    <c:fmtId val="101"/>
  </c:pivotSource>
  <c:chart>
    <c:title>
      <c:tx>
        <c:rich>
          <a:bodyPr rot="0" spcFirstLastPara="1" vertOverflow="ellipsis" vert="horz" wrap="square" anchor="ctr" anchorCtr="1"/>
          <a:lstStyle/>
          <a:p>
            <a:pPr algn="ctr" rtl="0">
              <a:defRPr lang="en-US" sz="1600" b="1" i="0" u="none" strike="noStrike" kern="1200" cap="none" spc="0" normalizeH="0" baseline="0">
                <a:solidFill>
                  <a:schemeClr val="tx2">
                    <a:lumMod val="75000"/>
                  </a:schemeClr>
                </a:solidFill>
                <a:latin typeface="+mj-lt"/>
                <a:ea typeface="+mj-ea"/>
                <a:cs typeface="+mj-cs"/>
              </a:defRPr>
            </a:pPr>
            <a:r>
              <a:rPr lang="en-US" sz="1600" b="1" i="0" baseline="0">
                <a:effectLst/>
              </a:rPr>
              <a:t>Top 5 Brands (By Profits) </a:t>
            </a:r>
            <a:endParaRPr lang="en-IN" sz="1600">
              <a:effectLst/>
            </a:endParaRPr>
          </a:p>
        </c:rich>
      </c:tx>
      <c:layout>
        <c:manualLayout>
          <c:xMode val="edge"/>
          <c:yMode val="edge"/>
          <c:x val="0.29789538326939907"/>
          <c:y val="1.2691906662352139E-2"/>
        </c:manualLayout>
      </c:layout>
      <c:overlay val="0"/>
      <c:spPr>
        <a:noFill/>
        <a:ln>
          <a:noFill/>
        </a:ln>
        <a:effectLst/>
      </c:spPr>
      <c:txPr>
        <a:bodyPr rot="0" spcFirstLastPara="1" vertOverflow="ellipsis" vert="horz" wrap="square" anchor="ctr" anchorCtr="1"/>
        <a:lstStyle/>
        <a:p>
          <a:pPr algn="ctr" rtl="0">
            <a:defRPr lang="en-US" sz="1600" b="1" i="0" u="none" strike="noStrike" kern="1200" cap="none" spc="0" normalizeH="0" baseline="0">
              <a:solidFill>
                <a:schemeClr val="tx2">
                  <a:lumMod val="75000"/>
                </a:schemeClr>
              </a:solidFill>
              <a:latin typeface="+mj-lt"/>
              <a:ea typeface="+mj-ea"/>
              <a:cs typeface="+mj-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4.2735042735042736E-2"/>
              <c:y val="5.4794520547945202E-2"/>
            </c:manualLayout>
          </c:layout>
          <c:spPr>
            <a:xfrm>
              <a:off x="4195909" y="545707"/>
              <a:ext cx="1072768"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1391"/>
                    <a:gd name="adj2" fmla="val 139046"/>
                  </a:avLst>
                </a:prstGeom>
                <a:noFill/>
                <a:ln>
                  <a:noFill/>
                </a:ln>
              </c15:spPr>
              <c15:layout>
                <c:manualLayout>
                  <c:w val="0.18049128474325324"/>
                  <c:h val="0.1320533563441556"/>
                </c:manualLayout>
              </c15:layout>
            </c:ext>
          </c:extLst>
        </c:dLbl>
      </c:pivotFmt>
      <c:pivotFmt>
        <c:idx val="9"/>
        <c:spPr>
          <a:solidFill>
            <a:schemeClr val="accent1"/>
          </a:solidFill>
          <a:ln w="19050">
            <a:solidFill>
              <a:schemeClr val="lt1"/>
            </a:solidFill>
          </a:ln>
          <a:effectLst/>
        </c:spPr>
        <c:dLbl>
          <c:idx val="0"/>
          <c:spPr>
            <a:xfrm>
              <a:off x="4237546" y="1896954"/>
              <a:ext cx="1102891"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1402"/>
                    <a:gd name="adj2" fmla="val -37962"/>
                  </a:avLst>
                </a:prstGeom>
                <a:noFill/>
                <a:ln>
                  <a:noFill/>
                </a:ln>
              </c15:spPr>
              <c15:layout>
                <c:manualLayout>
                  <c:w val="0.18555942526414967"/>
                  <c:h val="0.1320533563441556"/>
                </c:manualLayout>
              </c15:layout>
            </c:ext>
          </c:extLst>
        </c:dLbl>
      </c:pivotFmt>
      <c:pivotFmt>
        <c:idx val="10"/>
        <c:spPr>
          <a:solidFill>
            <a:schemeClr val="accent1"/>
          </a:solidFill>
          <a:ln w="19050">
            <a:solidFill>
              <a:schemeClr val="lt1"/>
            </a:solidFill>
          </a:ln>
          <a:effectLst/>
        </c:spPr>
        <c:dLbl>
          <c:idx val="0"/>
          <c:layout>
            <c:manualLayout>
              <c:x val="-0.14529914529914531"/>
              <c:y val="-4.5662100456621002E-2"/>
            </c:manualLayout>
          </c:layout>
          <c:spPr>
            <a:xfrm>
              <a:off x="1068743" y="2287020"/>
              <a:ext cx="1213973"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8162"/>
                    <a:gd name="adj2" fmla="val -17542"/>
                  </a:avLst>
                </a:prstGeom>
                <a:noFill/>
                <a:ln>
                  <a:noFill/>
                </a:ln>
              </c15:spPr>
              <c15:layout>
                <c:manualLayout>
                  <c:w val="0.20424877178814188"/>
                  <c:h val="0.1320533563441556"/>
                </c:manualLayout>
              </c15:layout>
            </c:ext>
          </c:extLst>
        </c:dLbl>
      </c:pivotFmt>
      <c:pivotFmt>
        <c:idx val="11"/>
        <c:spPr>
          <a:solidFill>
            <a:schemeClr val="accent1"/>
          </a:solidFill>
          <a:ln w="19050">
            <a:solidFill>
              <a:schemeClr val="lt1"/>
            </a:solidFill>
          </a:ln>
          <a:effectLst/>
        </c:spPr>
        <c:dLbl>
          <c:idx val="0"/>
          <c:spPr>
            <a:xfrm>
              <a:off x="964366" y="1515838"/>
              <a:ext cx="1121895"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587"/>
                    <a:gd name="adj2" fmla="val 23097"/>
                  </a:avLst>
                </a:prstGeom>
                <a:noFill/>
                <a:ln>
                  <a:noFill/>
                </a:ln>
              </c15:spPr>
              <c15:layout>
                <c:manualLayout>
                  <c:w val="0.18875698230028934"/>
                  <c:h val="0.1320533563441556"/>
                </c:manualLayout>
              </c15:layout>
            </c:ext>
          </c:extLst>
        </c:dLbl>
      </c:pivotFmt>
      <c:pivotFmt>
        <c:idx val="12"/>
        <c:spPr>
          <a:solidFill>
            <a:schemeClr val="accent1"/>
          </a:solidFill>
          <a:ln w="19050">
            <a:solidFill>
              <a:schemeClr val="lt1"/>
            </a:solidFill>
          </a:ln>
          <a:effectLst/>
        </c:spPr>
        <c:dLbl>
          <c:idx val="0"/>
          <c:layout>
            <c:manualLayout>
              <c:x val="-4.4871794871794872E-2"/>
              <c:y val="4.1095890410958902E-2"/>
            </c:manualLayout>
          </c:layout>
          <c:spPr>
            <a:xfrm>
              <a:off x="1166507" y="451735"/>
              <a:ext cx="1098168"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3443"/>
                    <a:gd name="adj2" fmla="val 126664"/>
                  </a:avLst>
                </a:prstGeom>
                <a:noFill/>
                <a:ln>
                  <a:noFill/>
                </a:ln>
              </c15:spPr>
              <c15:layout>
                <c:manualLayout>
                  <c:w val="0.18476478901675752"/>
                  <c:h val="0.1320533563441556"/>
                </c:manualLayout>
              </c15:layout>
            </c:ext>
          </c:extLst>
        </c:dLbl>
      </c:pivotFmt>
    </c:pivotFmts>
    <c:plotArea>
      <c:layout>
        <c:manualLayout>
          <c:layoutTarget val="inner"/>
          <c:xMode val="edge"/>
          <c:yMode val="edge"/>
          <c:x val="0.36118884177939303"/>
          <c:y val="0.19118505734728361"/>
          <c:w val="0.35497964196783094"/>
          <c:h val="0.7585866321504332"/>
        </c:manualLayout>
      </c:layout>
      <c:pieChart>
        <c:varyColors val="1"/>
        <c:ser>
          <c:idx val="0"/>
          <c:order val="0"/>
          <c:tx>
            <c:strRef>
              <c:f>'Pivot Tables'!$M$11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12-4F13-8A18-AF35DACAB5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12-4F13-8A18-AF35DACAB5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12-4F13-8A18-AF35DACAB5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12-4F13-8A18-AF35DACAB5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12-4F13-8A18-AF35DACAB589}"/>
              </c:ext>
            </c:extLst>
          </c:dPt>
          <c:dLbls>
            <c:dLbl>
              <c:idx val="0"/>
              <c:layout>
                <c:manualLayout>
                  <c:x val="4.2735042735042736E-2"/>
                  <c:y val="5.4794520547945202E-2"/>
                </c:manualLayout>
              </c:layout>
              <c:spPr>
                <a:xfrm>
                  <a:off x="4195909" y="545707"/>
                  <a:ext cx="1072768"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1391"/>
                        <a:gd name="adj2" fmla="val 139046"/>
                      </a:avLst>
                    </a:prstGeom>
                    <a:noFill/>
                    <a:ln>
                      <a:noFill/>
                    </a:ln>
                  </c15:spPr>
                  <c15:layout>
                    <c:manualLayout>
                      <c:w val="0.18049128474325324"/>
                      <c:h val="0.1320533563441556"/>
                    </c:manualLayout>
                  </c15:layout>
                </c:ext>
                <c:ext xmlns:c16="http://schemas.microsoft.com/office/drawing/2014/chart" uri="{C3380CC4-5D6E-409C-BE32-E72D297353CC}">
                  <c16:uniqueId val="{00000001-D012-4F13-8A18-AF35DACAB589}"/>
                </c:ext>
              </c:extLst>
            </c:dLbl>
            <c:dLbl>
              <c:idx val="1"/>
              <c:spPr>
                <a:xfrm>
                  <a:off x="4237546" y="1896954"/>
                  <a:ext cx="1102891"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1402"/>
                        <a:gd name="adj2" fmla="val -37962"/>
                      </a:avLst>
                    </a:prstGeom>
                    <a:noFill/>
                    <a:ln>
                      <a:noFill/>
                    </a:ln>
                  </c15:spPr>
                  <c15:layout>
                    <c:manualLayout>
                      <c:w val="0.18555942526414967"/>
                      <c:h val="0.1320533563441556"/>
                    </c:manualLayout>
                  </c15:layout>
                </c:ext>
                <c:ext xmlns:c16="http://schemas.microsoft.com/office/drawing/2014/chart" uri="{C3380CC4-5D6E-409C-BE32-E72D297353CC}">
                  <c16:uniqueId val="{00000003-D012-4F13-8A18-AF35DACAB589}"/>
                </c:ext>
              </c:extLst>
            </c:dLbl>
            <c:dLbl>
              <c:idx val="2"/>
              <c:layout>
                <c:manualLayout>
                  <c:x val="-0.14529914529914531"/>
                  <c:y val="-4.5662100456621002E-2"/>
                </c:manualLayout>
              </c:layout>
              <c:spPr>
                <a:xfrm>
                  <a:off x="1068743" y="2287020"/>
                  <a:ext cx="1213973"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8162"/>
                        <a:gd name="adj2" fmla="val -17542"/>
                      </a:avLst>
                    </a:prstGeom>
                    <a:noFill/>
                    <a:ln>
                      <a:noFill/>
                    </a:ln>
                  </c15:spPr>
                  <c15:layout>
                    <c:manualLayout>
                      <c:w val="0.20424877178814188"/>
                      <c:h val="0.1320533563441556"/>
                    </c:manualLayout>
                  </c15:layout>
                </c:ext>
                <c:ext xmlns:c16="http://schemas.microsoft.com/office/drawing/2014/chart" uri="{C3380CC4-5D6E-409C-BE32-E72D297353CC}">
                  <c16:uniqueId val="{00000005-D012-4F13-8A18-AF35DACAB589}"/>
                </c:ext>
              </c:extLst>
            </c:dLbl>
            <c:dLbl>
              <c:idx val="3"/>
              <c:spPr>
                <a:xfrm>
                  <a:off x="964366" y="1515838"/>
                  <a:ext cx="1121895"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3587"/>
                        <a:gd name="adj2" fmla="val 23097"/>
                      </a:avLst>
                    </a:prstGeom>
                    <a:noFill/>
                    <a:ln>
                      <a:noFill/>
                    </a:ln>
                  </c15:spPr>
                  <c15:layout>
                    <c:manualLayout>
                      <c:w val="0.18875698230028934"/>
                      <c:h val="0.1320533563441556"/>
                    </c:manualLayout>
                  </c15:layout>
                </c:ext>
                <c:ext xmlns:c16="http://schemas.microsoft.com/office/drawing/2014/chart" uri="{C3380CC4-5D6E-409C-BE32-E72D297353CC}">
                  <c16:uniqueId val="{00000007-D012-4F13-8A18-AF35DACAB589}"/>
                </c:ext>
              </c:extLst>
            </c:dLbl>
            <c:dLbl>
              <c:idx val="4"/>
              <c:layout>
                <c:manualLayout>
                  <c:x val="-4.4871794871794872E-2"/>
                  <c:y val="4.1095890410958902E-2"/>
                </c:manualLayout>
              </c:layout>
              <c:spPr>
                <a:xfrm>
                  <a:off x="1166507" y="451735"/>
                  <a:ext cx="1098168" cy="367280"/>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3443"/>
                        <a:gd name="adj2" fmla="val 126664"/>
                      </a:avLst>
                    </a:prstGeom>
                    <a:noFill/>
                    <a:ln>
                      <a:noFill/>
                    </a:ln>
                  </c15:spPr>
                  <c15:layout>
                    <c:manualLayout>
                      <c:w val="0.18476478901675752"/>
                      <c:h val="0.1320533563441556"/>
                    </c:manualLayout>
                  </c15:layout>
                </c:ext>
                <c:ext xmlns:c16="http://schemas.microsoft.com/office/drawing/2014/chart" uri="{C3380CC4-5D6E-409C-BE32-E72D297353CC}">
                  <c16:uniqueId val="{00000009-D012-4F13-8A18-AF35DACAB5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IN" sz="105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Tables'!$L$12:$L$16</c:f>
              <c:strCache>
                <c:ptCount val="5"/>
                <c:pt idx="0">
                  <c:v>Godrej Interio</c:v>
                </c:pt>
                <c:pt idx="1">
                  <c:v>HomeTown</c:v>
                </c:pt>
                <c:pt idx="2">
                  <c:v>Ikea</c:v>
                </c:pt>
                <c:pt idx="3">
                  <c:v>LG</c:v>
                </c:pt>
                <c:pt idx="4">
                  <c:v>Samsung</c:v>
                </c:pt>
              </c:strCache>
            </c:strRef>
          </c:cat>
          <c:val>
            <c:numRef>
              <c:f>'Pivot Tables'!$M$12:$M$16</c:f>
              <c:numCache>
                <c:formatCode>General</c:formatCode>
                <c:ptCount val="5"/>
                <c:pt idx="0">
                  <c:v>1319336.02</c:v>
                </c:pt>
                <c:pt idx="1">
                  <c:v>838112.78999999969</c:v>
                </c:pt>
                <c:pt idx="2">
                  <c:v>1639271.6</c:v>
                </c:pt>
                <c:pt idx="3">
                  <c:v>765914.54000000015</c:v>
                </c:pt>
                <c:pt idx="4">
                  <c:v>1244034.6100000003</c:v>
                </c:pt>
              </c:numCache>
            </c:numRef>
          </c:val>
          <c:extLst>
            <c:ext xmlns:c16="http://schemas.microsoft.com/office/drawing/2014/chart" uri="{C3380CC4-5D6E-409C-BE32-E72D297353CC}">
              <c16:uniqueId val="{0000000A-D012-4F13-8A18-AF35DACAB5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[ecommerce_sales_data_realistic.xlsx]Pivot Tables!PivotTable6</c:name>
    <c:fmtId val="76"/>
  </c:pivotSource>
  <c:chart>
    <c:title>
      <c:tx>
        <c:rich>
          <a:bodyPr rot="0" spcFirstLastPara="1" vertOverflow="ellipsis" vert="horz" wrap="square" anchor="ctr" anchorCtr="1"/>
          <a:lstStyle/>
          <a:p>
            <a:pPr algn="ctr" rtl="0">
              <a:defRPr lang="en-US" sz="1600" b="1" i="0" u="none" strike="noStrike" kern="1200" cap="none" spc="0" normalizeH="0" baseline="0">
                <a:solidFill>
                  <a:schemeClr val="tx2">
                    <a:lumMod val="75000"/>
                  </a:schemeClr>
                </a:solidFill>
                <a:latin typeface="+mj-lt"/>
                <a:ea typeface="+mj-ea"/>
                <a:cs typeface="+mj-cs"/>
              </a:defRPr>
            </a:pPr>
            <a:r>
              <a:rPr lang="en-US" sz="1600" b="1" i="0" u="none" strike="noStrike" kern="1200" cap="none" spc="0" normalizeH="0" baseline="0">
                <a:solidFill>
                  <a:schemeClr val="tx2">
                    <a:lumMod val="75000"/>
                  </a:schemeClr>
                </a:solidFill>
                <a:latin typeface="+mj-lt"/>
                <a:ea typeface="+mj-ea"/>
                <a:cs typeface="+mj-cs"/>
              </a:rPr>
              <a:t>Seasonal Hikes in Category Sales</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normalizeH="0" baseline="0">
              <a:solidFill>
                <a:schemeClr val="tx2">
                  <a:lumMod val="75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Tables'!$J$1</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'Pivot Tables'!$H$2:$I$16</c:f>
              <c:multiLvlStrCache>
                <c:ptCount val="15"/>
                <c:lvl>
                  <c:pt idx="0">
                    <c:v>Footwear</c:v>
                  </c:pt>
                  <c:pt idx="1">
                    <c:v>Furniture</c:v>
                  </c:pt>
                  <c:pt idx="2">
                    <c:v>Electronics</c:v>
                  </c:pt>
                  <c:pt idx="3">
                    <c:v>Clothing</c:v>
                  </c:pt>
                  <c:pt idx="4">
                    <c:v>Home Appliance</c:v>
                  </c:pt>
                  <c:pt idx="5">
                    <c:v>Furniture</c:v>
                  </c:pt>
                  <c:pt idx="6">
                    <c:v>Electronics</c:v>
                  </c:pt>
                  <c:pt idx="7">
                    <c:v>Clothing</c:v>
                  </c:pt>
                  <c:pt idx="8">
                    <c:v>Home Appliance</c:v>
                  </c:pt>
                  <c:pt idx="9">
                    <c:v>Footwear</c:v>
                  </c:pt>
                  <c:pt idx="10">
                    <c:v>Clothing</c:v>
                  </c:pt>
                  <c:pt idx="11">
                    <c:v>Furniture</c:v>
                  </c:pt>
                  <c:pt idx="12">
                    <c:v>Home Appliance</c:v>
                  </c:pt>
                  <c:pt idx="13">
                    <c:v>Electronics</c:v>
                  </c:pt>
                  <c:pt idx="14">
                    <c:v>Footwear</c:v>
                  </c:pt>
                </c:lvl>
                <c:lvl>
                  <c:pt idx="0">
                    <c:v>Monsoon</c:v>
                  </c:pt>
                  <c:pt idx="5">
                    <c:v>Summer</c:v>
                  </c:pt>
                  <c:pt idx="10">
                    <c:v>Winter</c:v>
                  </c:pt>
                </c:lvl>
              </c:multiLvlStrCache>
            </c:multiLvlStrRef>
          </c:cat>
          <c:val>
            <c:numRef>
              <c:f>'Pivot Tables'!$J$2:$J$16</c:f>
              <c:numCache>
                <c:formatCode>General</c:formatCode>
                <c:ptCount val="15"/>
                <c:pt idx="0">
                  <c:v>265</c:v>
                </c:pt>
                <c:pt idx="1">
                  <c:v>203</c:v>
                </c:pt>
                <c:pt idx="2">
                  <c:v>191</c:v>
                </c:pt>
                <c:pt idx="3">
                  <c:v>190</c:v>
                </c:pt>
                <c:pt idx="4">
                  <c:v>142</c:v>
                </c:pt>
                <c:pt idx="5">
                  <c:v>232</c:v>
                </c:pt>
                <c:pt idx="6">
                  <c:v>187</c:v>
                </c:pt>
                <c:pt idx="7">
                  <c:v>149</c:v>
                </c:pt>
                <c:pt idx="8">
                  <c:v>135</c:v>
                </c:pt>
                <c:pt idx="9">
                  <c:v>74</c:v>
                </c:pt>
                <c:pt idx="10">
                  <c:v>365</c:v>
                </c:pt>
                <c:pt idx="11">
                  <c:v>231</c:v>
                </c:pt>
                <c:pt idx="12">
                  <c:v>147</c:v>
                </c:pt>
                <c:pt idx="13">
                  <c:v>124</c:v>
                </c:pt>
                <c:pt idx="14">
                  <c:v>92</c:v>
                </c:pt>
              </c:numCache>
            </c:numRef>
          </c:val>
          <c:extLst>
            <c:ext xmlns:c16="http://schemas.microsoft.com/office/drawing/2014/chart" uri="{C3380CC4-5D6E-409C-BE32-E72D297353CC}">
              <c16:uniqueId val="{00000000-A9B2-4FC5-9D1E-3667DD8ACF4F}"/>
            </c:ext>
          </c:extLst>
        </c:ser>
        <c:dLbls>
          <c:showLegendKey val="0"/>
          <c:showVal val="1"/>
          <c:showCatName val="0"/>
          <c:showSerName val="0"/>
          <c:showPercent val="0"/>
          <c:showBubbleSize val="0"/>
        </c:dLbls>
        <c:axId val="-972758128"/>
        <c:axId val="-972752688"/>
      </c:areaChart>
      <c:catAx>
        <c:axId val="-97275812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lgn="ctr">
              <a:defRPr lang="en-IN" sz="1050" b="1" i="0" u="none" strike="noStrike" kern="1200" cap="none" spc="0" normalizeH="0" baseline="0">
                <a:solidFill>
                  <a:schemeClr val="tx2">
                    <a:lumMod val="75000"/>
                  </a:schemeClr>
                </a:solidFill>
                <a:latin typeface="+mn-lt"/>
                <a:ea typeface="+mn-ea"/>
                <a:cs typeface="+mn-cs"/>
              </a:defRPr>
            </a:pPr>
            <a:endParaRPr lang="en-US"/>
          </a:p>
        </c:txPr>
        <c:crossAx val="-972752688"/>
        <c:crosses val="autoZero"/>
        <c:auto val="1"/>
        <c:lblAlgn val="ctr"/>
        <c:lblOffset val="100"/>
        <c:noMultiLvlLbl val="0"/>
      </c:catAx>
      <c:valAx>
        <c:axId val="-97275268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1050"/>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lgn="ctr">
              <a:defRPr lang="en-IN" sz="1050" b="1" i="0" u="none" strike="noStrike" kern="1200" baseline="0">
                <a:solidFill>
                  <a:schemeClr val="tx2">
                    <a:lumMod val="75000"/>
                  </a:schemeClr>
                </a:solidFill>
                <a:latin typeface="+mn-lt"/>
                <a:ea typeface="+mn-ea"/>
                <a:cs typeface="+mn-cs"/>
              </a:defRPr>
            </a:pPr>
            <a:endParaRPr lang="en-US"/>
          </a:p>
        </c:txPr>
        <c:crossAx val="-972758128"/>
        <c:crosses val="autoZero"/>
        <c:crossBetween val="midCat"/>
      </c:valAx>
      <c:spPr>
        <a:pattFill prst="ltDnDiag">
          <a:fgClr>
            <a:schemeClr val="dk1">
              <a:lumMod val="15000"/>
              <a:lumOff val="85000"/>
            </a:schemeClr>
          </a:fgClr>
          <a:bgClr>
            <a:schemeClr val="lt1"/>
          </a:bgClr>
        </a:pattFill>
        <a:ln>
          <a:noFill/>
        </a:ln>
        <a:effectLst/>
      </c:spPr>
    </c:plotArea>
    <c:plotVisOnly val="1"/>
    <c:dispBlanksAs val="zero"/>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[ecommerce_sales_data_realistic.xlsx]Pivot Tables!PivotTable12</c:name>
    <c:fmtId val="8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Customer's Brand Choice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14120853060570002"/>
              <c:y val="0.156616618574852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3.7706661265412562E-2"/>
              <c:y val="-0.232156958641039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0.13808424268509845"/>
              <c:y val="0.17731794395265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151496738148887"/>
          <c:y val="0.17380968683262418"/>
          <c:w val="0.40412638934602629"/>
          <c:h val="0.78064165892306936"/>
        </c:manualLayout>
      </c:layout>
      <c:pieChart>
        <c:varyColors val="1"/>
        <c:ser>
          <c:idx val="0"/>
          <c:order val="0"/>
          <c:tx>
            <c:strRef>
              <c:f>'Pivot Tables'!$F$13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BE1-4987-8588-251ED6871E11}"/>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BE1-4987-8588-251ED6871E11}"/>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BE1-4987-8588-251ED6871E11}"/>
              </c:ext>
            </c:extLst>
          </c:dPt>
          <c:dLbls>
            <c:dLbl>
              <c:idx val="0"/>
              <c:layout>
                <c:manualLayout>
                  <c:x val="-0.14120853060570002"/>
                  <c:y val="0.15661661857485207"/>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E1-4987-8588-251ED6871E11}"/>
                </c:ext>
              </c:extLst>
            </c:dLbl>
            <c:dLbl>
              <c:idx val="1"/>
              <c:layout>
                <c:manualLayout>
                  <c:x val="3.7706661265412562E-2"/>
                  <c:y val="-0.2321569586410395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E1-4987-8588-251ED6871E11}"/>
                </c:ext>
              </c:extLst>
            </c:dLbl>
            <c:dLbl>
              <c:idx val="2"/>
              <c:layout>
                <c:manualLayout>
                  <c:x val="0.13808424268509845"/>
                  <c:y val="0.177317943952658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E1-4987-8588-251ED6871E1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Tables'!$E$14:$E$16</c:f>
              <c:strCache>
                <c:ptCount val="3"/>
                <c:pt idx="0">
                  <c:v>Budget</c:v>
                </c:pt>
                <c:pt idx="1">
                  <c:v>Premium</c:v>
                </c:pt>
                <c:pt idx="2">
                  <c:v>Standard</c:v>
                </c:pt>
              </c:strCache>
            </c:strRef>
          </c:cat>
          <c:val>
            <c:numRef>
              <c:f>'Pivot Tables'!$F$14:$F$16</c:f>
              <c:numCache>
                <c:formatCode>General</c:formatCode>
                <c:ptCount val="3"/>
                <c:pt idx="0">
                  <c:v>218</c:v>
                </c:pt>
                <c:pt idx="1">
                  <c:v>366</c:v>
                </c:pt>
                <c:pt idx="2">
                  <c:v>192</c:v>
                </c:pt>
              </c:numCache>
            </c:numRef>
          </c:val>
          <c:extLst>
            <c:ext xmlns:c16="http://schemas.microsoft.com/office/drawing/2014/chart" uri="{C3380CC4-5D6E-409C-BE32-E72D297353CC}">
              <c16:uniqueId val="{00000006-DBE1-4987-8588-251ED6871E1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685309432783926"/>
          <c:y val="0.36521706525814707"/>
          <c:w val="0.12312546944493674"/>
          <c:h val="0.23219543209272753"/>
        </c:manualLayout>
      </c:layout>
      <c:overlay val="0"/>
      <c:spPr>
        <a:solidFill>
          <a:schemeClr val="lt1">
            <a:alpha val="78000"/>
          </a:schemeClr>
        </a:solidFill>
        <a:ln>
          <a:noFill/>
        </a:ln>
        <a:effectLst/>
      </c:spPr>
      <c:txPr>
        <a:bodyPr rot="0" spcFirstLastPara="1" vertOverflow="ellipsis" vert="horz" wrap="square" anchor="ctr" anchorCtr="1"/>
        <a:lstStyle/>
        <a:p>
          <a:pPr algn="ctr">
            <a:defRPr lang="en-IN" sz="1050" b="1" i="0" u="none" strike="noStrike" kern="1200" cap="none" spc="0" normalizeH="0" baseline="0">
              <a:solidFill>
                <a:schemeClr val="tx2">
                  <a:lumMod val="7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868680</xdr:colOff>
      <xdr:row>11</xdr:row>
      <xdr:rowOff>1</xdr:rowOff>
    </xdr:from>
    <xdr:to>
      <xdr:col>3</xdr:col>
      <xdr:colOff>678180</xdr:colOff>
      <xdr:row>23</xdr:row>
      <xdr:rowOff>68581</xdr:rowOff>
    </xdr:to>
    <mc:AlternateContent xmlns:mc="http://schemas.openxmlformats.org/markup-compatibility/2006">
      <mc:Choice xmlns:a14="http://schemas.microsoft.com/office/drawing/2010/main" Requires="a14">
        <xdr:graphicFrame macro="">
          <xdr:nvGraphicFramePr>
            <xdr:cNvPr id="2" name="Discount_%">
              <a:extLst>
                <a:ext uri="{FF2B5EF4-FFF2-40B4-BE49-F238E27FC236}">
                  <a16:creationId xmlns:a16="http://schemas.microsoft.com/office/drawing/2014/main" id="{B3A45E79-2077-E4CC-FB04-B5E7EF8D86D6}"/>
                </a:ext>
              </a:extLst>
            </xdr:cNvPr>
            <xdr:cNvGraphicFramePr/>
          </xdr:nvGraphicFramePr>
          <xdr:xfrm>
            <a:off x="0" y="0"/>
            <a:ext cx="0" cy="0"/>
          </xdr:xfrm>
          <a:graphic>
            <a:graphicData uri="http://schemas.microsoft.com/office/drawing/2010/slicer">
              <sle:slicer xmlns:sle="http://schemas.microsoft.com/office/drawing/2010/slicer" name="Discount_%"/>
            </a:graphicData>
          </a:graphic>
        </xdr:graphicFrame>
      </mc:Choice>
      <mc:Fallback>
        <xdr:sp macro="" textlink="">
          <xdr:nvSpPr>
            <xdr:cNvPr id="0" name=""/>
            <xdr:cNvSpPr>
              <a:spLocks noTextEdit="1"/>
            </xdr:cNvSpPr>
          </xdr:nvSpPr>
          <xdr:spPr>
            <a:xfrm>
              <a:off x="1584960" y="2011681"/>
              <a:ext cx="182880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14</xdr:row>
      <xdr:rowOff>175260</xdr:rowOff>
    </xdr:from>
    <xdr:to>
      <xdr:col>2</xdr:col>
      <xdr:colOff>312420</xdr:colOff>
      <xdr:row>28</xdr:row>
      <xdr:rowOff>81915</xdr:rowOff>
    </xdr:to>
    <mc:AlternateContent xmlns:mc="http://schemas.openxmlformats.org/markup-compatibility/2006">
      <mc:Choice xmlns:a14="http://schemas.microsoft.com/office/drawing/2010/main" Requires="a14">
        <xdr:graphicFrame macro="">
          <xdr:nvGraphicFramePr>
            <xdr:cNvPr id="3" name="Product_Name">
              <a:extLst>
                <a:ext uri="{FF2B5EF4-FFF2-40B4-BE49-F238E27FC236}">
                  <a16:creationId xmlns:a16="http://schemas.microsoft.com/office/drawing/2014/main" id="{4128A285-F81A-CC68-3E53-4834A5F38C0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68580" y="2735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8</xdr:row>
      <xdr:rowOff>152400</xdr:rowOff>
    </xdr:from>
    <xdr:to>
      <xdr:col>6</xdr:col>
      <xdr:colOff>167640</xdr:colOff>
      <xdr:row>22</xdr:row>
      <xdr:rowOff>59055</xdr:rowOff>
    </xdr:to>
    <mc:AlternateContent xmlns:mc="http://schemas.openxmlformats.org/markup-compatibility/2006">
      <mc:Choice xmlns:a14="http://schemas.microsoft.com/office/drawing/2010/main" Requires="a14">
        <xdr:graphicFrame macro="">
          <xdr:nvGraphicFramePr>
            <xdr:cNvPr id="4" name="Total_Sales">
              <a:extLst>
                <a:ext uri="{FF2B5EF4-FFF2-40B4-BE49-F238E27FC236}">
                  <a16:creationId xmlns:a16="http://schemas.microsoft.com/office/drawing/2014/main" id="{E1DD6636-90C6-F434-A1A6-3DE8573DB05E}"/>
                </a:ext>
              </a:extLst>
            </xdr:cNvPr>
            <xdr:cNvGraphicFramePr/>
          </xdr:nvGraphicFramePr>
          <xdr:xfrm>
            <a:off x="0" y="0"/>
            <a:ext cx="0" cy="0"/>
          </xdr:xfrm>
          <a:graphic>
            <a:graphicData uri="http://schemas.microsoft.com/office/drawing/2010/slicer">
              <sle:slicer xmlns:sle="http://schemas.microsoft.com/office/drawing/2010/slicer" name="Total_Sales"/>
            </a:graphicData>
          </a:graphic>
        </xdr:graphicFrame>
      </mc:Choice>
      <mc:Fallback>
        <xdr:sp macro="" textlink="">
          <xdr:nvSpPr>
            <xdr:cNvPr id="0" name=""/>
            <xdr:cNvSpPr>
              <a:spLocks noTextEdit="1"/>
            </xdr:cNvSpPr>
          </xdr:nvSpPr>
          <xdr:spPr>
            <a:xfrm>
              <a:off x="4015740" y="1615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161922</xdr:colOff>
      <xdr:row>11</xdr:row>
      <xdr:rowOff>76200</xdr:rowOff>
    </xdr:from>
    <xdr:to>
      <xdr:col>5</xdr:col>
      <xdr:colOff>1066800</xdr:colOff>
      <xdr:row>27</xdr:row>
      <xdr:rowOff>9525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3</xdr:row>
      <xdr:rowOff>123825</xdr:rowOff>
    </xdr:from>
    <xdr:to>
      <xdr:col>2</xdr:col>
      <xdr:colOff>285750</xdr:colOff>
      <xdr:row>6</xdr:row>
      <xdr:rowOff>85725</xdr:rowOff>
    </xdr:to>
    <xdr:sp macro="" textlink="">
      <xdr:nvSpPr>
        <xdr:cNvPr id="4" name="Rounded Rectangle 3">
          <a:extLst>
            <a:ext uri="{FF2B5EF4-FFF2-40B4-BE49-F238E27FC236}">
              <a16:creationId xmlns:a16="http://schemas.microsoft.com/office/drawing/2014/main" id="{00000000-0008-0000-0500-000004000000}"/>
            </a:ext>
          </a:extLst>
        </xdr:cNvPr>
        <xdr:cNvSpPr/>
      </xdr:nvSpPr>
      <xdr:spPr>
        <a:xfrm>
          <a:off x="152400" y="695325"/>
          <a:ext cx="1838325" cy="628650"/>
        </a:xfrm>
        <a:prstGeom prst="round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xdr:colOff>
      <xdr:row>7</xdr:row>
      <xdr:rowOff>77787</xdr:rowOff>
    </xdr:from>
    <xdr:to>
      <xdr:col>4</xdr:col>
      <xdr:colOff>243488</xdr:colOff>
      <xdr:row>10</xdr:row>
      <xdr:rowOff>168275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3813" y="1529656"/>
              <a:ext cx="2407418" cy="673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166689</xdr:colOff>
      <xdr:row>7</xdr:row>
      <xdr:rowOff>80963</xdr:rowOff>
    </xdr:from>
    <xdr:to>
      <xdr:col>1</xdr:col>
      <xdr:colOff>1195389</xdr:colOff>
      <xdr:row>10</xdr:row>
      <xdr:rowOff>166688</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6689" y="1532832"/>
              <a:ext cx="1324622" cy="668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826294</xdr:colOff>
      <xdr:row>3</xdr:row>
      <xdr:rowOff>114300</xdr:rowOff>
    </xdr:from>
    <xdr:to>
      <xdr:col>4</xdr:col>
      <xdr:colOff>273844</xdr:colOff>
      <xdr:row>6</xdr:row>
      <xdr:rowOff>76200</xdr:rowOff>
    </xdr:to>
    <xdr:sp macro="" textlink="">
      <xdr:nvSpPr>
        <xdr:cNvPr id="10" name="Rounded Rectangle 9">
          <a:extLst>
            <a:ext uri="{FF2B5EF4-FFF2-40B4-BE49-F238E27FC236}">
              <a16:creationId xmlns:a16="http://schemas.microsoft.com/office/drawing/2014/main" id="{00000000-0008-0000-0500-00000A000000}"/>
            </a:ext>
          </a:extLst>
        </xdr:cNvPr>
        <xdr:cNvSpPr/>
      </xdr:nvSpPr>
      <xdr:spPr>
        <a:xfrm>
          <a:off x="2531269" y="685800"/>
          <a:ext cx="1752600" cy="628650"/>
        </a:xfrm>
        <a:prstGeom prst="round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962026</xdr:colOff>
      <xdr:row>3</xdr:row>
      <xdr:rowOff>121443</xdr:rowOff>
    </xdr:from>
    <xdr:to>
      <xdr:col>10</xdr:col>
      <xdr:colOff>186893</xdr:colOff>
      <xdr:row>6</xdr:row>
      <xdr:rowOff>83343</xdr:rowOff>
    </xdr:to>
    <xdr:sp macro="" textlink="">
      <xdr:nvSpPr>
        <xdr:cNvPr id="11" name="Rounded Rectangle 10">
          <a:extLst>
            <a:ext uri="{FF2B5EF4-FFF2-40B4-BE49-F238E27FC236}">
              <a16:creationId xmlns:a16="http://schemas.microsoft.com/office/drawing/2014/main" id="{00000000-0008-0000-0500-00000B000000}"/>
            </a:ext>
          </a:extLst>
        </xdr:cNvPr>
        <xdr:cNvSpPr/>
      </xdr:nvSpPr>
      <xdr:spPr>
        <a:xfrm>
          <a:off x="9486901" y="692943"/>
          <a:ext cx="2187142" cy="628650"/>
        </a:xfrm>
        <a:prstGeom prst="round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583407</xdr:colOff>
      <xdr:row>3</xdr:row>
      <xdr:rowOff>119062</xdr:rowOff>
    </xdr:from>
    <xdr:to>
      <xdr:col>8</xdr:col>
      <xdr:colOff>421482</xdr:colOff>
      <xdr:row>6</xdr:row>
      <xdr:rowOff>80962</xdr:rowOff>
    </xdr:to>
    <xdr:sp macro="" textlink="">
      <xdr:nvSpPr>
        <xdr:cNvPr id="12" name="Rounded Rectangle 11">
          <a:extLst>
            <a:ext uri="{FF2B5EF4-FFF2-40B4-BE49-F238E27FC236}">
              <a16:creationId xmlns:a16="http://schemas.microsoft.com/office/drawing/2014/main" id="{00000000-0008-0000-0500-00000C000000}"/>
            </a:ext>
          </a:extLst>
        </xdr:cNvPr>
        <xdr:cNvSpPr/>
      </xdr:nvSpPr>
      <xdr:spPr>
        <a:xfrm>
          <a:off x="7174707" y="690562"/>
          <a:ext cx="1771650" cy="628650"/>
        </a:xfrm>
        <a:prstGeom prst="round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814388</xdr:colOff>
      <xdr:row>3</xdr:row>
      <xdr:rowOff>116681</xdr:rowOff>
    </xdr:from>
    <xdr:to>
      <xdr:col>6</xdr:col>
      <xdr:colOff>42863</xdr:colOff>
      <xdr:row>6</xdr:row>
      <xdr:rowOff>78581</xdr:rowOff>
    </xdr:to>
    <xdr:sp macro="" textlink="">
      <xdr:nvSpPr>
        <xdr:cNvPr id="13" name="Rounded Rectangle 12">
          <a:extLst>
            <a:ext uri="{FF2B5EF4-FFF2-40B4-BE49-F238E27FC236}">
              <a16:creationId xmlns:a16="http://schemas.microsoft.com/office/drawing/2014/main" id="{00000000-0008-0000-0500-00000D000000}"/>
            </a:ext>
          </a:extLst>
        </xdr:cNvPr>
        <xdr:cNvSpPr/>
      </xdr:nvSpPr>
      <xdr:spPr>
        <a:xfrm>
          <a:off x="4824413" y="688181"/>
          <a:ext cx="1809750" cy="628650"/>
        </a:xfrm>
        <a:prstGeom prst="round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319088</xdr:colOff>
      <xdr:row>7</xdr:row>
      <xdr:rowOff>74612</xdr:rowOff>
    </xdr:from>
    <xdr:to>
      <xdr:col>8</xdr:col>
      <xdr:colOff>976311</xdr:colOff>
      <xdr:row>10</xdr:row>
      <xdr:rowOff>165099</xdr:rowOff>
    </xdr:to>
    <mc:AlternateContent xmlns:mc="http://schemas.openxmlformats.org/markup-compatibility/2006" xmlns:a14="http://schemas.microsoft.com/office/drawing/2010/main">
      <mc:Choice Requires="a14">
        <xdr:graphicFrame macro="">
          <xdr:nvGraphicFramePr>
            <xdr:cNvPr id="16" name="Months">
              <a:extLst>
                <a:ext uri="{FF2B5EF4-FFF2-40B4-BE49-F238E27FC236}">
                  <a16:creationId xmlns:a16="http://schemas.microsoft.com/office/drawing/2014/main" id="{00000000-0008-0000-0500-00001000000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156831" y="1526481"/>
              <a:ext cx="5502951" cy="673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1190626</xdr:colOff>
      <xdr:row>11</xdr:row>
      <xdr:rowOff>76199</xdr:rowOff>
    </xdr:from>
    <xdr:to>
      <xdr:col>10</xdr:col>
      <xdr:colOff>161925</xdr:colOff>
      <xdr:row>26</xdr:row>
      <xdr:rowOff>180975</xdr:rowOff>
    </xdr:to>
    <xdr:graphicFrame macro="">
      <xdr:nvGraphicFramePr>
        <xdr:cNvPr id="18" name="Chart 17">
          <a:extLst>
            <a:ext uri="{FF2B5EF4-FFF2-40B4-BE49-F238E27FC236}">
              <a16:creationId xmlns:a16="http://schemas.microsoft.com/office/drawing/2014/main" id="{00000000-0008-0000-05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27</xdr:row>
      <xdr:rowOff>142875</xdr:rowOff>
    </xdr:from>
    <xdr:to>
      <xdr:col>5</xdr:col>
      <xdr:colOff>1066801</xdr:colOff>
      <xdr:row>40</xdr:row>
      <xdr:rowOff>152401</xdr:rowOff>
    </xdr:to>
    <xdr:graphicFrame macro="">
      <xdr:nvGraphicFramePr>
        <xdr:cNvPr id="20" name="Chart 19">
          <a:extLst>
            <a:ext uri="{FF2B5EF4-FFF2-40B4-BE49-F238E27FC236}">
              <a16:creationId xmlns:a16="http://schemas.microsoft.com/office/drawing/2014/main" id="{00000000-0008-0000-05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57150</xdr:colOff>
      <xdr:row>7</xdr:row>
      <xdr:rowOff>76199</xdr:rowOff>
    </xdr:from>
    <xdr:to>
      <xdr:col>10</xdr:col>
      <xdr:colOff>190499</xdr:colOff>
      <xdr:row>10</xdr:row>
      <xdr:rowOff>161924</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00000000-0008-0000-0500-000015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78072" y="1528068"/>
              <a:ext cx="2075340" cy="668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1200150</xdr:colOff>
      <xdr:row>27</xdr:row>
      <xdr:rowOff>152400</xdr:rowOff>
    </xdr:from>
    <xdr:to>
      <xdr:col>10</xdr:col>
      <xdr:colOff>161925</xdr:colOff>
      <xdr:row>40</xdr:row>
      <xdr:rowOff>133350</xdr:rowOff>
    </xdr:to>
    <xdr:graphicFrame macro="">
      <xdr:nvGraphicFramePr>
        <xdr:cNvPr id="22" name="Chart 21">
          <a:extLst>
            <a:ext uri="{FF2B5EF4-FFF2-40B4-BE49-F238E27FC236}">
              <a16:creationId xmlns:a16="http://schemas.microsoft.com/office/drawing/2014/main" id="{00000000-0008-0000-05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171449</xdr:colOff>
      <xdr:row>41</xdr:row>
      <xdr:rowOff>85724</xdr:rowOff>
    </xdr:from>
    <xdr:to>
      <xdr:col>5</xdr:col>
      <xdr:colOff>1057274</xdr:colOff>
      <xdr:row>54</xdr:row>
      <xdr:rowOff>76200</xdr:rowOff>
    </xdr:to>
    <xdr:graphicFrame macro="">
      <xdr:nvGraphicFramePr>
        <xdr:cNvPr id="23" name="Chart 22">
          <a:extLst>
            <a:ext uri="{FF2B5EF4-FFF2-40B4-BE49-F238E27FC236}">
              <a16:creationId xmlns:a16="http://schemas.microsoft.com/office/drawing/2014/main" id="{00000000-0008-0000-05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1209675</xdr:colOff>
      <xdr:row>41</xdr:row>
      <xdr:rowOff>85726</xdr:rowOff>
    </xdr:from>
    <xdr:to>
      <xdr:col>10</xdr:col>
      <xdr:colOff>152400</xdr:colOff>
      <xdr:row>54</xdr:row>
      <xdr:rowOff>57151</xdr:rowOff>
    </xdr:to>
    <xdr:graphicFrame macro="">
      <xdr:nvGraphicFramePr>
        <xdr:cNvPr id="24" name="Chart 23">
          <a:extLst>
            <a:ext uri="{FF2B5EF4-FFF2-40B4-BE49-F238E27FC236}">
              <a16:creationId xmlns:a16="http://schemas.microsoft.com/office/drawing/2014/main" id="{00000000-0008-0000-05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vrutti" refreshedDate="45886.884111111111" createdVersion="5" refreshedVersion="5" minRefreshableVersion="3" recordCount="1200" xr:uid="{00000000-000A-0000-FFFF-FFFF85000000}">
  <cacheSource type="worksheet">
    <worksheetSource name="Table1"/>
  </cacheSource>
  <cacheFields count="19">
    <cacheField name="Order_ID" numFmtId="0">
      <sharedItems count="12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haredItems>
    </cacheField>
    <cacheField name="Product_Name" numFmtId="0">
      <sharedItems/>
    </cacheField>
    <cacheField name="Category" numFmtId="0">
      <sharedItems count="5">
        <s v="Footwear"/>
        <s v="Furniture"/>
        <s v="Electronics"/>
        <s v="Clothing"/>
        <s v="Home Appliance"/>
      </sharedItems>
    </cacheField>
    <cacheField name="Brand" numFmtId="0">
      <sharedItems count="22">
        <s v="Puma"/>
        <s v="Godrej Interio"/>
        <s v="Samsung"/>
        <s v="Dell"/>
        <s v="Ikea"/>
        <s v="Max"/>
        <s v="Bata"/>
        <s v="HomeTown"/>
        <s v="Godrej"/>
        <s v="Zara"/>
        <s v="LG"/>
        <s v="Adidas"/>
        <s v="Whirlpool"/>
        <s v="Levis"/>
        <s v="Apple"/>
        <s v="Nike"/>
        <s v="Roadster"/>
        <s v="HP"/>
        <s v="Nilkamal"/>
        <s v="H&amp;M"/>
        <s v="Xiaomi"/>
        <s v="Realme"/>
      </sharedItems>
    </cacheField>
    <cacheField name="Brand_Type" numFmtId="0">
      <sharedItems count="3">
        <s v="Standard"/>
        <s v="Premium"/>
        <s v="Budget"/>
      </sharedItems>
    </cacheField>
    <cacheField name="Region" numFmtId="0">
      <sharedItems count="4">
        <s v="South"/>
        <s v="North"/>
        <s v="East"/>
        <s v="West"/>
      </sharedItems>
    </cacheField>
    <cacheField name="City" numFmtId="0">
      <sharedItems/>
    </cacheField>
    <cacheField name="Unit_Price" numFmtId="165">
      <sharedItems containsSemiMixedTypes="0" containsString="0" containsNumber="1" minValue="616.08000000000004" maxValue="65342.91"/>
    </cacheField>
    <cacheField name="Discount_%" numFmtId="9">
      <sharedItems containsSemiMixedTypes="0" containsString="0" containsNumber="1" minValue="0" maxValue="0.3"/>
    </cacheField>
    <cacheField name="Final_Unit_Price" numFmtId="165">
      <sharedItems containsSemiMixedTypes="0" containsString="0" containsNumber="1" minValue="443.19099999999997" maxValue="63264.76"/>
    </cacheField>
    <cacheField name="Quantity" numFmtId="0">
      <sharedItems containsSemiMixedTypes="0" containsString="0" containsNumber="1" containsInteger="1" minValue="1" maxValue="30"/>
    </cacheField>
    <cacheField name="Total_Sales" numFmtId="165">
      <sharedItems containsSemiMixedTypes="0" containsString="0" containsNumber="1" minValue="523.66800000000001" maxValue="291592.84999999998"/>
    </cacheField>
    <cacheField name="Profit" numFmtId="165">
      <sharedItems containsSemiMixedTypes="0" containsString="0" containsNumber="1" minValue="78.55" maxValue="102057.5"/>
    </cacheField>
    <cacheField name="Order_Date" numFmtId="14">
      <sharedItems containsSemiMixedTypes="0" containsNonDate="0" containsDate="1" containsString="0" minDate="2024-01-01T00:00:00" maxDate="2025-07-30T00:00:00"/>
    </cacheField>
    <cacheField name="Month2" numFmtId="0">
      <sharedItems count="12">
        <s v="Aug"/>
        <s v="Mar"/>
        <s v="Jul"/>
        <s v="May"/>
        <s v="Sep"/>
        <s v="Jan"/>
        <s v="Jun"/>
        <s v="Feb"/>
        <s v="Dec"/>
        <s v="Nov"/>
        <s v="Oct"/>
        <s v="Apr"/>
      </sharedItems>
    </cacheField>
    <cacheField name="Year" numFmtId="0">
      <sharedItems containsSemiMixedTypes="0" containsString="0" containsNumber="1" containsInteger="1" minValue="2024" maxValue="2025" count="2">
        <n v="2024"/>
        <n v="2025"/>
      </sharedItems>
    </cacheField>
    <cacheField name="Delivery_Date" numFmtId="14">
      <sharedItems containsSemiMixedTypes="0" containsNonDate="0" containsDate="1" containsString="0" minDate="2024-01-05T00:00:00" maxDate="2025-08-04T00:00:00"/>
    </cacheField>
    <cacheField name="Days_to_Deliver" numFmtId="0">
      <sharedItems containsSemiMixedTypes="0" containsString="0" containsNumber="1" containsInteger="1" minValue="2" maxValue="10"/>
    </cacheField>
    <cacheField name="Season" numFmtId="0">
      <sharedItems count="4">
        <s v="Monsoon"/>
        <s v="Summer"/>
        <s v="Winter"/>
        <e v="#REF!" u="1"/>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Patil" refreshedDate="45902.447364120373" createdVersion="8" refreshedVersion="8" minRefreshableVersion="3" recordCount="70" xr:uid="{66520A68-4998-4C80-81AF-9F1E273E144D}">
  <cacheSource type="worksheet">
    <worksheetSource ref="A1:E71" sheet="Master Table"/>
  </cacheSource>
  <cacheFields count="5">
    <cacheField name="ProductID" numFmtId="0">
      <sharedItems count="7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haredItems>
    </cacheField>
    <cacheField name="Category" numFmtId="0">
      <sharedItems/>
    </cacheField>
    <cacheField name="Product" numFmtId="0">
      <sharedItems count="15">
        <s v="Jeans"/>
        <s v="Jacket"/>
        <s v="T-Shirt"/>
        <s v="Laptop"/>
        <s v="Headphones"/>
        <s v="Smartphone"/>
        <s v="Sneakers"/>
        <s v="Formal Shoes"/>
        <s v="Bed"/>
        <s v="Coffee Table"/>
        <s v="Dining Table"/>
        <s v="Sofa Set"/>
        <s v="Microwave"/>
        <s v="Refrigerator"/>
        <s v="Washing Machine"/>
      </sharedItems>
    </cacheField>
    <cacheField name="Brand" numFmtId="0">
      <sharedItems/>
    </cacheField>
    <cacheField name="Brand Type" numFmtId="0">
      <sharedItems count="3">
        <s v="Budget"/>
        <s v="Standard"/>
        <s v="Premiu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Patil" refreshedDate="45902.450151504629" createdVersion="8" refreshedVersion="8" minRefreshableVersion="3" recordCount="1200" xr:uid="{3FBE863C-9B93-451A-94F9-FCD8BDC42C90}">
  <cacheSource type="worksheet">
    <worksheetSource ref="A1:N1201" sheet="Raw Data"/>
  </cacheSource>
  <cacheFields count="17">
    <cacheField name="Product_Name" numFmtId="0">
      <sharedItems count="15">
        <s v="Sneakers"/>
        <s v="Coffee Table"/>
        <s v="Laptop"/>
        <s v="Headphones"/>
        <s v="Bed"/>
        <s v="Jacket"/>
        <s v="Formal Shoes"/>
        <s v="Refrigerator"/>
        <s v="Dining Table"/>
        <s v="T-Shirt"/>
        <s v="Sofa Set"/>
        <s v="Microwave"/>
        <s v="Jeans"/>
        <s v="Washing Machine"/>
        <s v="Smartphone"/>
      </sharedItems>
    </cacheField>
    <cacheField name="Category" numFmtId="0">
      <sharedItems/>
    </cacheField>
    <cacheField name="Brand" numFmtId="0">
      <sharedItems/>
    </cacheField>
    <cacheField name="Brand_Type" numFmtId="0">
      <sharedItems/>
    </cacheField>
    <cacheField name="Region" numFmtId="0">
      <sharedItems/>
    </cacheField>
    <cacheField name="City" numFmtId="0">
      <sharedItems count="12">
        <s v="Bengaluru"/>
        <s v="Delhi"/>
        <s v="Jaipur"/>
        <s v="Bhubaneswar"/>
        <s v="Lucknow"/>
        <s v="Hyderabad"/>
        <s v="Chennai"/>
        <s v="Mumbai"/>
        <s v="Patna"/>
        <s v="Pune"/>
        <s v="Kolkata"/>
        <s v="Ahmedabad"/>
      </sharedItems>
    </cacheField>
    <cacheField name="Unit_Price" numFmtId="0">
      <sharedItems containsSemiMixedTypes="0" containsString="0" containsNumber="1" minValue="616.08000000000004" maxValue="65342.91"/>
    </cacheField>
    <cacheField name="Discount_%" numFmtId="0">
      <sharedItems containsSemiMixedTypes="0" containsString="0" containsNumber="1" containsInteger="1" minValue="0" maxValue="30" count="7">
        <n v="0"/>
        <n v="20"/>
        <n v="5"/>
        <n v="10"/>
        <n v="30"/>
        <n v="15"/>
        <n v="25"/>
      </sharedItems>
    </cacheField>
    <cacheField name="Final_Unit_Price" numFmtId="0">
      <sharedItems containsSemiMixedTypes="0" containsString="0" containsNumber="1" minValue="443.19099999999997" maxValue="63264.76"/>
    </cacheField>
    <cacheField name="Quantity" numFmtId="0">
      <sharedItems containsSemiMixedTypes="0" containsString="0" containsNumber="1" containsInteger="1" minValue="1" maxValue="5"/>
    </cacheField>
    <cacheField name="Total_Sales" numFmtId="0">
      <sharedItems containsSemiMixedTypes="0" containsString="0" containsNumber="1" minValue="523.66999999999996" maxValue="291592.84999999998" count="1200">
        <n v="5029.2"/>
        <n v="31854.66"/>
        <n v="57992.27"/>
        <n v="8699.2199999999993"/>
        <n v="70511.38"/>
        <n v="6282.91"/>
        <n v="41789"/>
        <n v="4908.7700000000004"/>
        <n v="53844.21"/>
        <n v="93352.38"/>
        <n v="36583.17"/>
        <n v="15248.92"/>
        <n v="34523.06"/>
        <n v="3791.75"/>
        <n v="6933.22"/>
        <n v="49945.57"/>
        <n v="24876.15"/>
        <n v="2944.75"/>
        <n v="107174.62"/>
        <n v="71276.490000000005"/>
        <n v="9143.0400000000009"/>
        <n v="72429.67"/>
        <n v="254033.68"/>
        <n v="26650"/>
        <n v="3672.72"/>
        <n v="13483.75"/>
        <n v="8109.85"/>
        <n v="44828.88"/>
        <n v="1382.2"/>
        <n v="3554.88"/>
        <n v="9491.7199999999993"/>
        <n v="169795.53"/>
        <n v="41984.76"/>
        <n v="38784.480000000003"/>
        <n v="77092.66"/>
        <n v="67543.360000000001"/>
        <n v="24012.68"/>
        <n v="34289.269999999997"/>
        <n v="34734.81"/>
        <n v="1625.37"/>
        <n v="27469.75"/>
        <n v="2613.06"/>
        <n v="20746.95"/>
        <n v="4874.47"/>
        <n v="10842.12"/>
        <n v="21163.68"/>
        <n v="30303.63"/>
        <n v="6154.08"/>
        <n v="61439.24"/>
        <n v="2817.42"/>
        <n v="129198.1"/>
        <n v="2037.83"/>
        <n v="21273.62"/>
        <n v="12886.44"/>
        <n v="165189.21"/>
        <n v="24328.240000000002"/>
        <n v="9906.2999999999993"/>
        <n v="5907.76"/>
        <n v="94354.46"/>
        <n v="63426.879999999997"/>
        <n v="131333.04"/>
        <n v="6529.53"/>
        <n v="6095.81"/>
        <n v="15506.1"/>
        <n v="2668.03"/>
        <n v="2429.62"/>
        <n v="12485.56"/>
        <n v="45674.87"/>
        <n v="30505.27"/>
        <n v="23707.54"/>
        <n v="31623.51"/>
        <n v="24645.33"/>
        <n v="5639.8"/>
        <n v="6286.3"/>
        <n v="25530.26"/>
        <n v="9634.1299999999992"/>
        <n v="77102.86"/>
        <n v="4086.32"/>
        <n v="6643.48"/>
        <n v="39564.839999999997"/>
        <n v="43275.37"/>
        <n v="6693.78"/>
        <n v="38243.199999999997"/>
        <n v="608.86"/>
        <n v="3988.78"/>
        <n v="98499.87"/>
        <n v="9358.3799999999992"/>
        <n v="2454.92"/>
        <n v="10119.06"/>
        <n v="1594.51"/>
        <n v="1091.8900000000001"/>
        <n v="62360.639999999999"/>
        <n v="64737.71"/>
        <n v="3794.15"/>
        <n v="2072.7600000000002"/>
        <n v="6921.43"/>
        <n v="76884"/>
        <n v="13571"/>
        <n v="94857.99"/>
        <n v="34620.199999999997"/>
        <n v="3851.2"/>
        <n v="4927.05"/>
        <n v="222661.3"/>
        <n v="26517.68"/>
        <n v="18197.57"/>
        <n v="129747.36"/>
        <n v="54210.69"/>
        <n v="2271.2800000000002"/>
        <n v="53738.15"/>
        <n v="1720.84"/>
        <n v="21243.03"/>
        <n v="14598.94"/>
        <n v="3541.06"/>
        <n v="23992.09"/>
        <n v="16051.88"/>
        <n v="5345.06"/>
        <n v="157659.85999999999"/>
        <n v="29421.47"/>
        <n v="7740.98"/>
        <n v="60202.06"/>
        <n v="3357.02"/>
        <n v="51046.35"/>
        <n v="135484.32"/>
        <n v="38950.019999999997"/>
        <n v="136430.68"/>
        <n v="129425.35"/>
        <n v="10906.09"/>
        <n v="138752.10999999999"/>
        <n v="28723.16"/>
        <n v="1204.6300000000001"/>
        <n v="8062.69"/>
        <n v="17183.54"/>
        <n v="32418.7"/>
        <n v="106065.1"/>
        <n v="61288.43"/>
        <n v="98122.76"/>
        <n v="74137.179999999993"/>
        <n v="111486.76"/>
        <n v="14972.64"/>
        <n v="1532.2"/>
        <n v="7373.47"/>
        <n v="48115.03"/>
        <n v="81825.179999999993"/>
        <n v="31104.82"/>
        <n v="14186.36"/>
        <n v="2955.13"/>
        <n v="51794.400000000001"/>
        <n v="74372.899999999994"/>
        <n v="5997.46"/>
        <n v="37584.11"/>
        <n v="2794.11"/>
        <n v="131130.21"/>
        <n v="3140.61"/>
        <n v="94904.960000000006"/>
        <n v="5594.61"/>
        <n v="3699.57"/>
        <n v="18885.78"/>
        <n v="2951.42"/>
        <n v="3564.47"/>
        <n v="7977.08"/>
        <n v="75233.64"/>
        <n v="18420.71"/>
        <n v="25385.55"/>
        <n v="51973.49"/>
        <n v="3056.53"/>
        <n v="96738.39"/>
        <n v="4888.74"/>
        <n v="18558.96"/>
        <n v="5088.8100000000004"/>
        <n v="19363.95"/>
        <n v="102904.45"/>
        <n v="25443.65"/>
        <n v="28364.39"/>
        <n v="98169.19"/>
        <n v="39601.18"/>
        <n v="43085.41"/>
        <n v="1361.36"/>
        <n v="82943.570000000007"/>
        <n v="9622.7099999999991"/>
        <n v="6110.3"/>
        <n v="129621.92"/>
        <n v="28641.17"/>
        <n v="30748.39"/>
        <n v="1983.63"/>
        <n v="5732.61"/>
        <n v="16187.7"/>
        <n v="145220.6"/>
        <n v="59847.43"/>
        <n v="128922.84"/>
        <n v="105306.84"/>
        <n v="47880.55"/>
        <n v="67436.210000000006"/>
        <n v="76467.27"/>
        <n v="86694.080000000002"/>
        <n v="8649.25"/>
        <n v="96558.9"/>
        <n v="5208.2"/>
        <n v="12170.74"/>
        <n v="8650.0300000000007"/>
        <n v="10931.65"/>
        <n v="9742.26"/>
        <n v="7479.46"/>
        <n v="4855.82"/>
        <n v="4851.68"/>
        <n v="2440.65"/>
        <n v="63250.42"/>
        <n v="12933.33"/>
        <n v="43536.61"/>
        <n v="85376.79"/>
        <n v="103789.55"/>
        <n v="130674.34"/>
        <n v="33291.99"/>
        <n v="71368.710000000006"/>
        <n v="7984.9"/>
        <n v="32736.83"/>
        <n v="6983.39"/>
        <n v="663.64"/>
        <n v="90764.84"/>
        <n v="61314.55"/>
        <n v="21968.27"/>
        <n v="34626.300000000003"/>
        <n v="21159.37"/>
        <n v="47604.800000000003"/>
        <n v="20478.419999999998"/>
        <n v="11026.47"/>
        <n v="3245.62"/>
        <n v="2615.4299999999998"/>
        <n v="7160.55"/>
        <n v="2577.2199999999998"/>
        <n v="32806.35"/>
        <n v="275006.52"/>
        <n v="39102.400000000001"/>
        <n v="101524.2"/>
        <n v="42836.67"/>
        <n v="12502.33"/>
        <n v="2027.88"/>
        <n v="5754.98"/>
        <n v="58618.02"/>
        <n v="5186.76"/>
        <n v="62358.14"/>
        <n v="145273.22"/>
        <n v="1469"/>
        <n v="15454.64"/>
        <n v="65893.31"/>
        <n v="75001.08"/>
        <n v="33621.519999999997"/>
        <n v="3618.3"/>
        <n v="8312.32"/>
        <n v="15542.19"/>
        <n v="36272.6"/>
        <n v="25646.45"/>
        <n v="131288.82"/>
        <n v="9645.64"/>
        <n v="39637.32"/>
        <n v="7147.06"/>
        <n v="4812.43"/>
        <n v="5147.4399999999996"/>
        <n v="11662.23"/>
        <n v="8131.1"/>
        <n v="30995.06"/>
        <n v="113051.96"/>
        <n v="2739.81"/>
        <n v="122068.49"/>
        <n v="810.68"/>
        <n v="3690.03"/>
        <n v="143345.26"/>
        <n v="114879.24"/>
        <n v="125571.13"/>
        <n v="3016.2"/>
        <n v="33831.24"/>
        <n v="32394.06"/>
        <n v="893.84"/>
        <n v="37514.660000000003"/>
        <n v="101836.06"/>
        <n v="124499.67"/>
        <n v="31385.56"/>
        <n v="17796.52"/>
        <n v="1692.31"/>
        <n v="3803.5"/>
        <n v="45179.17"/>
        <n v="6364.91"/>
        <n v="57855.34"/>
        <n v="12301.28"/>
        <n v="36340.36"/>
        <n v="10747.81"/>
        <n v="11506.83"/>
        <n v="26365.49"/>
        <n v="5270.99"/>
        <n v="55547.57"/>
        <n v="8695.5"/>
        <n v="26860.98"/>
        <n v="52347.24"/>
        <n v="87257.86"/>
        <n v="66225.69"/>
        <n v="4812.3100000000004"/>
        <n v="145646.54"/>
        <n v="31041.07"/>
        <n v="84241.51"/>
        <n v="3921.34"/>
        <n v="1816.4"/>
        <n v="55061.38"/>
        <n v="186198.04"/>
        <n v="70746.210000000006"/>
        <n v="2000.42"/>
        <n v="132217.65"/>
        <n v="1508.1"/>
        <n v="7808.27"/>
        <n v="20864.07"/>
        <n v="81537.759999999995"/>
        <n v="5075.8100000000004"/>
        <n v="3551.65"/>
        <n v="5271.35"/>
        <n v="5307.74"/>
        <n v="58369"/>
        <n v="1111.57"/>
        <n v="37000.58"/>
        <n v="87019.51"/>
        <n v="20711.2"/>
        <n v="69160.259999999995"/>
        <n v="18180.740000000002"/>
        <n v="105079.27"/>
        <n v="5322.6"/>
        <n v="76435.820000000007"/>
        <n v="5472.38"/>
        <n v="2949.24"/>
        <n v="101599.52"/>
        <n v="86690.6"/>
        <n v="26141.38"/>
        <n v="4110.6000000000004"/>
        <n v="105583.63"/>
        <n v="61110.5"/>
        <n v="65899.97"/>
        <n v="3301.77"/>
        <n v="11568.67"/>
        <n v="6309.12"/>
        <n v="188116.03"/>
        <n v="39815.5"/>
        <n v="3416.43"/>
        <n v="46415.34"/>
        <n v="3724.95"/>
        <n v="32014.43"/>
        <n v="156822.98000000001"/>
        <n v="29635.69"/>
        <n v="6906"/>
        <n v="69510.5"/>
        <n v="22946"/>
        <n v="1462.71"/>
        <n v="10735.38"/>
        <n v="23454.12"/>
        <n v="2247.89"/>
        <n v="31911.15"/>
        <n v="149973.9"/>
        <n v="32871.86"/>
        <n v="6306.3"/>
        <n v="114504.15"/>
        <n v="6109.04"/>
        <n v="31572.49"/>
        <n v="28280.15"/>
        <n v="9595.24"/>
        <n v="40509.33"/>
        <n v="139851.07"/>
        <n v="7042.25"/>
        <n v="5700.57"/>
        <n v="1393.03"/>
        <n v="106156.22"/>
        <n v="13514.48"/>
        <n v="3116.05"/>
        <n v="33845.040000000001"/>
        <n v="56715.39"/>
        <n v="48956.73"/>
        <n v="115429.79"/>
        <n v="1539.11"/>
        <n v="37897.53"/>
        <n v="53420.46"/>
        <n v="11765.22"/>
        <n v="87349.98"/>
        <n v="10864.13"/>
        <n v="1454.14"/>
        <n v="7696.78"/>
        <n v="11045.27"/>
        <n v="20808.71"/>
        <n v="74550.559999999998"/>
        <n v="10748.86"/>
        <n v="4653.32"/>
        <n v="58968.08"/>
        <n v="131556.54999999999"/>
        <n v="8296.2000000000007"/>
        <n v="146743.92000000001"/>
        <n v="85252.53"/>
        <n v="32012.42"/>
        <n v="50175.93"/>
        <n v="15994.4"/>
        <n v="17520.89"/>
        <n v="3018.64"/>
        <n v="124792.05"/>
        <n v="127344.87"/>
        <n v="22075.66"/>
        <n v="51839.08"/>
        <n v="51861.84"/>
        <n v="13057.79"/>
        <n v="233202.08"/>
        <n v="1715.78"/>
        <n v="9643.27"/>
        <n v="121682.93"/>
        <n v="127959.64"/>
        <n v="62325.04"/>
        <n v="956.33"/>
        <n v="38539.15"/>
        <n v="44056.08"/>
        <n v="80309.38"/>
        <n v="21643.919999999998"/>
        <n v="6273.79"/>
        <n v="9615.6"/>
        <n v="101675.9"/>
        <n v="49908.44"/>
        <n v="39674.61"/>
        <n v="10163.07"/>
        <n v="50717.2"/>
        <n v="15607.82"/>
        <n v="12070.49"/>
        <n v="144136.46"/>
        <n v="5705.47"/>
        <n v="6989.46"/>
        <n v="17766.900000000001"/>
        <n v="47329.05"/>
        <n v="4153.9799999999996"/>
        <n v="24705.23"/>
        <n v="29068.12"/>
        <n v="56859.34"/>
        <n v="51881.59"/>
        <n v="58230.37"/>
        <n v="3718.64"/>
        <n v="2315"/>
        <n v="15555.87"/>
        <n v="37927.980000000003"/>
        <n v="2408.5"/>
        <n v="43384.36"/>
        <n v="5530.98"/>
        <n v="83786.73"/>
        <n v="81605.570000000007"/>
        <n v="1019.44"/>
        <n v="201396.96"/>
        <n v="12714.62"/>
        <n v="39756.400000000001"/>
        <n v="3215.03"/>
        <n v="183693.44"/>
        <n v="16071.31"/>
        <n v="38728.99"/>
        <n v="56881.27"/>
        <n v="4047.19"/>
        <n v="15662.25"/>
        <n v="7818.34"/>
        <n v="17912.21"/>
        <n v="31250.01"/>
        <n v="102959.75"/>
        <n v="2053.58"/>
        <n v="7935.39"/>
        <n v="49215.34"/>
        <n v="67162.899999999994"/>
        <n v="76609.679999999993"/>
        <n v="16134.87"/>
        <n v="236928.52"/>
        <n v="3530.65"/>
        <n v="50324.61"/>
        <n v="2916.55"/>
        <n v="12130.65"/>
        <n v="7042.72"/>
        <n v="783.57"/>
        <n v="35842.47"/>
        <n v="9699.36"/>
        <n v="22164.83"/>
        <n v="15630.8"/>
        <n v="1273.8399999999999"/>
        <n v="20676.61"/>
        <n v="81217.3"/>
        <n v="7097.97"/>
        <n v="89007.65"/>
        <n v="112546.5"/>
        <n v="25513.23"/>
        <n v="93479.7"/>
        <n v="6936.43"/>
        <n v="121172.83"/>
        <n v="22416.44"/>
        <n v="5893.99"/>
        <n v="32024.9"/>
        <n v="139338.5"/>
        <n v="2977.49"/>
        <n v="8302.59"/>
        <n v="13140.26"/>
        <n v="16519.310000000001"/>
        <n v="39908.32"/>
        <n v="110791.48"/>
        <n v="3739.08"/>
        <n v="37784.69"/>
        <n v="51794.43"/>
        <n v="117459.15"/>
        <n v="24437.61"/>
        <n v="3280.78"/>
        <n v="29909.85"/>
        <n v="139902.85"/>
        <n v="1946.28"/>
        <n v="1408"/>
        <n v="3671.53"/>
        <n v="117458.77"/>
        <n v="88162.48"/>
        <n v="8039.11"/>
        <n v="5053.3100000000004"/>
        <n v="551.20000000000005"/>
        <n v="68257.69"/>
        <n v="2230.15"/>
        <n v="17394.3"/>
        <n v="27787.4"/>
        <n v="6370.96"/>
        <n v="6452.22"/>
        <n v="17807.48"/>
        <n v="119262.75"/>
        <n v="7219.6"/>
        <n v="15599.3"/>
        <n v="109137.5"/>
        <n v="15508.58"/>
        <n v="1255.3599999999999"/>
        <n v="10841.85"/>
        <n v="17576.98"/>
        <n v="34004.06"/>
        <n v="90649.71"/>
        <n v="105210.14"/>
        <n v="2062.2399999999998"/>
        <n v="82991.66"/>
        <n v="9781.02"/>
        <n v="66674.880000000005"/>
        <n v="223314.11"/>
        <n v="63764.32"/>
        <n v="97016.62"/>
        <n v="1186.58"/>
        <n v="74040.490000000005"/>
        <n v="14450.12"/>
        <n v="9658.2000000000007"/>
        <n v="61446.559999999998"/>
        <n v="5729.73"/>
        <n v="61105.61"/>
        <n v="1728.24"/>
        <n v="29310.2"/>
        <n v="193648.78"/>
        <n v="6797.25"/>
        <n v="2643.41"/>
        <n v="25857.66"/>
        <n v="102426.7"/>
        <n v="3329.25"/>
        <n v="62382.52"/>
        <n v="12131.68"/>
        <n v="3405.56"/>
        <n v="15105.07"/>
        <n v="139364.32"/>
        <n v="3135.35"/>
        <n v="26122.06"/>
        <n v="30539.119999999999"/>
        <n v="8323.16"/>
        <n v="169673.09"/>
        <n v="113673.28"/>
        <n v="27659.84"/>
        <n v="19248.39"/>
        <n v="31878.31"/>
        <n v="2781.8"/>
        <n v="2066.17"/>
        <n v="5786.52"/>
        <n v="7361.83"/>
        <n v="2522.9899999999998"/>
        <n v="14717.41"/>
        <n v="24755.94"/>
        <n v="36487.370000000003"/>
        <n v="12259.48"/>
        <n v="7322.2"/>
        <n v="39269.35"/>
        <n v="161886.20000000001"/>
        <n v="117871.71"/>
        <n v="102166.96"/>
        <n v="5096.72"/>
        <n v="69063.399999999994"/>
        <n v="40079.51"/>
        <n v="89144.3"/>
        <n v="35005.15"/>
        <n v="132917.63"/>
        <n v="30023.68"/>
        <n v="66657.240000000005"/>
        <n v="44882.8"/>
        <n v="1714.06"/>
        <n v="21276.65"/>
        <n v="28945.02"/>
        <n v="14572.92"/>
        <n v="5329.92"/>
        <n v="7626.35"/>
        <n v="41876.61"/>
        <n v="82690.649999999994"/>
        <n v="68165"/>
        <n v="30187.62"/>
        <n v="5541.12"/>
        <n v="7885.64"/>
        <n v="55194.6"/>
        <n v="1685.97"/>
        <n v="19483.3"/>
        <n v="84485.99"/>
        <n v="1740.84"/>
        <n v="5005.01"/>
        <n v="6310.16"/>
        <n v="14850.32"/>
        <n v="11858.52"/>
        <n v="1763.92"/>
        <n v="11855"/>
        <n v="9135.9500000000007"/>
        <n v="140424.81"/>
        <n v="3526.22"/>
        <n v="6981.95"/>
        <n v="11870.19"/>
        <n v="8132.56"/>
        <n v="87945.13"/>
        <n v="2869.26"/>
        <n v="1247.19"/>
        <n v="7475.95"/>
        <n v="98252.19"/>
        <n v="23388.32"/>
        <n v="76909.009999999995"/>
        <n v="1803.44"/>
        <n v="34126.339999999997"/>
        <n v="2519.94"/>
        <n v="113947.08"/>
        <n v="120671.56"/>
        <n v="5374.3"/>
        <n v="36534.480000000003"/>
        <n v="15006.97"/>
        <n v="66402.78"/>
        <n v="49807.9"/>
        <n v="10173.219999999999"/>
        <n v="5566.63"/>
        <n v="89618.1"/>
        <n v="9025.64"/>
        <n v="52616.14"/>
        <n v="2870.01"/>
        <n v="213722.6"/>
        <n v="56812.41"/>
        <n v="48447.5"/>
        <n v="16927.64"/>
        <n v="3153.98"/>
        <n v="6677.82"/>
        <n v="17276.8"/>
        <n v="33163.279999999999"/>
        <n v="61757.38"/>
        <n v="85981.36"/>
        <n v="14194.07"/>
        <n v="19766.05"/>
        <n v="1740.02"/>
        <n v="8205.27"/>
        <n v="5745.73"/>
        <n v="5814.96"/>
        <n v="82271.899999999994"/>
        <n v="33194.519999999997"/>
        <n v="2214.8200000000002"/>
        <n v="5672.13"/>
        <n v="1312.51"/>
        <n v="48928.94"/>
        <n v="30169.33"/>
        <n v="54733.66"/>
        <n v="19621.22"/>
        <n v="35677.24"/>
        <n v="3826.4"/>
        <n v="16531.3"/>
        <n v="2638.32"/>
        <n v="36876.449999999997"/>
        <n v="12235.76"/>
        <n v="9104"/>
        <n v="253059.04"/>
        <n v="10659.8"/>
        <n v="40456.629999999997"/>
        <n v="9003.74"/>
        <n v="149793.65"/>
        <n v="229984.1"/>
        <n v="2106.71"/>
        <n v="6153.12"/>
        <n v="2874.56"/>
        <n v="73406.100000000006"/>
        <n v="12047.39"/>
        <n v="135743.18"/>
        <n v="11809.92"/>
        <n v="35051.31"/>
        <n v="2547.37"/>
        <n v="291592.84999999998"/>
        <n v="5076.67"/>
        <n v="33498.83"/>
        <n v="8464.0400000000009"/>
        <n v="144861.96"/>
        <n v="13457.34"/>
        <n v="69814.210000000006"/>
        <n v="1778.42"/>
        <n v="41862.93"/>
        <n v="132886.22"/>
        <n v="16831.57"/>
        <n v="8048.16"/>
        <n v="74589.86"/>
        <n v="7943.41"/>
        <n v="1792.71"/>
        <n v="7617.41"/>
        <n v="25533.21"/>
        <n v="78007.289999999994"/>
        <n v="87662.43"/>
        <n v="2808.86"/>
        <n v="115358.39999999999"/>
        <n v="61560.03"/>
        <n v="2786.1"/>
        <n v="4763.76"/>
        <n v="4446.09"/>
        <n v="3538.82"/>
        <n v="160194.97"/>
        <n v="40951.06"/>
        <n v="12323.41"/>
        <n v="14836.35"/>
        <n v="15753.14"/>
        <n v="6571.77"/>
        <n v="13196.3"/>
        <n v="6410.96"/>
        <n v="16648.22"/>
        <n v="79935.960000000006"/>
        <n v="29247.98"/>
        <n v="99278.28"/>
        <n v="5004.4399999999996"/>
        <n v="3765.04"/>
        <n v="23060.99"/>
        <n v="5077.59"/>
        <n v="2354.44"/>
        <n v="6458.72"/>
        <n v="9637.2099999999991"/>
        <n v="77093.94"/>
        <n v="4026.6"/>
        <n v="43169.85"/>
        <n v="783.6"/>
        <n v="1667.02"/>
        <n v="14853.15"/>
        <n v="8104.86"/>
        <n v="18306.82"/>
        <n v="6535.33"/>
        <n v="108928.35"/>
        <n v="34820.07"/>
        <n v="2568.31"/>
        <n v="178406.77"/>
        <n v="2234.6999999999998"/>
        <n v="49504.3"/>
        <n v="2650.34"/>
        <n v="158563.4"/>
        <n v="138097.31"/>
        <n v="3014.31"/>
        <n v="199151.39"/>
        <n v="84471.75"/>
        <n v="35155.99"/>
        <n v="17631.43"/>
        <n v="49073.63"/>
        <n v="27485.06"/>
        <n v="16053.5"/>
        <n v="3427.23"/>
        <n v="130676.44"/>
        <n v="46835.29"/>
        <n v="18532.509999999998"/>
        <n v="51471.79"/>
        <n v="14060.82"/>
        <n v="15262.68"/>
        <n v="38107.279999999999"/>
        <n v="150927.01"/>
        <n v="16190.59"/>
        <n v="1689.07"/>
        <n v="5794.49"/>
        <n v="23548.639999999999"/>
        <n v="21955.15"/>
        <n v="12138.38"/>
        <n v="40045.42"/>
        <n v="2231.0300000000002"/>
        <n v="37590.61"/>
        <n v="66459.78"/>
        <n v="9875.9"/>
        <n v="6564.64"/>
        <n v="4126.3999999999996"/>
        <n v="87013.84"/>
        <n v="6842.92"/>
        <n v="173140.65"/>
        <n v="147297.99"/>
        <n v="1341.24"/>
        <n v="6257.6"/>
        <n v="28866.97"/>
        <n v="3091.56"/>
        <n v="4162.2700000000004"/>
        <n v="17207.080000000002"/>
        <n v="17381.11"/>
        <n v="4570.0600000000004"/>
        <n v="68611.039999999994"/>
        <n v="16103.95"/>
        <n v="4646.03"/>
        <n v="16756.66"/>
        <n v="6510.96"/>
        <n v="140233.60000000001"/>
        <n v="169656.52"/>
        <n v="28742.2"/>
        <n v="15126.08"/>
        <n v="276365.92"/>
        <n v="1767.67"/>
        <n v="11891.25"/>
        <n v="111124.95"/>
        <n v="82119.94"/>
        <n v="22222.28"/>
        <n v="112021.12"/>
        <n v="17637.009999999998"/>
        <n v="48541.5"/>
        <n v="2843.49"/>
        <n v="67248.09"/>
        <n v="30229.25"/>
        <n v="4315.82"/>
        <n v="50039.47"/>
        <n v="112015.26"/>
        <n v="15565.75"/>
        <n v="89821.62"/>
        <n v="84880.35"/>
        <n v="14027.32"/>
        <n v="37798.9"/>
        <n v="7305.23"/>
        <n v="5567"/>
        <n v="106048.36"/>
        <n v="17568.27"/>
        <n v="24069.05"/>
        <n v="3361.58"/>
        <n v="17952.7"/>
        <n v="2946.41"/>
        <n v="122015.67999999999"/>
        <n v="2288.59"/>
        <n v="45145.08"/>
        <n v="111205.98"/>
        <n v="25998.26"/>
        <n v="199785.61"/>
        <n v="7465.15"/>
        <n v="182121.96"/>
        <n v="56556.91"/>
        <n v="6075.36"/>
        <n v="109820.29"/>
        <n v="11026.67"/>
        <n v="7034.24"/>
        <n v="10160.61"/>
        <n v="6999.53"/>
        <n v="44387.42"/>
        <n v="12867.65"/>
        <n v="19832.939999999999"/>
        <n v="14429.97"/>
        <n v="12070.35"/>
        <n v="9028"/>
        <n v="4546.07"/>
        <n v="2342.84"/>
        <n v="9329.2999999999993"/>
        <n v="17667.86"/>
        <n v="60265.96"/>
        <n v="5265.68"/>
        <n v="3577.6"/>
        <n v="28162.34"/>
        <n v="17535.830000000002"/>
        <n v="9824.82"/>
        <n v="7286.63"/>
        <n v="1835.44"/>
        <n v="115650.49"/>
        <n v="5736.73"/>
        <n v="7504.18"/>
        <n v="3983.41"/>
        <n v="27844.49"/>
        <n v="108754.12"/>
        <n v="9659.34"/>
        <n v="108611.13"/>
        <n v="3468.02"/>
        <n v="139843.62"/>
        <n v="12468.28"/>
        <n v="2053.81"/>
        <n v="1839.28"/>
        <n v="75095.3"/>
        <n v="58347.89"/>
        <n v="3217.26"/>
        <n v="39771.78"/>
        <n v="9077.25"/>
        <n v="21460.44"/>
        <n v="15675"/>
        <n v="4622.7700000000004"/>
        <n v="7728.66"/>
        <n v="81424.44"/>
        <n v="78921.490000000005"/>
        <n v="1612.16"/>
        <n v="40771.949999999997"/>
        <n v="10319.4"/>
        <n v="3478.95"/>
        <n v="2924.29"/>
        <n v="4481.1400000000003"/>
        <n v="62702.95"/>
        <n v="9651.58"/>
        <n v="3120.42"/>
        <n v="151294.45000000001"/>
        <n v="1223.19"/>
        <n v="3995.54"/>
        <n v="27711.03"/>
        <n v="24617.47"/>
        <n v="82922.009999999995"/>
        <n v="7620.57"/>
        <n v="8376.01"/>
        <n v="1911.14"/>
        <n v="62841.09"/>
        <n v="15473.45"/>
        <n v="36122.559999999998"/>
        <n v="14646.47"/>
        <n v="37028"/>
        <n v="5551.98"/>
        <n v="87510.5"/>
        <n v="11038"/>
        <n v="46550.75"/>
        <n v="5533.72"/>
        <n v="24553.58"/>
        <n v="3506.96"/>
        <n v="45649.91"/>
        <n v="35875.519999999997"/>
        <n v="13871.37"/>
        <n v="44406.44"/>
        <n v="10041.61"/>
        <n v="5978.09"/>
        <n v="13621.76"/>
        <n v="8202.91"/>
        <n v="5662.31"/>
        <n v="30036.48"/>
        <n v="60793.32"/>
        <n v="1939.41"/>
        <n v="197577.9"/>
        <n v="14882.97"/>
        <n v="43093.3"/>
        <n v="4619.88"/>
        <n v="144526.10999999999"/>
        <n v="6023.46"/>
        <n v="3632.9"/>
        <n v="1624.91"/>
        <n v="42652.76"/>
        <n v="1191.98"/>
        <n v="9127.43"/>
        <n v="82633.14"/>
        <n v="7267.75"/>
        <n v="26074.799999999999"/>
        <n v="28526.86"/>
        <n v="7213.78"/>
        <n v="2405.86"/>
        <n v="20779.919999999998"/>
        <n v="9091.5300000000007"/>
        <n v="54638.61"/>
        <n v="7847.39"/>
        <n v="1299.29"/>
        <n v="106215.45"/>
        <n v="1663.65"/>
        <n v="36505.81"/>
        <n v="109316.36"/>
        <n v="14347.12"/>
        <n v="9309.91"/>
        <n v="11668.21"/>
        <n v="12582.48"/>
        <n v="8406.75"/>
        <n v="6659.66"/>
        <n v="11184.55"/>
        <n v="4503.16"/>
        <n v="196277.85"/>
        <n v="7802.14"/>
        <n v="49906.44"/>
        <n v="28026"/>
        <n v="16225.46"/>
        <n v="8674.7000000000007"/>
        <n v="34140.53"/>
        <n v="27335.43"/>
        <n v="6050.98"/>
        <n v="33863.599999999999"/>
        <n v="23729.69"/>
        <n v="8816.18"/>
        <n v="50725.62"/>
        <n v="1690.48"/>
        <n v="9911.8799999999992"/>
        <n v="64440.47"/>
        <n v="17364.84"/>
        <n v="25383.599999999999"/>
        <n v="1605.19"/>
        <n v="149443.01"/>
        <n v="121036.88"/>
        <n v="3240.08"/>
        <n v="167289.28"/>
        <n v="10512.04"/>
        <n v="14318.59"/>
        <n v="6055.81"/>
        <n v="13397.4"/>
        <n v="4980.6000000000004"/>
        <n v="16664.650000000001"/>
        <n v="6046.38"/>
        <n v="97123.46"/>
        <n v="63302.82"/>
        <n v="626.1"/>
        <n v="6378.6"/>
        <n v="89263.42"/>
        <n v="71102.61"/>
        <n v="13848.03"/>
        <n v="9249.2199999999993"/>
        <n v="118122.83"/>
        <n v="145340.82"/>
        <n v="62359.18"/>
        <n v="97775.4"/>
        <n v="12871.34"/>
        <n v="7304.58"/>
        <n v="53066"/>
        <n v="19691.98"/>
        <n v="47970.11"/>
        <n v="5254.84"/>
        <n v="24638.57"/>
        <n v="2874.45"/>
        <n v="46898.53"/>
        <n v="1525.01"/>
        <n v="133972.92000000001"/>
        <n v="21120.52"/>
        <n v="5393.09"/>
        <n v="26968.720000000001"/>
        <n v="21367.34"/>
        <n v="7677.83"/>
        <n v="78360.259999999995"/>
        <n v="39571.919999999998"/>
        <n v="178145.8"/>
        <n v="1329.57"/>
        <n v="90974.49"/>
        <n v="183088.43"/>
        <n v="6767.6"/>
        <n v="60963.68"/>
        <n v="8076.21"/>
        <n v="13810.36"/>
        <n v="116384.64"/>
        <n v="7883.75"/>
        <n v="5420.4"/>
        <n v="161764.76"/>
        <n v="19733.22"/>
        <n v="76504.929999999993"/>
        <n v="119061.26"/>
        <n v="32646.49"/>
        <n v="108383.8"/>
        <n v="12874.48"/>
        <n v="12074.73"/>
        <n v="117064.5"/>
        <n v="2452.1"/>
        <n v="34605.54"/>
        <n v="16515.04"/>
        <n v="71887.990000000005"/>
        <n v="71716.36"/>
        <n v="27492.18"/>
        <n v="185546.82"/>
        <n v="6541.92"/>
        <n v="26908.94"/>
        <n v="6536.16"/>
        <n v="1408.27"/>
        <n v="37835.730000000003"/>
        <n v="110816.89"/>
        <n v="171016.67"/>
        <n v="1829.93"/>
        <n v="2729.22"/>
        <n v="20030.689999999999"/>
        <n v="16794.810000000001"/>
        <n v="4772.79"/>
        <n v="90017.65"/>
        <n v="33155.61"/>
        <n v="49629.38"/>
        <n v="43784.93"/>
        <n v="2712.03"/>
        <n v="19020.14"/>
        <n v="43960.98"/>
        <n v="523.66999999999996"/>
        <n v="3303.41"/>
        <n v="100050.49"/>
        <n v="61364.06"/>
        <n v="95252.36"/>
        <n v="12644.86"/>
        <n v="3556.56"/>
        <n v="25779.68"/>
        <n v="36448.51"/>
        <n v="12676.82"/>
        <n v="58673.7"/>
        <n v="40380.36"/>
        <n v="107896.43"/>
        <n v="5088.5600000000004"/>
        <n v="78578.64"/>
        <n v="43592.9"/>
        <n v="12880.04"/>
        <n v="11436.76"/>
        <n v="20275.39"/>
        <n v="113486.34"/>
        <n v="122051.21"/>
        <n v="32195.22"/>
        <n v="62376.33"/>
        <n v="1626.47"/>
        <n v="6333.63"/>
        <n v="4958.5"/>
        <n v="8760.99"/>
        <n v="25465.63"/>
        <n v="188506.03"/>
        <n v="88539.48"/>
        <n v="63509.279999999999"/>
        <n v="13545.22"/>
        <n v="38187.56"/>
        <n v="104786.38"/>
        <n v="1622.97"/>
        <n v="17463.59"/>
        <n v="23161.040000000001"/>
        <n v="5359.07"/>
        <n v="50595.65"/>
        <n v="14041.12"/>
        <n v="6025.52"/>
        <n v="13445.68"/>
        <n v="93732.17"/>
        <n v="7866.88"/>
        <n v="101164.26"/>
        <n v="8623.82"/>
        <n v="29343.07"/>
        <n v="24375.23"/>
        <n v="95348.52"/>
        <n v="35738.04"/>
        <n v="8796.06"/>
        <n v="156789.6"/>
        <n v="802.35"/>
        <n v="6134.13"/>
        <n v="45760.59"/>
        <n v="1588.54"/>
        <n v="68230.98"/>
        <n v="64798.87"/>
        <n v="3398.89"/>
        <n v="32215.83"/>
        <n v="2941.56"/>
        <n v="2803.44"/>
        <n v="2037.5"/>
        <n v="7370.45"/>
        <n v="55347.839999999997"/>
        <n v="43950.52"/>
        <n v="1783.98"/>
        <n v="15487.92"/>
        <n v="9957.09"/>
        <n v="82423.17"/>
        <n v="3309.25"/>
        <n v="70415.25"/>
        <n v="9265.09"/>
        <n v="13727.5"/>
        <n v="60616.37"/>
        <n v="34366.160000000003"/>
        <n v="11938.73"/>
        <n v="13910.95"/>
        <n v="4271.7299999999996"/>
        <n v="116022.72"/>
        <n v="35739.599999999999"/>
        <n v="110558.16"/>
        <n v="71134.539999999994"/>
        <n v="539.27"/>
        <n v="32897.29"/>
        <n v="17459.38"/>
        <n v="1657.28"/>
        <n v="27005.8"/>
        <n v="140801.45000000001"/>
        <n v="45138.38"/>
        <n v="6086.71"/>
        <n v="2609.5700000000002"/>
        <n v="3140.11"/>
        <n v="76139.399999999994"/>
        <n v="95625.81"/>
        <n v="1757.86"/>
        <n v="43145.31"/>
        <n v="9812.34"/>
        <n v="37906.199999999997"/>
        <n v="124444.96"/>
        <n v="94691.48"/>
        <n v="52102.47"/>
        <n v="13268.84"/>
        <n v="2950"/>
        <n v="115109.65"/>
        <n v="124092.61"/>
        <n v="89359.93"/>
        <n v="2510.87"/>
        <n v="15369.46"/>
        <n v="28015.24"/>
        <n v="87099.53"/>
        <n v="21471.5"/>
        <n v="11124.06"/>
        <n v="91159.46"/>
        <n v="3614.51"/>
        <n v="4932.12"/>
        <n v="7145.12"/>
        <n v="36501.49"/>
        <n v="21724.32"/>
        <n v="40426.300000000003"/>
        <n v="108876.04"/>
        <n v="111950.47"/>
        <n v="22553.89"/>
        <n v="180592.3"/>
        <n v="18193.439999999999"/>
        <n v="19866.560000000001"/>
        <n v="36038.620000000003"/>
        <n v="2358.8200000000002"/>
        <n v="1720.22"/>
        <n v="35235.980000000003"/>
        <n v="87379.55"/>
        <n v="2779.42"/>
        <n v="28249.69"/>
        <n v="16321.91"/>
        <n v="19252.669999999998"/>
      </sharedItems>
    </cacheField>
    <cacheField name="Profit" numFmtId="0">
      <sharedItems containsSemiMixedTypes="0" containsString="0" containsNumber="1" minValue="78.55" maxValue="102057.5"/>
    </cacheField>
    <cacheField name="Order_Date" numFmtId="164">
      <sharedItems containsSemiMixedTypes="0" containsNonDate="0" containsDate="1" containsString="0" minDate="2024-01-01T00:00:00" maxDate="2025-07-30T00:00:00"/>
    </cacheField>
    <cacheField name="Delivery_Date" numFmtId="164">
      <sharedItems containsSemiMixedTypes="0" containsNonDate="0" containsDate="1" containsString="0" minDate="2024-01-05T00:00:00" maxDate="2025-08-04T00:00:00" count="517">
        <d v="2024-08-21T00:00:00"/>
        <d v="2024-04-04T00:00:00"/>
        <d v="2024-07-16T00:00:00"/>
        <d v="2024-05-20T00:00:00"/>
        <d v="2024-03-14T00:00:00"/>
        <d v="2025-05-14T00:00:00"/>
        <d v="2025-05-28T00:00:00"/>
        <d v="2024-09-06T00:00:00"/>
        <d v="2025-07-30T00:00:00"/>
        <d v="2025-01-07T00:00:00"/>
        <d v="2025-03-16T00:00:00"/>
        <d v="2025-07-19T00:00:00"/>
        <d v="2025-07-01T00:00:00"/>
        <d v="2024-10-07T00:00:00"/>
        <d v="2024-05-16T00:00:00"/>
        <d v="2025-05-22T00:00:00"/>
        <d v="2025-03-05T00:00:00"/>
        <d v="2025-02-26T00:00:00"/>
        <d v="2025-01-01T00:00:00"/>
        <d v="2024-09-11T00:00:00"/>
        <d v="2025-06-28T00:00:00"/>
        <d v="2024-10-06T00:00:00"/>
        <d v="2025-07-22T00:00:00"/>
        <d v="2025-07-06T00:00:00"/>
        <d v="2024-08-26T00:00:00"/>
        <d v="2024-07-09T00:00:00"/>
        <d v="2024-05-15T00:00:00"/>
        <d v="2024-12-13T00:00:00"/>
        <d v="2024-03-19T00:00:00"/>
        <d v="2025-02-03T00:00:00"/>
        <d v="2024-09-14T00:00:00"/>
        <d v="2025-07-25T00:00:00"/>
        <d v="2024-12-27T00:00:00"/>
        <d v="2024-01-29T00:00:00"/>
        <d v="2024-08-23T00:00:00"/>
        <d v="2024-06-07T00:00:00"/>
        <d v="2024-02-06T00:00:00"/>
        <d v="2024-05-21T00:00:00"/>
        <d v="2024-02-09T00:00:00"/>
        <d v="2024-12-10T00:00:00"/>
        <d v="2024-05-07T00:00:00"/>
        <d v="2024-12-12T00:00:00"/>
        <d v="2024-09-15T00:00:00"/>
        <d v="2024-08-18T00:00:00"/>
        <d v="2024-11-20T00:00:00"/>
        <d v="2024-10-17T00:00:00"/>
        <d v="2024-09-27T00:00:00"/>
        <d v="2024-11-19T00:00:00"/>
        <d v="2024-03-09T00:00:00"/>
        <d v="2025-07-20T00:00:00"/>
        <d v="2024-04-02T00:00:00"/>
        <d v="2024-08-03T00:00:00"/>
        <d v="2024-11-09T00:00:00"/>
        <d v="2024-07-21T00:00:00"/>
        <d v="2024-04-27T00:00:00"/>
        <d v="2024-04-03T00:00:00"/>
        <d v="2024-04-10T00:00:00"/>
        <d v="2025-03-02T00:00:00"/>
        <d v="2024-05-14T00:00:00"/>
        <d v="2025-05-15T00:00:00"/>
        <d v="2024-10-14T00:00:00"/>
        <d v="2024-03-28T00:00:00"/>
        <d v="2025-05-18T00:00:00"/>
        <d v="2024-02-26T00:00:00"/>
        <d v="2024-10-30T00:00:00"/>
        <d v="2025-06-21T00:00:00"/>
        <d v="2024-08-25T00:00:00"/>
        <d v="2025-04-09T00:00:00"/>
        <d v="2025-06-01T00:00:00"/>
        <d v="2025-07-02T00:00:00"/>
        <d v="2024-06-16T00:00:00"/>
        <d v="2024-05-12T00:00:00"/>
        <d v="2024-06-02T00:00:00"/>
        <d v="2024-12-30T00:00:00"/>
        <d v="2025-05-30T00:00:00"/>
        <d v="2024-08-29T00:00:00"/>
        <d v="2025-07-10T00:00:00"/>
        <d v="2024-01-27T00:00:00"/>
        <d v="2024-05-03T00:00:00"/>
        <d v="2025-05-19T00:00:00"/>
        <d v="2025-01-11T00:00:00"/>
        <d v="2025-02-02T00:00:00"/>
        <d v="2024-08-22T00:00:00"/>
        <d v="2024-10-27T00:00:00"/>
        <d v="2025-07-24T00:00:00"/>
        <d v="2024-07-10T00:00:00"/>
        <d v="2025-04-28T00:00:00"/>
        <d v="2024-05-31T00:00:00"/>
        <d v="2024-03-01T00:00:00"/>
        <d v="2024-07-03T00:00:00"/>
        <d v="2025-07-29T00:00:00"/>
        <d v="2025-02-04T00:00:00"/>
        <d v="2024-10-01T00:00:00"/>
        <d v="2025-05-06T00:00:00"/>
        <d v="2024-03-18T00:00:00"/>
        <d v="2024-04-20T00:00:00"/>
        <d v="2024-05-24T00:00:00"/>
        <d v="2025-07-03T00:00:00"/>
        <d v="2025-05-20T00:00:00"/>
        <d v="2024-07-23T00:00:00"/>
        <d v="2024-09-29T00:00:00"/>
        <d v="2024-09-21T00:00:00"/>
        <d v="2024-03-02T00:00:00"/>
        <d v="2024-01-26T00:00:00"/>
        <d v="2024-02-28T00:00:00"/>
        <d v="2024-11-06T00:00:00"/>
        <d v="2024-05-02T00:00:00"/>
        <d v="2024-12-08T00:00:00"/>
        <d v="2025-05-08T00:00:00"/>
        <d v="2025-03-20T00:00:00"/>
        <d v="2025-05-24T00:00:00"/>
        <d v="2024-12-09T00:00:00"/>
        <d v="2025-05-05T00:00:00"/>
        <d v="2025-01-31T00:00:00"/>
        <d v="2025-04-03T00:00:00"/>
        <d v="2024-11-21T00:00:00"/>
        <d v="2024-07-20T00:00:00"/>
        <d v="2025-06-30T00:00:00"/>
        <d v="2024-09-09T00:00:00"/>
        <d v="2025-07-05T00:00:00"/>
        <d v="2024-11-18T00:00:00"/>
        <d v="2025-03-03T00:00:00"/>
        <d v="2025-03-24T00:00:00"/>
        <d v="2024-12-06T00:00:00"/>
        <d v="2024-10-02T00:00:00"/>
        <d v="2025-06-02T00:00:00"/>
        <d v="2024-09-12T00:00:00"/>
        <d v="2025-06-26T00:00:00"/>
        <d v="2024-07-14T00:00:00"/>
        <d v="2025-03-25T00:00:00"/>
        <d v="2025-07-31T00:00:00"/>
        <d v="2025-02-18T00:00:00"/>
        <d v="2025-06-10T00:00:00"/>
        <d v="2024-03-23T00:00:00"/>
        <d v="2025-01-19T00:00:00"/>
        <d v="2025-05-07T00:00:00"/>
        <d v="2024-10-08T00:00:00"/>
        <d v="2024-07-08T00:00:00"/>
        <d v="2024-09-17T00:00:00"/>
        <d v="2024-02-27T00:00:00"/>
        <d v="2024-09-26T00:00:00"/>
        <d v="2024-04-19T00:00:00"/>
        <d v="2024-02-21T00:00:00"/>
        <d v="2024-10-21T00:00:00"/>
        <d v="2024-04-26T00:00:00"/>
        <d v="2024-10-26T00:00:00"/>
        <d v="2024-06-20T00:00:00"/>
        <d v="2025-02-22T00:00:00"/>
        <d v="2024-02-02T00:00:00"/>
        <d v="2024-04-18T00:00:00"/>
        <d v="2024-04-06T00:00:00"/>
        <d v="2024-05-09T00:00:00"/>
        <d v="2024-02-23T00:00:00"/>
        <d v="2024-11-05T00:00:00"/>
        <d v="2024-10-11T00:00:00"/>
        <d v="2024-01-20T00:00:00"/>
        <d v="2025-07-15T00:00:00"/>
        <d v="2025-02-12T00:00:00"/>
        <d v="2025-04-12T00:00:00"/>
        <d v="2024-12-20T00:00:00"/>
        <d v="2024-10-19T00:00:00"/>
        <d v="2025-04-06T00:00:00"/>
        <d v="2024-09-03T00:00:00"/>
        <d v="2024-04-30T00:00:00"/>
        <d v="2024-06-13T00:00:00"/>
        <d v="2024-12-17T00:00:00"/>
        <d v="2024-10-24T00:00:00"/>
        <d v="2024-10-16T00:00:00"/>
        <d v="2025-06-03T00:00:00"/>
        <d v="2025-03-10T00:00:00"/>
        <d v="2024-12-29T00:00:00"/>
        <d v="2025-03-13T00:00:00"/>
        <d v="2025-06-09T00:00:00"/>
        <d v="2025-03-29T00:00:00"/>
        <d v="2025-02-07T00:00:00"/>
        <d v="2024-07-17T00:00:00"/>
        <d v="2025-01-18T00:00:00"/>
        <d v="2025-06-08T00:00:00"/>
        <d v="2024-12-21T00:00:00"/>
        <d v="2025-06-24T00:00:00"/>
        <d v="2024-08-31T00:00:00"/>
        <d v="2024-08-02T00:00:00"/>
        <d v="2024-03-11T00:00:00"/>
        <d v="2024-07-27T00:00:00"/>
        <d v="2024-01-05T00:00:00"/>
        <d v="2024-08-12T00:00:00"/>
        <d v="2025-05-10T00:00:00"/>
        <d v="2024-05-13T00:00:00"/>
        <d v="2025-01-20T00:00:00"/>
        <d v="2025-02-05T00:00:00"/>
        <d v="2024-02-07T00:00:00"/>
        <d v="2024-08-04T00:00:00"/>
        <d v="2025-01-16T00:00:00"/>
        <d v="2025-07-11T00:00:00"/>
        <d v="2025-07-08T00:00:00"/>
        <d v="2024-12-11T00:00:00"/>
        <d v="2024-08-19T00:00:00"/>
        <d v="2024-04-15T00:00:00"/>
        <d v="2025-06-18T00:00:00"/>
        <d v="2024-10-03T00:00:00"/>
        <d v="2025-06-12T00:00:00"/>
        <d v="2024-01-11T00:00:00"/>
        <d v="2025-04-07T00:00:00"/>
        <d v="2024-08-20T00:00:00"/>
        <d v="2024-10-28T00:00:00"/>
        <d v="2025-07-17T00:00:00"/>
        <d v="2025-06-19T00:00:00"/>
        <d v="2024-05-10T00:00:00"/>
        <d v="2024-11-30T00:00:00"/>
        <d v="2024-04-01T00:00:00"/>
        <d v="2025-05-25T00:00:00"/>
        <d v="2024-07-24T00:00:00"/>
        <d v="2024-01-06T00:00:00"/>
        <d v="2024-11-15T00:00:00"/>
        <d v="2024-03-04T00:00:00"/>
        <d v="2024-06-01T00:00:00"/>
        <d v="2024-01-22T00:00:00"/>
        <d v="2025-06-11T00:00:00"/>
        <d v="2024-04-29T00:00:00"/>
        <d v="2025-07-12T00:00:00"/>
        <d v="2025-03-09T00:00:00"/>
        <d v="2024-07-12T00:00:00"/>
        <d v="2024-07-19T00:00:00"/>
        <d v="2025-03-30T00:00:00"/>
        <d v="2025-06-25T00:00:00"/>
        <d v="2024-01-30T00:00:00"/>
        <d v="2024-02-04T00:00:00"/>
        <d v="2025-04-08T00:00:00"/>
        <d v="2025-01-14T00:00:00"/>
        <d v="2024-04-05T00:00:00"/>
        <d v="2025-05-29T00:00:00"/>
        <d v="2024-07-05T00:00:00"/>
        <d v="2025-05-26T00:00:00"/>
        <d v="2025-04-15T00:00:00"/>
        <d v="2024-10-18T00:00:00"/>
        <d v="2024-11-03T00:00:00"/>
        <d v="2025-06-04T00:00:00"/>
        <d v="2025-02-24T00:00:00"/>
        <d v="2025-03-27T00:00:00"/>
        <d v="2025-06-16T00:00:00"/>
        <d v="2024-09-01T00:00:00"/>
        <d v="2025-02-17T00:00:00"/>
        <d v="2025-05-12T00:00:00"/>
        <d v="2024-06-24T00:00:00"/>
        <d v="2025-01-04T00:00:00"/>
        <d v="2024-03-10T00:00:00"/>
        <d v="2025-02-19T00:00:00"/>
        <d v="2025-02-27T00:00:00"/>
        <d v="2024-10-22T00:00:00"/>
        <d v="2025-03-23T00:00:00"/>
        <d v="2024-01-25T00:00:00"/>
        <d v="2024-08-10T00:00:00"/>
        <d v="2024-09-10T00:00:00"/>
        <d v="2024-11-08T00:00:00"/>
        <d v="2025-03-06T00:00:00"/>
        <d v="2024-08-14T00:00:00"/>
        <d v="2024-09-04T00:00:00"/>
        <d v="2024-07-22T00:00:00"/>
        <d v="2024-02-20T00:00:00"/>
        <d v="2024-03-03T00:00:00"/>
        <d v="2024-07-04T00:00:00"/>
        <d v="2025-08-03T00:00:00"/>
        <d v="2024-05-26T00:00:00"/>
        <d v="2024-07-13T00:00:00"/>
        <d v="2024-02-13T00:00:00"/>
        <d v="2024-06-28T00:00:00"/>
        <d v="2024-02-08T00:00:00"/>
        <d v="2024-12-23T00:00:00"/>
        <d v="2024-11-17T00:00:00"/>
        <d v="2024-12-28T00:00:00"/>
        <d v="2024-09-25T00:00:00"/>
        <d v="2025-07-07T00:00:00"/>
        <d v="2025-03-12T00:00:00"/>
        <d v="2024-07-07T00:00:00"/>
        <d v="2025-07-18T00:00:00"/>
        <d v="2024-06-08T00:00:00"/>
        <d v="2024-07-26T00:00:00"/>
        <d v="2024-11-02T00:00:00"/>
        <d v="2024-12-02T00:00:00"/>
        <d v="2024-02-12T00:00:00"/>
        <d v="2024-03-30T00:00:00"/>
        <d v="2024-04-24T00:00:00"/>
        <d v="2025-04-17T00:00:00"/>
        <d v="2025-06-13T00:00:00"/>
        <d v="2024-10-13T00:00:00"/>
        <d v="2024-08-13T00:00:00"/>
        <d v="2024-06-05T00:00:00"/>
        <d v="2024-11-26T00:00:00"/>
        <d v="2024-02-03T00:00:00"/>
        <d v="2024-04-07T00:00:00"/>
        <d v="2024-02-24T00:00:00"/>
        <d v="2025-02-20T00:00:00"/>
        <d v="2024-12-01T00:00:00"/>
        <d v="2025-01-29T00:00:00"/>
        <d v="2024-05-04T00:00:00"/>
        <d v="2024-12-16T00:00:00"/>
        <d v="2024-06-14T00:00:00"/>
        <d v="2025-04-04T00:00:00"/>
        <d v="2024-01-13T00:00:00"/>
        <d v="2025-01-12T00:00:00"/>
        <d v="2024-07-18T00:00:00"/>
        <d v="2024-03-13T00:00:00"/>
        <d v="2025-04-13T00:00:00"/>
        <d v="2025-01-23T00:00:00"/>
        <d v="2024-11-23T00:00:00"/>
        <d v="2025-03-08T00:00:00"/>
        <d v="2024-01-15T00:00:00"/>
        <d v="2025-05-23T00:00:00"/>
        <d v="2024-07-01T00:00:00"/>
        <d v="2024-11-11T00:00:00"/>
        <d v="2025-02-25T00:00:00"/>
        <d v="2024-02-05T00:00:00"/>
        <d v="2024-01-17T00:00:00"/>
        <d v="2024-12-14T00:00:00"/>
        <d v="2025-06-14T00:00:00"/>
        <d v="2024-09-08T00:00:00"/>
        <d v="2024-08-16T00:00:00"/>
        <d v="2024-09-05T00:00:00"/>
        <d v="2024-10-25T00:00:00"/>
        <d v="2025-04-10T00:00:00"/>
        <d v="2025-06-27T00:00:00"/>
        <d v="2024-06-17T00:00:00"/>
        <d v="2025-01-03T00:00:00"/>
        <d v="2024-06-19T00:00:00"/>
        <d v="2024-04-21T00:00:00"/>
        <d v="2024-01-16T00:00:00"/>
        <d v="2024-05-01T00:00:00"/>
        <d v="2024-01-09T00:00:00"/>
        <d v="2024-05-23T00:00:00"/>
        <d v="2024-09-22T00:00:00"/>
        <d v="2025-02-06T00:00:00"/>
        <d v="2025-01-26T00:00:00"/>
        <d v="2024-06-25T00:00:00"/>
        <d v="2025-04-23T00:00:00"/>
        <d v="2024-10-04T00:00:00"/>
        <d v="2025-07-21T00:00:00"/>
        <d v="2024-12-07T00:00:00"/>
        <d v="2025-04-30T00:00:00"/>
        <d v="2024-04-23T00:00:00"/>
        <d v="2024-07-06T00:00:00"/>
        <d v="2024-07-25T00:00:00"/>
        <d v="2024-08-09T00:00:00"/>
        <d v="2024-12-15T00:00:00"/>
        <d v="2024-11-10T00:00:00"/>
        <d v="2025-07-26T00:00:00"/>
        <d v="2024-04-14T00:00:00"/>
        <d v="2024-02-17T00:00:00"/>
        <d v="2024-01-28T00:00:00"/>
        <d v="2024-03-15T00:00:00"/>
        <d v="2024-06-22T00:00:00"/>
        <d v="2025-06-17T00:00:00"/>
        <d v="2024-08-11T00:00:00"/>
        <d v="2024-02-10T00:00:00"/>
        <d v="2025-04-01T00:00:00"/>
        <d v="2024-03-21T00:00:00"/>
        <d v="2025-03-28T00:00:00"/>
        <d v="2024-12-25T00:00:00"/>
        <d v="2025-04-21T00:00:00"/>
        <d v="2025-04-05T00:00:00"/>
        <d v="2024-12-24T00:00:00"/>
        <d v="2024-04-25T00:00:00"/>
        <d v="2024-03-12T00:00:00"/>
        <d v="2024-05-08T00:00:00"/>
        <d v="2025-04-19T00:00:00"/>
        <d v="2024-08-28T00:00:00"/>
        <d v="2025-03-19T00:00:00"/>
        <d v="2024-12-22T00:00:00"/>
        <d v="2024-06-04T00:00:00"/>
        <d v="2024-03-05T00:00:00"/>
        <d v="2024-09-30T00:00:00"/>
        <d v="2024-03-26T00:00:00"/>
        <d v="2024-08-17T00:00:00"/>
        <d v="2024-01-21T00:00:00"/>
        <d v="2025-07-09T00:00:00"/>
        <d v="2025-02-14T00:00:00"/>
        <d v="2025-05-04T00:00:00"/>
        <d v="2025-02-21T00:00:00"/>
        <d v="2024-08-24T00:00:00"/>
        <d v="2025-05-21T00:00:00"/>
        <d v="2024-08-30T00:00:00"/>
        <d v="2024-06-23T00:00:00"/>
        <d v="2025-07-28T00:00:00"/>
        <d v="2024-07-28T00:00:00"/>
        <d v="2024-03-25T00:00:00"/>
        <d v="2024-09-23T00:00:00"/>
        <d v="2024-06-29T00:00:00"/>
        <d v="2025-01-21T00:00:00"/>
        <d v="2024-05-17T00:00:00"/>
        <d v="2024-03-22T00:00:00"/>
        <d v="2025-03-14T00:00:00"/>
        <d v="2025-02-23T00:00:00"/>
        <d v="2024-06-30T00:00:00"/>
        <d v="2025-01-30T00:00:00"/>
        <d v="2024-02-15T00:00:00"/>
        <d v="2025-03-26T00:00:00"/>
        <d v="2025-01-02T00:00:00"/>
        <d v="2024-12-03T00:00:00"/>
        <d v="2025-03-17T00:00:00"/>
        <d v="2025-04-16T00:00:00"/>
        <d v="2024-06-26T00:00:00"/>
        <d v="2024-05-11T00:00:00"/>
        <d v="2024-06-06T00:00:00"/>
        <d v="2024-05-22T00:00:00"/>
        <d v="2024-11-16T00:00:00"/>
        <d v="2024-06-21T00:00:00"/>
        <d v="2025-06-07T00:00:00"/>
        <d v="2025-01-24T00:00:00"/>
        <d v="2025-07-16T00:00:00"/>
        <d v="2025-01-09T00:00:00"/>
        <d v="2024-01-18T00:00:00"/>
        <d v="2025-05-16T00:00:00"/>
        <d v="2024-10-05T00:00:00"/>
        <d v="2024-11-22T00:00:00"/>
        <d v="2025-01-22T00:00:00"/>
        <d v="2024-11-25T00:00:00"/>
        <d v="2024-05-18T00:00:00"/>
        <d v="2024-07-02T00:00:00"/>
        <d v="2025-04-29T00:00:00"/>
        <d v="2024-02-22T00:00:00"/>
        <d v="2025-05-09T00:00:00"/>
        <d v="2024-06-27T00:00:00"/>
        <d v="2024-02-18T00:00:00"/>
        <d v="2024-12-04T00:00:00"/>
        <d v="2025-02-10T00:00:00"/>
        <d v="2024-11-27T00:00:00"/>
        <d v="2025-04-27T00:00:00"/>
        <d v="2025-06-23T00:00:00"/>
        <d v="2024-10-15T00:00:00"/>
        <d v="2025-06-15T00:00:00"/>
        <d v="2025-04-11T00:00:00"/>
        <d v="2024-01-19T00:00:00"/>
        <d v="2025-07-04T00:00:00"/>
        <d v="2024-11-29T00:00:00"/>
        <d v="2024-05-28T00:00:00"/>
        <d v="2024-04-08T00:00:00"/>
        <d v="2025-07-14T00:00:00"/>
        <d v="2025-03-21T00:00:00"/>
        <d v="2025-02-16T00:00:00"/>
        <d v="2024-03-06T00:00:00"/>
        <d v="2024-06-10T00:00:00"/>
        <d v="2025-04-26T00:00:00"/>
        <d v="2024-04-12T00:00:00"/>
        <d v="2025-05-31T00:00:00"/>
        <d v="2025-05-03T00:00:00"/>
        <d v="2025-06-06T00:00:00"/>
        <d v="2024-08-27T00:00:00"/>
        <d v="2024-07-30T00:00:00"/>
        <d v="2024-08-06T00:00:00"/>
        <d v="2024-12-05T00:00:00"/>
        <d v="2024-03-08T00:00:00"/>
        <d v="2025-05-02T00:00:00"/>
        <d v="2024-02-01T00:00:00"/>
        <d v="2025-03-01T00:00:00"/>
        <d v="2024-09-07T00:00:00"/>
        <d v="2025-03-15T00:00:00"/>
        <d v="2025-03-31T00:00:00"/>
        <d v="2025-01-13T00:00:00"/>
        <d v="2025-01-25T00:00:00"/>
        <d v="2024-05-06T00:00:00"/>
        <d v="2024-06-11T00:00:00"/>
        <d v="2024-04-16T00:00:00"/>
        <d v="2024-04-13T00:00:00"/>
        <d v="2024-03-16T00:00:00"/>
        <d v="2024-08-05T00:00:00"/>
        <d v="2025-02-13T00:00:00"/>
        <d v="2024-09-24T00:00:00"/>
        <d v="2024-04-09T00:00:00"/>
        <d v="2024-08-07T00:00:00"/>
        <d v="2024-12-19T00:00:00"/>
        <d v="2024-10-10T00:00:00"/>
        <d v="2025-04-24T00:00:00"/>
        <d v="2025-05-27T00:00:00"/>
        <d v="2024-06-15T00:00:00"/>
        <d v="2024-02-11T00:00:00"/>
        <d v="2024-06-18T00:00:00"/>
        <d v="2024-09-20T00:00:00"/>
        <d v="2024-08-01T00:00:00"/>
        <d v="2025-02-28T00:00:00"/>
        <d v="2024-03-07T00:00:00"/>
        <d v="2024-10-20T00:00:00"/>
        <d v="2025-05-13T00:00:00"/>
        <d v="2024-01-10T00:00:00"/>
        <d v="2024-09-02T00:00:00"/>
        <d v="2025-06-05T00:00:00"/>
        <d v="2024-03-20T00:00:00"/>
        <d v="2024-08-08T00:00:00"/>
        <d v="2024-02-14T00:00:00"/>
        <d v="2024-03-31T00:00:00"/>
        <d v="2024-06-09T00:00:00"/>
        <d v="2024-01-24T00:00:00"/>
        <d v="2024-02-19T00:00:00"/>
        <d v="2025-04-25T00:00:00"/>
        <d v="2025-08-02T00:00:00"/>
        <d v="2024-01-23T00:00:00"/>
        <d v="2024-09-28T00:00:00"/>
        <d v="2024-12-31T00:00:00"/>
        <d v="2024-07-31T00:00:00"/>
        <d v="2024-02-16T00:00:00"/>
        <d v="2024-01-31T00:00:00"/>
        <d v="2024-11-01T00:00:00"/>
        <d v="2024-11-12T00:00:00"/>
        <d v="2025-06-29T00:00:00"/>
        <d v="2025-03-18T00:00:00"/>
        <d v="2024-11-28T00:00:00"/>
        <d v="2025-04-18T00:00:00"/>
        <d v="2025-03-04T00:00:00"/>
        <d v="2025-05-11T00:00:00"/>
        <d v="2024-10-09T00:00:00"/>
        <d v="2024-05-29T00:00:00"/>
        <d v="2024-03-29T00:00:00"/>
        <d v="2024-04-22T00:00:00"/>
        <d v="2024-04-17T00:00:00"/>
        <d v="2024-11-14T00:00:00"/>
        <d v="2024-09-16T00:00:00"/>
        <d v="2025-07-27T00:00:00"/>
        <d v="2025-01-27T00:00:00"/>
        <d v="2025-04-22T00:00:00"/>
      </sharedItems>
      <fieldGroup par="16"/>
    </cacheField>
    <cacheField name="Months (Delivery_Date)" numFmtId="0" databaseField="0">
      <fieldGroup base="13">
        <rangePr groupBy="months" startDate="2024-01-05T00:00:00" endDate="2025-08-04T00:00:00"/>
        <groupItems count="14">
          <s v="&lt;05-01-2024"/>
          <s v="Jan"/>
          <s v="Feb"/>
          <s v="Mar"/>
          <s v="Apr"/>
          <s v="May"/>
          <s v="Jun"/>
          <s v="Jul"/>
          <s v="Aug"/>
          <s v="Sep"/>
          <s v="Oct"/>
          <s v="Nov"/>
          <s v="Dec"/>
          <s v="&gt;04-08-2025"/>
        </groupItems>
      </fieldGroup>
    </cacheField>
    <cacheField name="Quarters (Delivery_Date)" numFmtId="0" databaseField="0">
      <fieldGroup base="13">
        <rangePr groupBy="quarters" startDate="2024-01-05T00:00:00" endDate="2025-08-04T00:00:00"/>
        <groupItems count="6">
          <s v="&lt;05-01-2024"/>
          <s v="Qtr1"/>
          <s v="Qtr2"/>
          <s v="Qtr3"/>
          <s v="Qtr4"/>
          <s v="&gt;04-08-2025"/>
        </groupItems>
      </fieldGroup>
    </cacheField>
    <cacheField name="Years (Delivery_Date)" numFmtId="0" databaseField="0">
      <fieldGroup base="13">
        <rangePr groupBy="years" startDate="2024-01-05T00:00:00" endDate="2025-08-04T00:00:00"/>
        <groupItems count="4">
          <s v="&lt;05-01-2024"/>
          <s v="2024"/>
          <s v="2025"/>
          <s v="&gt;04-08-2025"/>
        </groupItems>
      </fieldGroup>
    </cacheField>
  </cacheFields>
  <extLst>
    <ext xmlns:x14="http://schemas.microsoft.com/office/spreadsheetml/2009/9/main" uri="{725AE2AE-9491-48be-B2B4-4EB974FC3084}">
      <x14:pivotCacheDefinition pivotCacheId="1231895259"/>
    </ext>
  </extLst>
</pivotCacheDefinition>
</file>

<file path=xl/pivotCache/pivotCacheRecords1.xml><?xml version="1.0" encoding="utf-8"?>
<pivotCacheRecords xmlns="http://schemas.openxmlformats.org/spreadsheetml/2006/main" xmlns:r="http://schemas.openxmlformats.org/officeDocument/2006/relationships" count="1200">
  <r>
    <x v="0"/>
    <s v="Sneakers"/>
    <x v="0"/>
    <x v="0"/>
    <x v="0"/>
    <x v="0"/>
    <s v="Bengaluru"/>
    <n v="2514.6"/>
    <n v="0"/>
    <n v="2514.6"/>
    <n v="20"/>
    <n v="50292"/>
    <n v="1257.3"/>
    <d v="2024-08-17T00:00:00"/>
    <x v="0"/>
    <x v="0"/>
    <d v="2024-08-21T00:00:00"/>
    <n v="4"/>
    <x v="0"/>
  </r>
  <r>
    <x v="1"/>
    <s v="Coffee Table"/>
    <x v="1"/>
    <x v="1"/>
    <x v="1"/>
    <x v="1"/>
    <s v="Delhi"/>
    <n v="9954.58"/>
    <n v="0.2"/>
    <n v="7963.6640000000007"/>
    <n v="4"/>
    <n v="31854.656000000003"/>
    <n v="11149.13"/>
    <d v="2024-03-31T00:00:00"/>
    <x v="1"/>
    <x v="0"/>
    <d v="2024-04-04T00:00:00"/>
    <n v="4"/>
    <x v="1"/>
  </r>
  <r>
    <x v="2"/>
    <s v="Laptop"/>
    <x v="2"/>
    <x v="2"/>
    <x v="1"/>
    <x v="1"/>
    <s v="Jaipur"/>
    <n v="61044.5"/>
    <n v="0.05"/>
    <n v="57992.274999999987"/>
    <n v="1"/>
    <n v="57992.274999999987"/>
    <n v="20297.29"/>
    <d v="2024-07-08T00:00:00"/>
    <x v="2"/>
    <x v="0"/>
    <d v="2024-07-16T00:00:00"/>
    <n v="8"/>
    <x v="0"/>
  </r>
  <r>
    <x v="3"/>
    <s v="Headphones"/>
    <x v="2"/>
    <x v="3"/>
    <x v="0"/>
    <x v="2"/>
    <s v="Bhubaneswar"/>
    <n v="1933.16"/>
    <n v="0.1"/>
    <n v="1739.8440000000001"/>
    <n v="5"/>
    <n v="8699.2200000000012"/>
    <n v="2174.8000000000002"/>
    <d v="2024-05-17T00:00:00"/>
    <x v="3"/>
    <x v="0"/>
    <d v="2024-05-20T00:00:00"/>
    <n v="3"/>
    <x v="1"/>
  </r>
  <r>
    <x v="4"/>
    <s v="Bed"/>
    <x v="1"/>
    <x v="4"/>
    <x v="1"/>
    <x v="2"/>
    <s v="Bhubaneswar"/>
    <n v="33576.85"/>
    <n v="0.3"/>
    <n v="23503.794999999998"/>
    <n v="3"/>
    <n v="70511.384999999995"/>
    <n v="24678.98"/>
    <d v="2024-03-12T00:00:00"/>
    <x v="1"/>
    <x v="0"/>
    <d v="2024-03-14T00:00:00"/>
    <n v="2"/>
    <x v="1"/>
  </r>
  <r>
    <x v="5"/>
    <s v="Jacket"/>
    <x v="3"/>
    <x v="5"/>
    <x v="2"/>
    <x v="1"/>
    <s v="Jaipur"/>
    <n v="2617.88"/>
    <n v="0.2"/>
    <n v="2094.3040000000001"/>
    <n v="3"/>
    <n v="6282.9120000000003"/>
    <n v="942.44"/>
    <d v="2025-05-04T00:00:00"/>
    <x v="3"/>
    <x v="1"/>
    <d v="2025-05-14T00:00:00"/>
    <n v="10"/>
    <x v="1"/>
  </r>
  <r>
    <x v="6"/>
    <s v="Coffee Table"/>
    <x v="1"/>
    <x v="4"/>
    <x v="1"/>
    <x v="1"/>
    <s v="Lucknow"/>
    <n v="10447.25"/>
    <n v="0"/>
    <n v="10447.25"/>
    <n v="4"/>
    <n v="41789"/>
    <n v="14626.15"/>
    <d v="2025-05-21T00:00:00"/>
    <x v="3"/>
    <x v="1"/>
    <d v="2025-05-28T00:00:00"/>
    <n v="7"/>
    <x v="1"/>
  </r>
  <r>
    <x v="7"/>
    <s v="Formal Shoes"/>
    <x v="0"/>
    <x v="6"/>
    <x v="2"/>
    <x v="0"/>
    <s v="Hyderabad"/>
    <n v="2887.51"/>
    <n v="0.15"/>
    <n v="2454.3834999999999"/>
    <n v="20"/>
    <n v="49087.67"/>
    <n v="736.32"/>
    <d v="2024-09-02T00:00:00"/>
    <x v="4"/>
    <x v="0"/>
    <d v="2024-09-06T00:00:00"/>
    <n v="4"/>
    <x v="0"/>
  </r>
  <r>
    <x v="8"/>
    <s v="Refrigerator"/>
    <x v="4"/>
    <x v="2"/>
    <x v="1"/>
    <x v="0"/>
    <s v="Hyderabad"/>
    <n v="28339.06"/>
    <n v="0.05"/>
    <n v="26922.107"/>
    <n v="2"/>
    <n v="53844.214"/>
    <n v="18845.47"/>
    <d v="2025-07-20T00:00:00"/>
    <x v="2"/>
    <x v="1"/>
    <d v="2025-07-30T00:00:00"/>
    <n v="10"/>
    <x v="0"/>
  </r>
  <r>
    <x v="9"/>
    <s v="Refrigerator"/>
    <x v="4"/>
    <x v="2"/>
    <x v="1"/>
    <x v="0"/>
    <s v="Chennai"/>
    <n v="29172.62"/>
    <n v="0.2"/>
    <n v="23338.096000000001"/>
    <n v="4"/>
    <n v="93352.384000000005"/>
    <n v="32674.33"/>
    <d v="2025-01-03T00:00:00"/>
    <x v="5"/>
    <x v="1"/>
    <d v="2025-01-07T00:00:00"/>
    <n v="4"/>
    <x v="2"/>
  </r>
  <r>
    <x v="10"/>
    <s v="Dining Table"/>
    <x v="1"/>
    <x v="7"/>
    <x v="0"/>
    <x v="2"/>
    <s v="Bhubaneswar"/>
    <n v="22864.48"/>
    <n v="0.2"/>
    <n v="18291.583999999999"/>
    <n v="2"/>
    <n v="36583.167999999998"/>
    <n v="9145.7900000000009"/>
    <d v="2025-03-13T00:00:00"/>
    <x v="1"/>
    <x v="1"/>
    <d v="2025-03-16T00:00:00"/>
    <n v="3"/>
    <x v="1"/>
  </r>
  <r>
    <x v="11"/>
    <s v="Refrigerator"/>
    <x v="4"/>
    <x v="8"/>
    <x v="2"/>
    <x v="0"/>
    <s v="Hyderabad"/>
    <n v="21784.17"/>
    <n v="0.3"/>
    <n v="15248.919"/>
    <n v="1"/>
    <n v="15248.919"/>
    <n v="2287.34"/>
    <d v="2025-07-16T00:00:00"/>
    <x v="2"/>
    <x v="1"/>
    <d v="2025-07-19T00:00:00"/>
    <n v="3"/>
    <x v="0"/>
  </r>
  <r>
    <x v="12"/>
    <s v="Coffee Table"/>
    <x v="1"/>
    <x v="4"/>
    <x v="1"/>
    <x v="1"/>
    <s v="Delhi"/>
    <n v="9589.74"/>
    <n v="0.1"/>
    <n v="8630.7659999999996"/>
    <n v="4"/>
    <n v="34523.063999999998"/>
    <n v="12083.07"/>
    <d v="2025-06-28T00:00:00"/>
    <x v="6"/>
    <x v="1"/>
    <d v="2025-07-01T00:00:00"/>
    <n v="3"/>
    <x v="0"/>
  </r>
  <r>
    <x v="13"/>
    <s v="T-Shirt"/>
    <x v="3"/>
    <x v="9"/>
    <x v="1"/>
    <x v="1"/>
    <s v="Delhi"/>
    <n v="997.83"/>
    <n v="0.05"/>
    <n v="947.93849999999998"/>
    <n v="4"/>
    <n v="3791.7539999999999"/>
    <n v="1327.11"/>
    <d v="2024-09-27T00:00:00"/>
    <x v="4"/>
    <x v="0"/>
    <d v="2024-10-07T00:00:00"/>
    <n v="10"/>
    <x v="0"/>
  </r>
  <r>
    <x v="14"/>
    <s v="Headphones"/>
    <x v="2"/>
    <x v="2"/>
    <x v="1"/>
    <x v="1"/>
    <s v="Lucknow"/>
    <n v="2432.71"/>
    <n v="0.05"/>
    <n v="2311.0745000000002"/>
    <n v="3"/>
    <n v="6933.2235000000001"/>
    <n v="2426.63"/>
    <d v="2024-05-13T00:00:00"/>
    <x v="3"/>
    <x v="0"/>
    <d v="2024-05-16T00:00:00"/>
    <n v="3"/>
    <x v="1"/>
  </r>
  <r>
    <x v="15"/>
    <s v="Dining Table"/>
    <x v="1"/>
    <x v="4"/>
    <x v="1"/>
    <x v="3"/>
    <s v="Mumbai"/>
    <n v="31215.98"/>
    <n v="0.2"/>
    <n v="24972.784"/>
    <n v="2"/>
    <n v="49945.567999999999"/>
    <n v="17480.95"/>
    <d v="2025-05-16T00:00:00"/>
    <x v="3"/>
    <x v="1"/>
    <d v="2025-05-22T00:00:00"/>
    <n v="6"/>
    <x v="1"/>
  </r>
  <r>
    <x v="16"/>
    <s v="Coffee Table"/>
    <x v="1"/>
    <x v="1"/>
    <x v="1"/>
    <x v="0"/>
    <s v="Chennai"/>
    <n v="9213.39"/>
    <n v="0.1"/>
    <n v="8292.0509999999995"/>
    <n v="3"/>
    <n v="24876.152999999998"/>
    <n v="8706.65"/>
    <d v="2025-03-03T00:00:00"/>
    <x v="1"/>
    <x v="1"/>
    <d v="2025-03-05T00:00:00"/>
    <n v="2"/>
    <x v="1"/>
  </r>
  <r>
    <x v="17"/>
    <s v="Formal Shoes"/>
    <x v="0"/>
    <x v="0"/>
    <x v="0"/>
    <x v="0"/>
    <s v="Bengaluru"/>
    <n v="3464.41"/>
    <n v="0.15"/>
    <n v="2944.7485000000001"/>
    <n v="1"/>
    <n v="2944.7485000000001"/>
    <n v="736.19"/>
    <d v="2025-02-23T00:00:00"/>
    <x v="7"/>
    <x v="1"/>
    <d v="2025-02-26T00:00:00"/>
    <n v="3"/>
    <x v="1"/>
  </r>
  <r>
    <x v="18"/>
    <s v="Sofa Set"/>
    <x v="1"/>
    <x v="7"/>
    <x v="0"/>
    <x v="2"/>
    <s v="Patna"/>
    <n v="33492.07"/>
    <n v="0.2"/>
    <n v="26793.655999999999"/>
    <n v="4"/>
    <n v="107174.624"/>
    <n v="26793.65"/>
    <d v="2024-12-28T00:00:00"/>
    <x v="8"/>
    <x v="0"/>
    <d v="2025-01-01T00:00:00"/>
    <n v="4"/>
    <x v="2"/>
  </r>
  <r>
    <x v="19"/>
    <s v="Dining Table"/>
    <x v="1"/>
    <x v="7"/>
    <x v="0"/>
    <x v="0"/>
    <s v="Hyderabad"/>
    <n v="23758.83"/>
    <n v="0"/>
    <n v="23758.83"/>
    <n v="3"/>
    <n v="71276.490000000005"/>
    <n v="17819.12"/>
    <d v="2024-09-05T00:00:00"/>
    <x v="4"/>
    <x v="0"/>
    <d v="2024-09-11T00:00:00"/>
    <n v="6"/>
    <x v="0"/>
  </r>
  <r>
    <x v="20"/>
    <s v="Microwave"/>
    <x v="4"/>
    <x v="10"/>
    <x v="1"/>
    <x v="3"/>
    <s v="Pune"/>
    <n v="10756.52"/>
    <n v="0.15"/>
    <n v="9143.0419999999995"/>
    <n v="1"/>
    <n v="9143.0419999999995"/>
    <n v="3200.06"/>
    <d v="2025-06-26T00:00:00"/>
    <x v="6"/>
    <x v="1"/>
    <d v="2025-06-28T00:00:00"/>
    <n v="2"/>
    <x v="0"/>
  </r>
  <r>
    <x v="21"/>
    <s v="Laptop"/>
    <x v="2"/>
    <x v="3"/>
    <x v="0"/>
    <x v="2"/>
    <s v="Patna"/>
    <n v="48286.45"/>
    <n v="0.25"/>
    <n v="36214.837499999987"/>
    <n v="2"/>
    <n v="72429.674999999974"/>
    <n v="18107.419999999998"/>
    <d v="2024-09-26T00:00:00"/>
    <x v="4"/>
    <x v="0"/>
    <d v="2024-10-06T00:00:00"/>
    <n v="10"/>
    <x v="0"/>
  </r>
  <r>
    <x v="22"/>
    <s v="Laptop"/>
    <x v="2"/>
    <x v="3"/>
    <x v="0"/>
    <x v="3"/>
    <s v="Pune"/>
    <n v="56451.93"/>
    <n v="0.1"/>
    <n v="50806.737000000001"/>
    <n v="5"/>
    <n v="254033.685"/>
    <n v="63508.42"/>
    <d v="2025-07-12T00:00:00"/>
    <x v="2"/>
    <x v="1"/>
    <d v="2025-07-22T00:00:00"/>
    <n v="10"/>
    <x v="0"/>
  </r>
  <r>
    <x v="23"/>
    <s v="Microwave"/>
    <x v="4"/>
    <x v="10"/>
    <x v="1"/>
    <x v="1"/>
    <s v="Delhi"/>
    <n v="9870.3700000000008"/>
    <n v="0.1"/>
    <n v="8883.3330000000005"/>
    <n v="3"/>
    <n v="26649.999000000003"/>
    <n v="9327.5"/>
    <d v="2025-07-04T00:00:00"/>
    <x v="2"/>
    <x v="1"/>
    <d v="2025-07-06T00:00:00"/>
    <n v="2"/>
    <x v="0"/>
  </r>
  <r>
    <x v="24"/>
    <s v="Jeans"/>
    <x v="3"/>
    <x v="9"/>
    <x v="1"/>
    <x v="3"/>
    <s v="Pune"/>
    <n v="1933.01"/>
    <n v="0.05"/>
    <n v="1836.3595"/>
    <n v="2"/>
    <n v="3672.7190000000001"/>
    <n v="1285.45"/>
    <d v="2024-08-16T00:00:00"/>
    <x v="0"/>
    <x v="0"/>
    <d v="2024-08-26T00:00:00"/>
    <n v="10"/>
    <x v="0"/>
  </r>
  <r>
    <x v="25"/>
    <s v="Sneakers"/>
    <x v="0"/>
    <x v="11"/>
    <x v="1"/>
    <x v="0"/>
    <s v="Chennai"/>
    <n v="2996.39"/>
    <n v="0.1"/>
    <n v="2696.7510000000002"/>
    <n v="10"/>
    <n v="26967.510000000002"/>
    <n v="4719.3100000000004"/>
    <d v="2024-06-29T00:00:00"/>
    <x v="6"/>
    <x v="0"/>
    <d v="2024-07-09T00:00:00"/>
    <n v="10"/>
    <x v="0"/>
  </r>
  <r>
    <x v="26"/>
    <s v="Formal Shoes"/>
    <x v="0"/>
    <x v="11"/>
    <x v="1"/>
    <x v="1"/>
    <s v="Jaipur"/>
    <n v="4505.47"/>
    <n v="0.1"/>
    <n v="4054.9229999999998"/>
    <n v="2"/>
    <n v="8109.8459999999995"/>
    <n v="2838.45"/>
    <d v="2024-05-12T00:00:00"/>
    <x v="3"/>
    <x v="0"/>
    <d v="2024-05-15T00:00:00"/>
    <n v="3"/>
    <x v="1"/>
  </r>
  <r>
    <x v="27"/>
    <s v="Washing Machine"/>
    <x v="4"/>
    <x v="12"/>
    <x v="0"/>
    <x v="1"/>
    <s v="Jaipur"/>
    <n v="18678.7"/>
    <n v="0.2"/>
    <n v="14942.96"/>
    <n v="3"/>
    <n v="44828.88"/>
    <n v="11207.22"/>
    <d v="2024-12-11T00:00:00"/>
    <x v="8"/>
    <x v="0"/>
    <d v="2024-12-13T00:00:00"/>
    <n v="2"/>
    <x v="2"/>
  </r>
  <r>
    <x v="28"/>
    <s v="T-Shirt"/>
    <x v="3"/>
    <x v="13"/>
    <x v="1"/>
    <x v="2"/>
    <s v="Kolkata"/>
    <n v="921.47"/>
    <n v="0.25"/>
    <n v="691.10249999999996"/>
    <n v="2"/>
    <n v="1382.2049999999999"/>
    <n v="483.77"/>
    <d v="2024-03-10T00:00:00"/>
    <x v="1"/>
    <x v="0"/>
    <d v="2024-03-19T00:00:00"/>
    <n v="9"/>
    <x v="1"/>
  </r>
  <r>
    <x v="29"/>
    <s v="Jeans"/>
    <x v="3"/>
    <x v="13"/>
    <x v="1"/>
    <x v="0"/>
    <s v="Chennai"/>
    <n v="1692.8"/>
    <n v="0.3"/>
    <n v="1184.96"/>
    <n v="20"/>
    <n v="23699.200000000001"/>
    <n v="1244.21"/>
    <d v="2025-01-27T00:00:00"/>
    <x v="5"/>
    <x v="1"/>
    <d v="2025-02-03T00:00:00"/>
    <n v="7"/>
    <x v="2"/>
  </r>
  <r>
    <x v="30"/>
    <s v="Sneakers"/>
    <x v="0"/>
    <x v="0"/>
    <x v="0"/>
    <x v="1"/>
    <s v="Jaipur"/>
    <n v="2711.92"/>
    <n v="0.3"/>
    <n v="1898.3440000000001"/>
    <n v="10"/>
    <n v="18983.440000000002"/>
    <n v="2372.9299999999998"/>
    <d v="2024-09-05T00:00:00"/>
    <x v="4"/>
    <x v="0"/>
    <d v="2024-09-14T00:00:00"/>
    <n v="9"/>
    <x v="0"/>
  </r>
  <r>
    <x v="31"/>
    <s v="Bed"/>
    <x v="1"/>
    <x v="1"/>
    <x v="1"/>
    <x v="3"/>
    <s v="Ahmedabad"/>
    <n v="37732.339999999997"/>
    <n v="0.1"/>
    <n v="33959.106"/>
    <n v="5"/>
    <n v="169795.53"/>
    <n v="59428.44"/>
    <d v="2025-07-15T00:00:00"/>
    <x v="2"/>
    <x v="1"/>
    <d v="2025-07-25T00:00:00"/>
    <n v="10"/>
    <x v="0"/>
  </r>
  <r>
    <x v="32"/>
    <s v="Washing Machine"/>
    <x v="4"/>
    <x v="2"/>
    <x v="1"/>
    <x v="0"/>
    <s v="Chennai"/>
    <n v="22097.24"/>
    <n v="0.05"/>
    <n v="20992.378000000001"/>
    <n v="2"/>
    <n v="41984.756000000001"/>
    <n v="14694.67"/>
    <d v="2024-12-19T00:00:00"/>
    <x v="8"/>
    <x v="0"/>
    <d v="2024-12-27T00:00:00"/>
    <n v="8"/>
    <x v="2"/>
  </r>
  <r>
    <x v="33"/>
    <s v="Laptop"/>
    <x v="2"/>
    <x v="14"/>
    <x v="1"/>
    <x v="2"/>
    <s v="Bhubaneswar"/>
    <n v="55406.400000000001"/>
    <n v="0.3"/>
    <n v="38784.480000000003"/>
    <n v="1"/>
    <n v="38784.480000000003"/>
    <n v="13574.57"/>
    <d v="2024-01-27T00:00:00"/>
    <x v="5"/>
    <x v="0"/>
    <d v="2024-01-29T00:00:00"/>
    <n v="2"/>
    <x v="2"/>
  </r>
  <r>
    <x v="34"/>
    <s v="Smartphone"/>
    <x v="2"/>
    <x v="2"/>
    <x v="1"/>
    <x v="1"/>
    <s v="Jaipur"/>
    <n v="18139.45"/>
    <n v="0.15"/>
    <n v="15418.532499999999"/>
    <n v="5"/>
    <n v="77092.662499999991"/>
    <n v="26982.43"/>
    <d v="2024-08-13T00:00:00"/>
    <x v="0"/>
    <x v="0"/>
    <d v="2024-08-23T00:00:00"/>
    <n v="10"/>
    <x v="0"/>
  </r>
  <r>
    <x v="35"/>
    <s v="Sofa Set"/>
    <x v="1"/>
    <x v="7"/>
    <x v="0"/>
    <x v="2"/>
    <s v="Patna"/>
    <n v="33771.68"/>
    <n v="0"/>
    <n v="33771.68"/>
    <n v="2"/>
    <n v="67543.360000000001"/>
    <n v="16885.84"/>
    <d v="2024-06-01T00:00:00"/>
    <x v="6"/>
    <x v="0"/>
    <d v="2024-06-07T00:00:00"/>
    <n v="6"/>
    <x v="0"/>
  </r>
  <r>
    <x v="36"/>
    <s v="Dining Table"/>
    <x v="1"/>
    <x v="1"/>
    <x v="1"/>
    <x v="1"/>
    <s v="Delhi"/>
    <n v="32016.9"/>
    <n v="0.25"/>
    <n v="24012.674999999999"/>
    <n v="1"/>
    <n v="24012.674999999999"/>
    <n v="8404.44"/>
    <d v="2024-02-01T00:00:00"/>
    <x v="7"/>
    <x v="0"/>
    <d v="2024-02-06T00:00:00"/>
    <n v="5"/>
    <x v="1"/>
  </r>
  <r>
    <x v="37"/>
    <s v="Washing Machine"/>
    <x v="4"/>
    <x v="10"/>
    <x v="1"/>
    <x v="0"/>
    <s v="Chennai"/>
    <n v="20170.16"/>
    <n v="0.15"/>
    <n v="17144.635999999999"/>
    <n v="2"/>
    <n v="34289.271999999997"/>
    <n v="12001.24"/>
    <d v="2024-05-16T00:00:00"/>
    <x v="3"/>
    <x v="0"/>
    <d v="2024-05-21T00:00:00"/>
    <n v="5"/>
    <x v="1"/>
  </r>
  <r>
    <x v="38"/>
    <s v="Microwave"/>
    <x v="4"/>
    <x v="2"/>
    <x v="1"/>
    <x v="2"/>
    <s v="Patna"/>
    <n v="9140.74"/>
    <n v="0.05"/>
    <n v="8683.7029999999995"/>
    <n v="4"/>
    <n v="34734.811999999998"/>
    <n v="12157.18"/>
    <d v="2024-02-03T00:00:00"/>
    <x v="7"/>
    <x v="0"/>
    <d v="2024-02-09T00:00:00"/>
    <n v="6"/>
    <x v="1"/>
  </r>
  <r>
    <x v="39"/>
    <s v="Jeans"/>
    <x v="3"/>
    <x v="15"/>
    <x v="1"/>
    <x v="3"/>
    <s v="Mumbai"/>
    <n v="1912.2"/>
    <n v="0.15"/>
    <n v="1625.37"/>
    <n v="6"/>
    <n v="9752.2199999999993"/>
    <n v="568.88"/>
    <d v="2024-12-08T00:00:00"/>
    <x v="8"/>
    <x v="0"/>
    <d v="2024-12-10T00:00:00"/>
    <n v="2"/>
    <x v="2"/>
  </r>
  <r>
    <x v="40"/>
    <s v="Dining Table"/>
    <x v="1"/>
    <x v="4"/>
    <x v="1"/>
    <x v="1"/>
    <s v="Delhi"/>
    <n v="32317.35"/>
    <n v="0.15"/>
    <n v="27469.747500000001"/>
    <n v="1"/>
    <n v="27469.747500000001"/>
    <n v="9614.41"/>
    <d v="2024-05-05T00:00:00"/>
    <x v="3"/>
    <x v="0"/>
    <d v="2024-05-07T00:00:00"/>
    <n v="2"/>
    <x v="1"/>
  </r>
  <r>
    <x v="41"/>
    <s v="Jeans"/>
    <x v="3"/>
    <x v="16"/>
    <x v="2"/>
    <x v="1"/>
    <s v="Jaipur"/>
    <n v="1306.53"/>
    <n v="0"/>
    <n v="1306.53"/>
    <n v="5"/>
    <n v="6532.65"/>
    <n v="391.96"/>
    <d v="2024-12-03T00:00:00"/>
    <x v="8"/>
    <x v="0"/>
    <d v="2024-12-12T00:00:00"/>
    <n v="9"/>
    <x v="2"/>
  </r>
  <r>
    <x v="42"/>
    <s v="Formal Shoes"/>
    <x v="0"/>
    <x v="11"/>
    <x v="1"/>
    <x v="0"/>
    <s v="Hyderabad"/>
    <n v="4149.3900000000003"/>
    <n v="0"/>
    <n v="4149.3900000000003"/>
    <n v="20"/>
    <n v="82987.8"/>
    <n v="7261.43"/>
    <d v="2024-09-13T00:00:00"/>
    <x v="4"/>
    <x v="0"/>
    <d v="2024-09-15T00:00:00"/>
    <n v="2"/>
    <x v="0"/>
  </r>
  <r>
    <x v="43"/>
    <s v="Headphones"/>
    <x v="2"/>
    <x v="2"/>
    <x v="1"/>
    <x v="3"/>
    <s v="Mumbai"/>
    <n v="2708.04"/>
    <n v="0.1"/>
    <n v="2437.2359999999999"/>
    <n v="2"/>
    <n v="4874.4719999999998"/>
    <n v="1706.06"/>
    <d v="2024-08-09T00:00:00"/>
    <x v="0"/>
    <x v="0"/>
    <d v="2024-08-18T00:00:00"/>
    <n v="9"/>
    <x v="0"/>
  </r>
  <r>
    <x v="44"/>
    <s v="Jacket"/>
    <x v="3"/>
    <x v="16"/>
    <x v="2"/>
    <x v="2"/>
    <s v="Patna"/>
    <n v="2409.36"/>
    <n v="0.1"/>
    <n v="2168.424"/>
    <n v="8"/>
    <n v="17347.392"/>
    <n v="1626.32"/>
    <d v="2024-11-17T00:00:00"/>
    <x v="9"/>
    <x v="0"/>
    <d v="2024-11-20T00:00:00"/>
    <n v="3"/>
    <x v="2"/>
  </r>
  <r>
    <x v="45"/>
    <s v="Coffee Table"/>
    <x v="1"/>
    <x v="7"/>
    <x v="0"/>
    <x v="0"/>
    <s v="Hyderabad"/>
    <n v="7838.4"/>
    <n v="0.1"/>
    <n v="7054.5599999999986"/>
    <n v="3"/>
    <n v="21163.679999999997"/>
    <n v="5290.92"/>
    <d v="2024-10-10T00:00:00"/>
    <x v="10"/>
    <x v="0"/>
    <d v="2024-10-17T00:00:00"/>
    <n v="7"/>
    <x v="2"/>
  </r>
  <r>
    <x v="46"/>
    <s v="Microwave"/>
    <x v="4"/>
    <x v="12"/>
    <x v="0"/>
    <x v="0"/>
    <s v="Bengaluru"/>
    <n v="7974.64"/>
    <n v="0.05"/>
    <n v="7575.9080000000004"/>
    <n v="4"/>
    <n v="30303.632000000001"/>
    <n v="7575.91"/>
    <d v="2024-09-18T00:00:00"/>
    <x v="4"/>
    <x v="0"/>
    <d v="2024-09-27T00:00:00"/>
    <n v="9"/>
    <x v="0"/>
  </r>
  <r>
    <x v="47"/>
    <s v="Sneakers"/>
    <x v="0"/>
    <x v="6"/>
    <x v="2"/>
    <x v="1"/>
    <s v="Delhi"/>
    <n v="2279.29"/>
    <n v="0.1"/>
    <n v="2051.3609999999999"/>
    <n v="3"/>
    <n v="6154.0829999999996"/>
    <n v="923.11"/>
    <d v="2024-11-14T00:00:00"/>
    <x v="9"/>
    <x v="0"/>
    <d v="2024-11-19T00:00:00"/>
    <n v="5"/>
    <x v="2"/>
  </r>
  <r>
    <x v="48"/>
    <s v="Dining Table"/>
    <x v="1"/>
    <x v="7"/>
    <x v="0"/>
    <x v="2"/>
    <s v="Kolkata"/>
    <n v="24093.82"/>
    <n v="0.15"/>
    <n v="20479.746999999999"/>
    <n v="3"/>
    <n v="61439.240999999995"/>
    <n v="15359.81"/>
    <d v="2024-03-06T00:00:00"/>
    <x v="1"/>
    <x v="0"/>
    <d v="2024-03-09T00:00:00"/>
    <n v="3"/>
    <x v="1"/>
  </r>
  <r>
    <x v="49"/>
    <s v="Jacket"/>
    <x v="3"/>
    <x v="13"/>
    <x v="1"/>
    <x v="2"/>
    <s v="Bhubaneswar"/>
    <n v="3521.78"/>
    <n v="0.2"/>
    <n v="2817.424"/>
    <n v="1"/>
    <n v="2817.424"/>
    <n v="986.1"/>
    <d v="2025-07-11T00:00:00"/>
    <x v="2"/>
    <x v="1"/>
    <d v="2025-07-20T00:00:00"/>
    <n v="9"/>
    <x v="0"/>
  </r>
  <r>
    <x v="50"/>
    <s v="Bed"/>
    <x v="1"/>
    <x v="4"/>
    <x v="1"/>
    <x v="1"/>
    <s v="Lucknow"/>
    <n v="37999.440000000002"/>
    <n v="0.15"/>
    <n v="32299.524000000001"/>
    <n v="4"/>
    <n v="129198.09600000001"/>
    <n v="45219.33"/>
    <d v="2024-03-23T00:00:00"/>
    <x v="1"/>
    <x v="0"/>
    <d v="2024-04-02T00:00:00"/>
    <n v="10"/>
    <x v="1"/>
  </r>
  <r>
    <x v="51"/>
    <s v="Headphones"/>
    <x v="2"/>
    <x v="17"/>
    <x v="0"/>
    <x v="3"/>
    <s v="Ahmedabad"/>
    <n v="2264.2600000000002"/>
    <n v="0.1"/>
    <n v="2037.8340000000001"/>
    <n v="1"/>
    <n v="2037.8340000000001"/>
    <n v="509.46"/>
    <d v="2024-07-26T00:00:00"/>
    <x v="2"/>
    <x v="0"/>
    <d v="2024-08-03T00:00:00"/>
    <n v="8"/>
    <x v="0"/>
  </r>
  <r>
    <x v="52"/>
    <s v="Bed"/>
    <x v="1"/>
    <x v="7"/>
    <x v="0"/>
    <x v="1"/>
    <s v="Delhi"/>
    <n v="30390.89"/>
    <n v="0.3"/>
    <n v="21273.623"/>
    <n v="1"/>
    <n v="21273.623"/>
    <n v="5318.4"/>
    <d v="2024-10-31T00:00:00"/>
    <x v="10"/>
    <x v="0"/>
    <d v="2024-11-09T00:00:00"/>
    <n v="9"/>
    <x v="2"/>
  </r>
  <r>
    <x v="53"/>
    <s v="Formal Shoes"/>
    <x v="0"/>
    <x v="6"/>
    <x v="2"/>
    <x v="3"/>
    <s v="Mumbai"/>
    <n v="3221.61"/>
    <n v="0"/>
    <n v="3221.61"/>
    <n v="4"/>
    <n v="12886.44"/>
    <n v="1932.97"/>
    <d v="2024-07-14T00:00:00"/>
    <x v="2"/>
    <x v="0"/>
    <d v="2024-07-21T00:00:00"/>
    <n v="7"/>
    <x v="0"/>
  </r>
  <r>
    <x v="54"/>
    <s v="Bed"/>
    <x v="1"/>
    <x v="1"/>
    <x v="1"/>
    <x v="3"/>
    <s v="Pune"/>
    <n v="38868.050000000003"/>
    <n v="0.15"/>
    <n v="33037.842499999999"/>
    <n v="5"/>
    <n v="165189.21249999999"/>
    <n v="57816.22"/>
    <d v="2024-04-18T00:00:00"/>
    <x v="11"/>
    <x v="0"/>
    <d v="2024-04-27T00:00:00"/>
    <n v="9"/>
    <x v="1"/>
  </r>
  <r>
    <x v="55"/>
    <s v="Smartphone"/>
    <x v="2"/>
    <x v="17"/>
    <x v="0"/>
    <x v="1"/>
    <s v="Lucknow"/>
    <n v="15205.15"/>
    <n v="0.2"/>
    <n v="12164.12"/>
    <n v="2"/>
    <n v="24328.240000000002"/>
    <n v="6082.06"/>
    <d v="2024-03-29T00:00:00"/>
    <x v="1"/>
    <x v="0"/>
    <d v="2024-04-03T00:00:00"/>
    <n v="5"/>
    <x v="1"/>
  </r>
  <r>
    <x v="56"/>
    <s v="Microwave"/>
    <x v="4"/>
    <x v="10"/>
    <x v="1"/>
    <x v="3"/>
    <s v="Pune"/>
    <n v="9906.2999999999993"/>
    <n v="0"/>
    <n v="9906.2999999999993"/>
    <n v="1"/>
    <n v="9906.2999999999993"/>
    <n v="3467.2"/>
    <d v="2024-04-02T00:00:00"/>
    <x v="11"/>
    <x v="0"/>
    <d v="2024-04-10T00:00:00"/>
    <n v="8"/>
    <x v="1"/>
  </r>
  <r>
    <x v="57"/>
    <s v="Formal Shoes"/>
    <x v="0"/>
    <x v="6"/>
    <x v="2"/>
    <x v="0"/>
    <s v="Hyderabad"/>
    <n v="2953.88"/>
    <n v="0"/>
    <n v="2953.88"/>
    <n v="2"/>
    <n v="5907.76"/>
    <n v="886.16"/>
    <d v="2025-02-23T00:00:00"/>
    <x v="7"/>
    <x v="1"/>
    <d v="2025-03-02T00:00:00"/>
    <n v="7"/>
    <x v="1"/>
  </r>
  <r>
    <x v="58"/>
    <s v="Bed"/>
    <x v="1"/>
    <x v="1"/>
    <x v="1"/>
    <x v="0"/>
    <s v="Chennai"/>
    <n v="33698.019999999997"/>
    <n v="0.3"/>
    <n v="23588.614000000001"/>
    <n v="4"/>
    <n v="94354.456000000006"/>
    <n v="33024.06"/>
    <d v="2024-05-11T00:00:00"/>
    <x v="3"/>
    <x v="0"/>
    <d v="2024-05-14T00:00:00"/>
    <n v="3"/>
    <x v="1"/>
  </r>
  <r>
    <x v="59"/>
    <s v="Washing Machine"/>
    <x v="4"/>
    <x v="8"/>
    <x v="2"/>
    <x v="1"/>
    <s v="Lucknow"/>
    <n v="15856.72"/>
    <n v="0"/>
    <n v="15856.72"/>
    <n v="4"/>
    <n v="63426.879999999997"/>
    <n v="9514.0300000000007"/>
    <d v="2025-05-08T00:00:00"/>
    <x v="3"/>
    <x v="1"/>
    <d v="2025-05-15T00:00:00"/>
    <n v="7"/>
    <x v="1"/>
  </r>
  <r>
    <x v="60"/>
    <s v="Bed"/>
    <x v="1"/>
    <x v="4"/>
    <x v="1"/>
    <x v="0"/>
    <s v="Bengaluru"/>
    <n v="36481.4"/>
    <n v="0.1"/>
    <n v="32833.26"/>
    <n v="4"/>
    <n v="131333.04"/>
    <n v="45966.559999999998"/>
    <d v="2024-10-06T00:00:00"/>
    <x v="10"/>
    <x v="0"/>
    <d v="2024-10-14T00:00:00"/>
    <n v="8"/>
    <x v="2"/>
  </r>
  <r>
    <x v="61"/>
    <s v="Headphones"/>
    <x v="2"/>
    <x v="17"/>
    <x v="0"/>
    <x v="2"/>
    <s v="Patna"/>
    <n v="1865.58"/>
    <n v="0.3"/>
    <n v="1305.9059999999999"/>
    <n v="5"/>
    <n v="6529.53"/>
    <n v="1632.38"/>
    <d v="2024-03-23T00:00:00"/>
    <x v="1"/>
    <x v="0"/>
    <d v="2024-03-28T00:00:00"/>
    <n v="5"/>
    <x v="1"/>
  </r>
  <r>
    <x v="62"/>
    <s v="Sneakers"/>
    <x v="0"/>
    <x v="6"/>
    <x v="2"/>
    <x v="1"/>
    <s v="Jaipur"/>
    <n v="2138.88"/>
    <n v="0.05"/>
    <n v="2031.9359999999999"/>
    <n v="3"/>
    <n v="6095.808"/>
    <n v="914.37"/>
    <d v="2025-05-15T00:00:00"/>
    <x v="3"/>
    <x v="1"/>
    <d v="2025-05-18T00:00:00"/>
    <n v="3"/>
    <x v="1"/>
  </r>
  <r>
    <x v="63"/>
    <s v="Dining Table"/>
    <x v="1"/>
    <x v="18"/>
    <x v="2"/>
    <x v="0"/>
    <s v="Chennai"/>
    <n v="20674.8"/>
    <n v="0.25"/>
    <n v="15506.1"/>
    <n v="1"/>
    <n v="15506.1"/>
    <n v="2325.91"/>
    <d v="2024-02-22T00:00:00"/>
    <x v="7"/>
    <x v="0"/>
    <d v="2024-02-26T00:00:00"/>
    <n v="4"/>
    <x v="1"/>
  </r>
  <r>
    <x v="64"/>
    <s v="T-Shirt"/>
    <x v="3"/>
    <x v="13"/>
    <x v="1"/>
    <x v="1"/>
    <s v="Lucknow"/>
    <n v="988.16"/>
    <n v="0.1"/>
    <n v="889.34399999999994"/>
    <n v="9"/>
    <n v="8004.0959999999995"/>
    <n v="933.81"/>
    <d v="2024-10-22T00:00:00"/>
    <x v="10"/>
    <x v="0"/>
    <d v="2024-10-30T00:00:00"/>
    <n v="8"/>
    <x v="2"/>
  </r>
  <r>
    <x v="65"/>
    <s v="T-Shirt"/>
    <x v="3"/>
    <x v="13"/>
    <x v="1"/>
    <x v="2"/>
    <s v="Kolkata"/>
    <n v="867.72"/>
    <n v="0.3"/>
    <n v="607.404"/>
    <n v="4"/>
    <n v="2429.616"/>
    <n v="850.37"/>
    <d v="2025-06-16T00:00:00"/>
    <x v="6"/>
    <x v="1"/>
    <d v="2025-06-21T00:00:00"/>
    <n v="5"/>
    <x v="0"/>
  </r>
  <r>
    <x v="66"/>
    <s v="Formal Shoes"/>
    <x v="0"/>
    <x v="6"/>
    <x v="2"/>
    <x v="3"/>
    <s v="Pune"/>
    <n v="3121.39"/>
    <n v="0"/>
    <n v="3121.39"/>
    <n v="30"/>
    <n v="93641.7"/>
    <n v="1872.83"/>
    <d v="2024-08-23T00:00:00"/>
    <x v="0"/>
    <x v="0"/>
    <d v="2024-08-25T00:00:00"/>
    <n v="2"/>
    <x v="0"/>
  </r>
  <r>
    <x v="67"/>
    <s v="Refrigerator"/>
    <x v="4"/>
    <x v="12"/>
    <x v="0"/>
    <x v="1"/>
    <s v="Jaipur"/>
    <n v="26867.57"/>
    <n v="0.15"/>
    <n v="22837.434499999999"/>
    <n v="2"/>
    <n v="45674.868999999999"/>
    <n v="11418.72"/>
    <d v="2025-07-21T00:00:00"/>
    <x v="2"/>
    <x v="1"/>
    <d v="2025-07-25T00:00:00"/>
    <n v="4"/>
    <x v="0"/>
  </r>
  <r>
    <x v="68"/>
    <s v="Coffee Table"/>
    <x v="1"/>
    <x v="18"/>
    <x v="2"/>
    <x v="1"/>
    <s v="Jaipur"/>
    <n v="7177.71"/>
    <n v="0.15"/>
    <n v="6101.0535"/>
    <n v="5"/>
    <n v="30505.267500000002"/>
    <n v="4575.79"/>
    <d v="2025-04-03T00:00:00"/>
    <x v="11"/>
    <x v="1"/>
    <d v="2025-04-09T00:00:00"/>
    <n v="6"/>
    <x v="1"/>
  </r>
  <r>
    <x v="69"/>
    <s v="Washing Machine"/>
    <x v="4"/>
    <x v="12"/>
    <x v="0"/>
    <x v="0"/>
    <s v="Chennai"/>
    <n v="16933.96"/>
    <n v="0.3"/>
    <n v="11853.772000000001"/>
    <n v="2"/>
    <n v="23707.544000000002"/>
    <n v="5926.89"/>
    <d v="2025-05-23T00:00:00"/>
    <x v="3"/>
    <x v="1"/>
    <d v="2025-06-01T00:00:00"/>
    <n v="9"/>
    <x v="1"/>
  </r>
  <r>
    <x v="70"/>
    <s v="Microwave"/>
    <x v="4"/>
    <x v="8"/>
    <x v="2"/>
    <x v="0"/>
    <s v="Hyderabad"/>
    <n v="6657.58"/>
    <n v="0.05"/>
    <n v="6324.701"/>
    <n v="5"/>
    <n v="31623.505000000001"/>
    <n v="4743.53"/>
    <d v="2025-06-28T00:00:00"/>
    <x v="6"/>
    <x v="1"/>
    <d v="2025-07-02T00:00:00"/>
    <n v="4"/>
    <x v="0"/>
  </r>
  <r>
    <x v="71"/>
    <s v="Coffee Table"/>
    <x v="1"/>
    <x v="4"/>
    <x v="1"/>
    <x v="2"/>
    <s v="Kolkata"/>
    <n v="9127.9"/>
    <n v="0.1"/>
    <n v="8215.11"/>
    <n v="3"/>
    <n v="24645.33"/>
    <n v="8625.8700000000008"/>
    <d v="2024-08-17T00:00:00"/>
    <x v="0"/>
    <x v="0"/>
    <d v="2024-08-23T00:00:00"/>
    <n v="6"/>
    <x v="0"/>
  </r>
  <r>
    <x v="72"/>
    <s v="Jeans"/>
    <x v="3"/>
    <x v="19"/>
    <x v="0"/>
    <x v="3"/>
    <s v="Mumbai"/>
    <n v="1566.61"/>
    <n v="0.1"/>
    <n v="1409.9490000000001"/>
    <n v="4"/>
    <n v="5639.7960000000003"/>
    <n v="1409.95"/>
    <d v="2024-06-13T00:00:00"/>
    <x v="6"/>
    <x v="0"/>
    <d v="2024-06-16T00:00:00"/>
    <n v="3"/>
    <x v="0"/>
  </r>
  <r>
    <x v="73"/>
    <s v="Headphones"/>
    <x v="2"/>
    <x v="20"/>
    <x v="2"/>
    <x v="0"/>
    <s v="Hyderabad"/>
    <n v="1654.29"/>
    <n v="0.05"/>
    <n v="1571.5754999999999"/>
    <n v="4"/>
    <n v="6286.3019999999997"/>
    <n v="942.94"/>
    <d v="2024-05-09T00:00:00"/>
    <x v="3"/>
    <x v="0"/>
    <d v="2024-05-12T00:00:00"/>
    <n v="3"/>
    <x v="1"/>
  </r>
  <r>
    <x v="74"/>
    <s v="Bed"/>
    <x v="1"/>
    <x v="7"/>
    <x v="0"/>
    <x v="0"/>
    <s v="Bengaluru"/>
    <n v="28366.95"/>
    <n v="0.1"/>
    <n v="25530.255000000001"/>
    <n v="1"/>
    <n v="25530.255000000001"/>
    <n v="6382.56"/>
    <d v="2024-05-29T00:00:00"/>
    <x v="3"/>
    <x v="0"/>
    <d v="2024-06-02T00:00:00"/>
    <n v="4"/>
    <x v="1"/>
  </r>
  <r>
    <x v="75"/>
    <s v="Jacket"/>
    <x v="3"/>
    <x v="13"/>
    <x v="1"/>
    <x v="3"/>
    <s v="Pune"/>
    <n v="3778.09"/>
    <n v="0.15"/>
    <n v="3211.3764999999999"/>
    <n v="8"/>
    <n v="25691.011999999999"/>
    <n v="3371.95"/>
    <d v="2024-12-20T00:00:00"/>
    <x v="8"/>
    <x v="0"/>
    <d v="2024-12-30T00:00:00"/>
    <n v="10"/>
    <x v="2"/>
  </r>
  <r>
    <x v="76"/>
    <s v="Refrigerator"/>
    <x v="4"/>
    <x v="8"/>
    <x v="2"/>
    <x v="0"/>
    <s v="Bengaluru"/>
    <n v="21417.46"/>
    <n v="0.1"/>
    <n v="19275.714"/>
    <n v="4"/>
    <n v="77102.856"/>
    <n v="11565.43"/>
    <d v="2025-05-26T00:00:00"/>
    <x v="3"/>
    <x v="1"/>
    <d v="2025-05-30T00:00:00"/>
    <n v="4"/>
    <x v="1"/>
  </r>
  <r>
    <x v="77"/>
    <s v="T-Shirt"/>
    <x v="3"/>
    <x v="9"/>
    <x v="1"/>
    <x v="3"/>
    <s v="Mumbai"/>
    <n v="1021.58"/>
    <n v="0.2"/>
    <n v="817.26400000000012"/>
    <n v="5"/>
    <n v="4086.3200000000006"/>
    <n v="1430.21"/>
    <d v="2024-08-27T00:00:00"/>
    <x v="0"/>
    <x v="0"/>
    <d v="2024-08-29T00:00:00"/>
    <n v="2"/>
    <x v="0"/>
  </r>
  <r>
    <x v="78"/>
    <s v="Headphones"/>
    <x v="2"/>
    <x v="20"/>
    <x v="2"/>
    <x v="3"/>
    <s v="Pune"/>
    <n v="1845.41"/>
    <n v="0.1"/>
    <n v="1660.8689999999999"/>
    <n v="4"/>
    <n v="6643.4759999999997"/>
    <n v="996.52"/>
    <d v="2025-06-30T00:00:00"/>
    <x v="6"/>
    <x v="1"/>
    <d v="2025-07-10T00:00:00"/>
    <n v="10"/>
    <x v="0"/>
  </r>
  <r>
    <x v="79"/>
    <s v="Sofa Set"/>
    <x v="1"/>
    <x v="1"/>
    <x v="1"/>
    <x v="2"/>
    <s v="Kolkata"/>
    <n v="41647.199999999997"/>
    <n v="0.05"/>
    <n v="39564.839999999997"/>
    <n v="1"/>
    <n v="39564.839999999997"/>
    <n v="13847.69"/>
    <d v="2024-08-08T00:00:00"/>
    <x v="0"/>
    <x v="0"/>
    <d v="2024-08-18T00:00:00"/>
    <n v="10"/>
    <x v="0"/>
  </r>
  <r>
    <x v="80"/>
    <s v="Microwave"/>
    <x v="4"/>
    <x v="10"/>
    <x v="1"/>
    <x v="1"/>
    <s v="Delhi"/>
    <n v="10182.44"/>
    <n v="0.15"/>
    <n v="8655.0740000000005"/>
    <n v="5"/>
    <n v="43275.37"/>
    <n v="15146.38"/>
    <d v="2024-01-24T00:00:00"/>
    <x v="5"/>
    <x v="0"/>
    <d v="2024-01-27T00:00:00"/>
    <n v="3"/>
    <x v="2"/>
  </r>
  <r>
    <x v="81"/>
    <s v="Headphones"/>
    <x v="2"/>
    <x v="14"/>
    <x v="1"/>
    <x v="2"/>
    <s v="Bhubaneswar"/>
    <n v="2231.2600000000002"/>
    <n v="0"/>
    <n v="2231.2600000000002"/>
    <n v="3"/>
    <n v="6693.7800000000007"/>
    <n v="2342.8200000000002"/>
    <d v="2024-04-27T00:00:00"/>
    <x v="11"/>
    <x v="0"/>
    <d v="2024-05-03T00:00:00"/>
    <n v="6"/>
    <x v="1"/>
  </r>
  <r>
    <x v="82"/>
    <s v="Coffee Table"/>
    <x v="1"/>
    <x v="4"/>
    <x v="1"/>
    <x v="0"/>
    <s v="Bengaluru"/>
    <n v="8998.4"/>
    <n v="0.15"/>
    <n v="7648.6399999999994"/>
    <n v="5"/>
    <n v="38243.199999999997"/>
    <n v="13385.12"/>
    <d v="2025-05-10T00:00:00"/>
    <x v="3"/>
    <x v="1"/>
    <d v="2025-05-19T00:00:00"/>
    <n v="9"/>
    <x v="1"/>
  </r>
  <r>
    <x v="83"/>
    <s v="T-Shirt"/>
    <x v="3"/>
    <x v="5"/>
    <x v="2"/>
    <x v="2"/>
    <s v="Patna"/>
    <n v="640.91"/>
    <n v="0.05"/>
    <n v="608.86449999999991"/>
    <n v="10"/>
    <n v="6088.6449999999986"/>
    <n v="91.33"/>
    <d v="2025-01-07T00:00:00"/>
    <x v="5"/>
    <x v="1"/>
    <d v="2025-01-11T00:00:00"/>
    <n v="4"/>
    <x v="2"/>
  </r>
  <r>
    <x v="84"/>
    <s v="Jeans"/>
    <x v="3"/>
    <x v="15"/>
    <x v="1"/>
    <x v="0"/>
    <s v="Chennai"/>
    <n v="1772.79"/>
    <n v="0.25"/>
    <n v="1329.5925"/>
    <n v="3"/>
    <n v="3988.7775000000001"/>
    <n v="1396.07"/>
    <d v="2024-09-26T00:00:00"/>
    <x v="4"/>
    <x v="0"/>
    <d v="2024-10-06T00:00:00"/>
    <n v="10"/>
    <x v="0"/>
  </r>
  <r>
    <x v="85"/>
    <s v="Dining Table"/>
    <x v="1"/>
    <x v="4"/>
    <x v="1"/>
    <x v="3"/>
    <s v="Mumbai"/>
    <n v="32833.29"/>
    <n v="0.25"/>
    <n v="24624.967499999999"/>
    <n v="4"/>
    <n v="98499.87"/>
    <n v="34474.949999999997"/>
    <d v="2025-01-30T00:00:00"/>
    <x v="5"/>
    <x v="1"/>
    <d v="2025-02-02T00:00:00"/>
    <n v="3"/>
    <x v="2"/>
  </r>
  <r>
    <x v="86"/>
    <s v="Formal Shoes"/>
    <x v="0"/>
    <x v="6"/>
    <x v="2"/>
    <x v="1"/>
    <s v="Delhi"/>
    <n v="3119.46"/>
    <n v="0"/>
    <n v="3119.46"/>
    <n v="3"/>
    <n v="9358.380000000001"/>
    <n v="1403.76"/>
    <d v="2024-08-14T00:00:00"/>
    <x v="0"/>
    <x v="0"/>
    <d v="2024-08-22T00:00:00"/>
    <n v="8"/>
    <x v="0"/>
  </r>
  <r>
    <x v="87"/>
    <s v="Sneakers"/>
    <x v="0"/>
    <x v="0"/>
    <x v="0"/>
    <x v="3"/>
    <s v="Mumbai"/>
    <n v="2584.13"/>
    <n v="0.05"/>
    <n v="2454.9234999999999"/>
    <n v="1"/>
    <n v="2454.9234999999999"/>
    <n v="613.73"/>
    <d v="2025-02-21T00:00:00"/>
    <x v="7"/>
    <x v="1"/>
    <d v="2025-02-26T00:00:00"/>
    <n v="5"/>
    <x v="1"/>
  </r>
  <r>
    <x v="88"/>
    <s v="Coffee Table"/>
    <x v="1"/>
    <x v="1"/>
    <x v="1"/>
    <x v="1"/>
    <s v="Delhi"/>
    <n v="10119.06"/>
    <n v="0"/>
    <n v="10119.06"/>
    <n v="1"/>
    <n v="10119.06"/>
    <n v="3541.67"/>
    <d v="2024-10-23T00:00:00"/>
    <x v="10"/>
    <x v="0"/>
    <d v="2024-10-27T00:00:00"/>
    <n v="4"/>
    <x v="2"/>
  </r>
  <r>
    <x v="89"/>
    <s v="Jeans"/>
    <x v="3"/>
    <x v="15"/>
    <x v="1"/>
    <x v="2"/>
    <s v="Kolkata"/>
    <n v="1771.68"/>
    <n v="0.1"/>
    <n v="1594.5119999999999"/>
    <n v="1"/>
    <n v="1594.5119999999999"/>
    <n v="558.08000000000004"/>
    <d v="2025-07-17T00:00:00"/>
    <x v="2"/>
    <x v="1"/>
    <d v="2025-07-24T00:00:00"/>
    <n v="7"/>
    <x v="0"/>
  </r>
  <r>
    <x v="90"/>
    <s v="T-Shirt"/>
    <x v="3"/>
    <x v="19"/>
    <x v="0"/>
    <x v="2"/>
    <s v="Kolkata"/>
    <n v="779.92"/>
    <n v="0.3"/>
    <n v="545.94399999999996"/>
    <n v="2"/>
    <n v="1091.8879999999999"/>
    <n v="272.97000000000003"/>
    <d v="2024-07-02T00:00:00"/>
    <x v="2"/>
    <x v="0"/>
    <d v="2024-07-09T00:00:00"/>
    <n v="7"/>
    <x v="0"/>
  </r>
  <r>
    <x v="91"/>
    <s v="Smartphone"/>
    <x v="2"/>
    <x v="3"/>
    <x v="0"/>
    <x v="2"/>
    <s v="Kolkata"/>
    <n v="13857.92"/>
    <n v="0.1"/>
    <n v="12472.128000000001"/>
    <n v="5"/>
    <n v="62360.639999999999"/>
    <n v="15590.16"/>
    <d v="2024-07-04T00:00:00"/>
    <x v="2"/>
    <x v="0"/>
    <d v="2024-07-10T00:00:00"/>
    <n v="6"/>
    <x v="0"/>
  </r>
  <r>
    <x v="92"/>
    <s v="Smartphone"/>
    <x v="2"/>
    <x v="2"/>
    <x v="1"/>
    <x v="0"/>
    <s v="Chennai"/>
    <n v="17036.240000000002"/>
    <n v="0.05"/>
    <n v="16184.428"/>
    <n v="4"/>
    <n v="64737.712"/>
    <n v="22658.2"/>
    <d v="2025-04-25T00:00:00"/>
    <x v="11"/>
    <x v="1"/>
    <d v="2025-04-28T00:00:00"/>
    <n v="3"/>
    <x v="1"/>
  </r>
  <r>
    <x v="93"/>
    <s v="Formal Shoes"/>
    <x v="0"/>
    <x v="6"/>
    <x v="2"/>
    <x v="2"/>
    <s v="Bhubaneswar"/>
    <n v="2710.11"/>
    <n v="0.3"/>
    <n v="1897.077"/>
    <n v="2"/>
    <n v="3794.154"/>
    <n v="569.12"/>
    <d v="2024-05-22T00:00:00"/>
    <x v="3"/>
    <x v="0"/>
    <d v="2024-05-31T00:00:00"/>
    <n v="9"/>
    <x v="1"/>
  </r>
  <r>
    <x v="94"/>
    <s v="T-Shirt"/>
    <x v="3"/>
    <x v="16"/>
    <x v="2"/>
    <x v="0"/>
    <s v="Hyderabad"/>
    <n v="690.92"/>
    <n v="0.25"/>
    <n v="518.18999999999994"/>
    <n v="4"/>
    <n v="2072.7599999999998"/>
    <n v="310.91000000000003"/>
    <d v="2024-04-30T00:00:00"/>
    <x v="11"/>
    <x v="0"/>
    <d v="2024-05-07T00:00:00"/>
    <n v="7"/>
    <x v="1"/>
  </r>
  <r>
    <x v="95"/>
    <s v="Formal Shoes"/>
    <x v="0"/>
    <x v="0"/>
    <x v="0"/>
    <x v="0"/>
    <s v="Hyderabad"/>
    <n v="3295.92"/>
    <n v="0.3"/>
    <n v="2307.1439999999998"/>
    <n v="3"/>
    <n v="6921.4319999999989"/>
    <n v="1730.36"/>
    <d v="2024-02-27T00:00:00"/>
    <x v="7"/>
    <x v="0"/>
    <d v="2024-03-01T00:00:00"/>
    <n v="3"/>
    <x v="1"/>
  </r>
  <r>
    <x v="96"/>
    <s v="Refrigerator"/>
    <x v="4"/>
    <x v="12"/>
    <x v="0"/>
    <x v="0"/>
    <s v="Bengaluru"/>
    <n v="24026.25"/>
    <n v="0.2"/>
    <n v="19221"/>
    <n v="4"/>
    <n v="76884"/>
    <n v="19221"/>
    <d v="2024-06-28T00:00:00"/>
    <x v="6"/>
    <x v="0"/>
    <d v="2024-07-03T00:00:00"/>
    <n v="5"/>
    <x v="0"/>
  </r>
  <r>
    <x v="97"/>
    <s v="Smartphone"/>
    <x v="2"/>
    <x v="2"/>
    <x v="1"/>
    <x v="0"/>
    <s v="Chennai"/>
    <n v="18094.669999999998"/>
    <n v="0.25"/>
    <n v="13571.002500000001"/>
    <n v="1"/>
    <n v="13571.002500000001"/>
    <n v="4749.8500000000004"/>
    <d v="2025-07-23T00:00:00"/>
    <x v="2"/>
    <x v="1"/>
    <d v="2025-07-29T00:00:00"/>
    <n v="6"/>
    <x v="0"/>
  </r>
  <r>
    <x v="98"/>
    <s v="Sofa Set"/>
    <x v="1"/>
    <x v="18"/>
    <x v="2"/>
    <x v="1"/>
    <s v="Jaipur"/>
    <n v="31619.33"/>
    <n v="0.25"/>
    <n v="23714.497500000001"/>
    <n v="4"/>
    <n v="94857.99"/>
    <n v="14228.7"/>
    <d v="2025-01-31T00:00:00"/>
    <x v="5"/>
    <x v="1"/>
    <d v="2025-02-04T00:00:00"/>
    <n v="4"/>
    <x v="2"/>
  </r>
  <r>
    <x v="99"/>
    <s v="Coffee Table"/>
    <x v="1"/>
    <x v="7"/>
    <x v="0"/>
    <x v="3"/>
    <s v="Ahmedabad"/>
    <n v="8655.0499999999993"/>
    <n v="0"/>
    <n v="8655.0499999999993"/>
    <n v="4"/>
    <n v="34620.199999999997"/>
    <n v="8655.0499999999993"/>
    <d v="2024-03-08T00:00:00"/>
    <x v="1"/>
    <x v="0"/>
    <d v="2024-03-14T00:00:00"/>
    <n v="6"/>
    <x v="1"/>
  </r>
  <r>
    <x v="100"/>
    <s v="T-Shirt"/>
    <x v="3"/>
    <x v="13"/>
    <x v="1"/>
    <x v="1"/>
    <s v="Delhi"/>
    <n v="962.8"/>
    <n v="0.2"/>
    <n v="770.24"/>
    <n v="5"/>
    <n v="3851.2"/>
    <n v="1347.92"/>
    <d v="2024-09-26T00:00:00"/>
    <x v="4"/>
    <x v="0"/>
    <d v="2024-10-01T00:00:00"/>
    <n v="5"/>
    <x v="0"/>
  </r>
  <r>
    <x v="101"/>
    <s v="Formal Shoes"/>
    <x v="0"/>
    <x v="6"/>
    <x v="2"/>
    <x v="3"/>
    <s v="Pune"/>
    <n v="3284.7"/>
    <n v="0.25"/>
    <n v="2463.5250000000001"/>
    <n v="2"/>
    <n v="4927.05"/>
    <n v="739.06"/>
    <d v="2025-04-28T00:00:00"/>
    <x v="11"/>
    <x v="1"/>
    <d v="2025-05-06T00:00:00"/>
    <n v="8"/>
    <x v="1"/>
  </r>
  <r>
    <x v="102"/>
    <s v="Sofa Set"/>
    <x v="1"/>
    <x v="4"/>
    <x v="1"/>
    <x v="1"/>
    <s v="Delhi"/>
    <n v="44532.26"/>
    <n v="0"/>
    <n v="44532.26"/>
    <n v="5"/>
    <n v="222661.30000000002"/>
    <n v="77931.45"/>
    <d v="2024-08-18T00:00:00"/>
    <x v="0"/>
    <x v="0"/>
    <d v="2024-08-26T00:00:00"/>
    <n v="8"/>
    <x v="0"/>
  </r>
  <r>
    <x v="103"/>
    <s v="Refrigerator"/>
    <x v="4"/>
    <x v="2"/>
    <x v="1"/>
    <x v="2"/>
    <s v="Kolkata"/>
    <n v="29464.09"/>
    <n v="0.1"/>
    <n v="26517.681"/>
    <n v="1"/>
    <n v="26517.681"/>
    <n v="9281.19"/>
    <d v="2024-03-09T00:00:00"/>
    <x v="1"/>
    <x v="0"/>
    <d v="2024-03-18T00:00:00"/>
    <n v="9"/>
    <x v="1"/>
  </r>
  <r>
    <x v="104"/>
    <s v="Coffee Table"/>
    <x v="1"/>
    <x v="7"/>
    <x v="0"/>
    <x v="2"/>
    <s v="Kolkata"/>
    <n v="7582.32"/>
    <n v="0.2"/>
    <n v="6065.8559999999998"/>
    <n v="3"/>
    <n v="18197.567999999999"/>
    <n v="4549.3900000000003"/>
    <d v="2024-04-16T00:00:00"/>
    <x v="11"/>
    <x v="0"/>
    <d v="2024-04-20T00:00:00"/>
    <n v="4"/>
    <x v="1"/>
  </r>
  <r>
    <x v="105"/>
    <s v="Dining Table"/>
    <x v="1"/>
    <x v="1"/>
    <x v="1"/>
    <x v="1"/>
    <s v="Lucknow"/>
    <n v="32436.84"/>
    <n v="0"/>
    <n v="32436.84"/>
    <n v="4"/>
    <n v="129747.36"/>
    <n v="45411.58"/>
    <d v="2024-05-14T00:00:00"/>
    <x v="3"/>
    <x v="0"/>
    <d v="2024-05-24T00:00:00"/>
    <n v="10"/>
    <x v="1"/>
  </r>
  <r>
    <x v="106"/>
    <s v="Refrigerator"/>
    <x v="4"/>
    <x v="10"/>
    <x v="1"/>
    <x v="0"/>
    <s v="Chennai"/>
    <n v="28531.94"/>
    <n v="0.05"/>
    <n v="27105.343000000001"/>
    <n v="2"/>
    <n v="54210.686000000002"/>
    <n v="18973.740000000002"/>
    <d v="2025-06-30T00:00:00"/>
    <x v="6"/>
    <x v="1"/>
    <d v="2025-07-03T00:00:00"/>
    <n v="3"/>
    <x v="0"/>
  </r>
  <r>
    <x v="107"/>
    <s v="T-Shirt"/>
    <x v="3"/>
    <x v="15"/>
    <x v="1"/>
    <x v="3"/>
    <s v="Ahmedabad"/>
    <n v="1081.56"/>
    <n v="0.3"/>
    <n v="757.09199999999987"/>
    <n v="3"/>
    <n v="2271.2759999999998"/>
    <n v="794.95"/>
    <d v="2024-08-20T00:00:00"/>
    <x v="0"/>
    <x v="0"/>
    <d v="2024-08-23T00:00:00"/>
    <n v="3"/>
    <x v="0"/>
  </r>
  <r>
    <x v="108"/>
    <s v="Bed"/>
    <x v="1"/>
    <x v="7"/>
    <x v="0"/>
    <x v="1"/>
    <s v="Delhi"/>
    <n v="29854.53"/>
    <n v="0.1"/>
    <n v="26869.077000000001"/>
    <n v="2"/>
    <n v="53738.154000000002"/>
    <n v="13434.54"/>
    <d v="2025-05-17T00:00:00"/>
    <x v="3"/>
    <x v="1"/>
    <d v="2025-05-20T00:00:00"/>
    <n v="3"/>
    <x v="1"/>
  </r>
  <r>
    <x v="109"/>
    <s v="Headphones"/>
    <x v="2"/>
    <x v="20"/>
    <x v="2"/>
    <x v="3"/>
    <s v="Pune"/>
    <n v="1811.41"/>
    <n v="0.05"/>
    <n v="1720.8395"/>
    <n v="1"/>
    <n v="1720.8395"/>
    <n v="258.13"/>
    <d v="2024-07-20T00:00:00"/>
    <x v="2"/>
    <x v="0"/>
    <d v="2024-07-23T00:00:00"/>
    <n v="3"/>
    <x v="0"/>
  </r>
  <r>
    <x v="110"/>
    <s v="Coffee Table"/>
    <x v="1"/>
    <x v="4"/>
    <x v="1"/>
    <x v="1"/>
    <s v="Delhi"/>
    <n v="10115.73"/>
    <n v="0.3"/>
    <n v="7081.0110000000004"/>
    <n v="3"/>
    <n v="21243.033000000003"/>
    <n v="7435.06"/>
    <d v="2024-09-19T00:00:00"/>
    <x v="4"/>
    <x v="0"/>
    <d v="2024-09-29T00:00:00"/>
    <n v="10"/>
    <x v="0"/>
  </r>
  <r>
    <x v="111"/>
    <s v="Coffee Table"/>
    <x v="1"/>
    <x v="4"/>
    <x v="1"/>
    <x v="1"/>
    <s v="Jaipur"/>
    <n v="9732.6299999999992"/>
    <n v="0.25"/>
    <n v="7299.4724999999999"/>
    <n v="2"/>
    <n v="14598.945"/>
    <n v="5109.63"/>
    <d v="2024-09-12T00:00:00"/>
    <x v="4"/>
    <x v="0"/>
    <d v="2024-09-21T00:00:00"/>
    <n v="9"/>
    <x v="0"/>
  </r>
  <r>
    <x v="112"/>
    <s v="T-Shirt"/>
    <x v="3"/>
    <x v="9"/>
    <x v="1"/>
    <x v="3"/>
    <s v="Ahmedabad"/>
    <n v="1011.73"/>
    <n v="0.3"/>
    <n v="708.21100000000001"/>
    <n v="5"/>
    <n v="3541.0550000000003"/>
    <n v="1239.3699999999999"/>
    <d v="2024-02-27T00:00:00"/>
    <x v="7"/>
    <x v="0"/>
    <d v="2024-03-02T00:00:00"/>
    <n v="4"/>
    <x v="1"/>
  </r>
  <r>
    <x v="113"/>
    <s v="Coffee Table"/>
    <x v="1"/>
    <x v="4"/>
    <x v="1"/>
    <x v="3"/>
    <s v="Ahmedabad"/>
    <n v="10663.15"/>
    <n v="0.25"/>
    <n v="7997.3624999999993"/>
    <n v="3"/>
    <n v="23992.087499999998"/>
    <n v="8397.23"/>
    <d v="2024-03-14T00:00:00"/>
    <x v="1"/>
    <x v="0"/>
    <d v="2024-03-19T00:00:00"/>
    <n v="5"/>
    <x v="1"/>
  </r>
  <r>
    <x v="114"/>
    <s v="Jacket"/>
    <x v="3"/>
    <x v="15"/>
    <x v="1"/>
    <x v="3"/>
    <s v="Ahmedabad"/>
    <n v="4012.97"/>
    <n v="0.2"/>
    <n v="3210.3760000000002"/>
    <n v="10"/>
    <n v="32103.760000000002"/>
    <n v="5618.16"/>
    <d v="2024-01-20T00:00:00"/>
    <x v="5"/>
    <x v="0"/>
    <d v="2024-01-26T00:00:00"/>
    <n v="6"/>
    <x v="2"/>
  </r>
  <r>
    <x v="115"/>
    <s v="Jeans"/>
    <x v="3"/>
    <x v="9"/>
    <x v="1"/>
    <x v="2"/>
    <s v="Patna"/>
    <n v="1670.33"/>
    <n v="0.2"/>
    <n v="1336.2639999999999"/>
    <n v="4"/>
    <n v="5345.0559999999996"/>
    <n v="1870.77"/>
    <d v="2024-02-25T00:00:00"/>
    <x v="7"/>
    <x v="0"/>
    <d v="2024-02-28T00:00:00"/>
    <n v="3"/>
    <x v="1"/>
  </r>
  <r>
    <x v="116"/>
    <s v="Refrigerator"/>
    <x v="4"/>
    <x v="10"/>
    <x v="1"/>
    <x v="3"/>
    <s v="Pune"/>
    <n v="33191.550000000003"/>
    <n v="0.05"/>
    <n v="31531.9725"/>
    <n v="5"/>
    <n v="157659.86249999999"/>
    <n v="55180.95"/>
    <d v="2024-10-31T00:00:00"/>
    <x v="10"/>
    <x v="0"/>
    <d v="2024-11-06T00:00:00"/>
    <n v="6"/>
    <x v="2"/>
  </r>
  <r>
    <x v="117"/>
    <s v="Dining Table"/>
    <x v="1"/>
    <x v="1"/>
    <x v="1"/>
    <x v="1"/>
    <s v="Delhi"/>
    <n v="30969.97"/>
    <n v="0.05"/>
    <n v="29421.4715"/>
    <n v="1"/>
    <n v="29421.4715"/>
    <n v="10297.51"/>
    <d v="2024-06-29T00:00:00"/>
    <x v="6"/>
    <x v="0"/>
    <d v="2024-07-03T00:00:00"/>
    <n v="4"/>
    <x v="0"/>
  </r>
  <r>
    <x v="118"/>
    <s v="Microwave"/>
    <x v="4"/>
    <x v="10"/>
    <x v="1"/>
    <x v="0"/>
    <s v="Chennai"/>
    <n v="9107.0300000000007"/>
    <n v="0.15"/>
    <n v="7740.9754999999996"/>
    <n v="1"/>
    <n v="7740.9754999999996"/>
    <n v="2709.34"/>
    <d v="2024-04-25T00:00:00"/>
    <x v="11"/>
    <x v="0"/>
    <d v="2024-05-02T00:00:00"/>
    <n v="7"/>
    <x v="1"/>
  </r>
  <r>
    <x v="119"/>
    <s v="Laptop"/>
    <x v="2"/>
    <x v="2"/>
    <x v="1"/>
    <x v="0"/>
    <s v="Hyderabad"/>
    <n v="60202.06"/>
    <n v="0"/>
    <n v="60202.06"/>
    <n v="1"/>
    <n v="60202.06"/>
    <n v="21070.720000000001"/>
    <d v="2024-11-29T00:00:00"/>
    <x v="9"/>
    <x v="0"/>
    <d v="2024-12-08T00:00:00"/>
    <n v="9"/>
    <x v="2"/>
  </r>
  <r>
    <x v="120"/>
    <s v="Jeans"/>
    <x v="3"/>
    <x v="16"/>
    <x v="2"/>
    <x v="2"/>
    <s v="Bhubaneswar"/>
    <n v="1177.9000000000001"/>
    <n v="0.05"/>
    <n v="1119.0050000000001"/>
    <n v="3"/>
    <n v="3357.0150000000003"/>
    <n v="503.55"/>
    <d v="2025-04-30T00:00:00"/>
    <x v="11"/>
    <x v="1"/>
    <d v="2025-05-08T00:00:00"/>
    <n v="8"/>
    <x v="1"/>
  </r>
  <r>
    <x v="121"/>
    <s v="Laptop"/>
    <x v="2"/>
    <x v="3"/>
    <x v="0"/>
    <x v="0"/>
    <s v="Chennai"/>
    <n v="51046.35"/>
    <n v="0"/>
    <n v="51046.35"/>
    <n v="1"/>
    <n v="51046.35"/>
    <n v="12761.59"/>
    <d v="2025-05-06T00:00:00"/>
    <x v="3"/>
    <x v="1"/>
    <d v="2025-05-14T00:00:00"/>
    <n v="8"/>
    <x v="1"/>
  </r>
  <r>
    <x v="122"/>
    <s v="Sofa Set"/>
    <x v="1"/>
    <x v="4"/>
    <x v="1"/>
    <x v="3"/>
    <s v="Pune"/>
    <n v="45161.440000000002"/>
    <n v="0.25"/>
    <n v="33871.08"/>
    <n v="4"/>
    <n v="135484.32"/>
    <n v="47419.51"/>
    <d v="2025-03-10T00:00:00"/>
    <x v="1"/>
    <x v="1"/>
    <d v="2025-03-20T00:00:00"/>
    <n v="10"/>
    <x v="1"/>
  </r>
  <r>
    <x v="123"/>
    <s v="Microwave"/>
    <x v="4"/>
    <x v="12"/>
    <x v="0"/>
    <x v="3"/>
    <s v="Ahmedabad"/>
    <n v="8655.56"/>
    <n v="0.1"/>
    <n v="7790.0039999999999"/>
    <n v="5"/>
    <n v="38950.019999999997"/>
    <n v="9737.5"/>
    <d v="2025-05-18T00:00:00"/>
    <x v="3"/>
    <x v="1"/>
    <d v="2025-05-24T00:00:00"/>
    <n v="6"/>
    <x v="1"/>
  </r>
  <r>
    <x v="124"/>
    <s v="Bed"/>
    <x v="1"/>
    <x v="1"/>
    <x v="1"/>
    <x v="2"/>
    <s v="Patna"/>
    <n v="35902.81"/>
    <n v="0.05"/>
    <n v="34107.669500000004"/>
    <n v="4"/>
    <n v="136430.67800000001"/>
    <n v="47750.74"/>
    <d v="2024-11-29T00:00:00"/>
    <x v="9"/>
    <x v="0"/>
    <d v="2024-12-09T00:00:00"/>
    <n v="10"/>
    <x v="2"/>
  </r>
  <r>
    <x v="125"/>
    <s v="Bed"/>
    <x v="1"/>
    <x v="7"/>
    <x v="0"/>
    <x v="0"/>
    <s v="Hyderabad"/>
    <n v="28761.19"/>
    <n v="0.1"/>
    <n v="25885.071"/>
    <n v="5"/>
    <n v="129425.355"/>
    <n v="32356.34"/>
    <d v="2025-07-11T00:00:00"/>
    <x v="2"/>
    <x v="1"/>
    <d v="2025-07-19T00:00:00"/>
    <n v="8"/>
    <x v="0"/>
  </r>
  <r>
    <x v="126"/>
    <s v="Formal Shoes"/>
    <x v="0"/>
    <x v="6"/>
    <x v="2"/>
    <x v="1"/>
    <s v="Lucknow"/>
    <n v="3029.47"/>
    <n v="0.1"/>
    <n v="2726.5230000000001"/>
    <n v="4"/>
    <n v="10906.092000000001"/>
    <n v="1635.91"/>
    <d v="2025-05-03T00:00:00"/>
    <x v="3"/>
    <x v="1"/>
    <d v="2025-05-05T00:00:00"/>
    <n v="2"/>
    <x v="1"/>
  </r>
  <r>
    <x v="127"/>
    <s v="Laptop"/>
    <x v="2"/>
    <x v="17"/>
    <x v="0"/>
    <x v="0"/>
    <s v="Bengaluru"/>
    <n v="51389.67"/>
    <n v="0.1"/>
    <n v="46250.703000000001"/>
    <n v="3"/>
    <n v="138752.109"/>
    <n v="34688.03"/>
    <d v="2025-01-22T00:00:00"/>
    <x v="5"/>
    <x v="1"/>
    <d v="2025-01-31T00:00:00"/>
    <n v="9"/>
    <x v="2"/>
  </r>
  <r>
    <x v="128"/>
    <s v="Dining Table"/>
    <x v="1"/>
    <x v="4"/>
    <x v="1"/>
    <x v="1"/>
    <s v="Delhi"/>
    <n v="31914.62"/>
    <n v="0.1"/>
    <n v="28723.157999999999"/>
    <n v="1"/>
    <n v="28723.157999999999"/>
    <n v="10053.11"/>
    <d v="2024-03-26T00:00:00"/>
    <x v="1"/>
    <x v="0"/>
    <d v="2024-04-04T00:00:00"/>
    <n v="9"/>
    <x v="1"/>
  </r>
  <r>
    <x v="129"/>
    <s v="Headphones"/>
    <x v="2"/>
    <x v="20"/>
    <x v="2"/>
    <x v="2"/>
    <s v="Kolkata"/>
    <n v="1606.18"/>
    <n v="0.25"/>
    <n v="1204.635"/>
    <n v="1"/>
    <n v="1204.635"/>
    <n v="180.69"/>
    <d v="2025-03-29T00:00:00"/>
    <x v="1"/>
    <x v="1"/>
    <d v="2025-04-03T00:00:00"/>
    <n v="5"/>
    <x v="1"/>
  </r>
  <r>
    <x v="130"/>
    <s v="Headphones"/>
    <x v="2"/>
    <x v="14"/>
    <x v="1"/>
    <x v="1"/>
    <s v="Jaipur"/>
    <n v="2371.38"/>
    <n v="0.15"/>
    <n v="2015.673"/>
    <n v="4"/>
    <n v="8062.692"/>
    <n v="2821.94"/>
    <d v="2024-11-18T00:00:00"/>
    <x v="9"/>
    <x v="0"/>
    <d v="2024-11-21T00:00:00"/>
    <n v="3"/>
    <x v="2"/>
  </r>
  <r>
    <x v="131"/>
    <s v="Washing Machine"/>
    <x v="4"/>
    <x v="10"/>
    <x v="1"/>
    <x v="0"/>
    <s v="Chennai"/>
    <n v="21479.43"/>
    <n v="0.2"/>
    <n v="17183.544000000002"/>
    <n v="1"/>
    <n v="17183.544000000002"/>
    <n v="6014.24"/>
    <d v="2024-07-18T00:00:00"/>
    <x v="2"/>
    <x v="0"/>
    <d v="2024-07-20T00:00:00"/>
    <n v="2"/>
    <x v="0"/>
  </r>
  <r>
    <x v="132"/>
    <s v="Coffee Table"/>
    <x v="1"/>
    <x v="7"/>
    <x v="0"/>
    <x v="0"/>
    <s v="Hyderabad"/>
    <n v="7627.93"/>
    <n v="0.15"/>
    <n v="6483.7404999999999"/>
    <n v="5"/>
    <n v="32418.702499999999"/>
    <n v="8104.68"/>
    <d v="2025-06-27T00:00:00"/>
    <x v="6"/>
    <x v="1"/>
    <d v="2025-06-30T00:00:00"/>
    <n v="3"/>
    <x v="0"/>
  </r>
  <r>
    <x v="133"/>
    <s v="Washing Machine"/>
    <x v="4"/>
    <x v="2"/>
    <x v="1"/>
    <x v="2"/>
    <s v="Kolkata"/>
    <n v="21213.02"/>
    <n v="0"/>
    <n v="21213.02"/>
    <n v="5"/>
    <n v="106065.1"/>
    <n v="37122.78"/>
    <d v="2024-09-05T00:00:00"/>
    <x v="4"/>
    <x v="0"/>
    <d v="2024-09-09T00:00:00"/>
    <n v="4"/>
    <x v="0"/>
  </r>
  <r>
    <x v="134"/>
    <s v="Bed"/>
    <x v="1"/>
    <x v="4"/>
    <x v="1"/>
    <x v="1"/>
    <s v="Jaipur"/>
    <n v="38305.269999999997"/>
    <n v="0.2"/>
    <n v="30644.216"/>
    <n v="2"/>
    <n v="61288.432000000001"/>
    <n v="21450.95"/>
    <d v="2025-06-27T00:00:00"/>
    <x v="6"/>
    <x v="1"/>
    <d v="2025-07-05T00:00:00"/>
    <n v="8"/>
    <x v="0"/>
  </r>
  <r>
    <x v="135"/>
    <s v="Refrigerator"/>
    <x v="4"/>
    <x v="12"/>
    <x v="0"/>
    <x v="2"/>
    <s v="Bhubaneswar"/>
    <n v="24530.69"/>
    <n v="0"/>
    <n v="24530.69"/>
    <n v="4"/>
    <n v="98122.76"/>
    <n v="24530.69"/>
    <d v="2024-11-10T00:00:00"/>
    <x v="9"/>
    <x v="0"/>
    <d v="2024-11-18T00:00:00"/>
    <n v="8"/>
    <x v="2"/>
  </r>
  <r>
    <x v="136"/>
    <s v="Dining Table"/>
    <x v="1"/>
    <x v="7"/>
    <x v="0"/>
    <x v="2"/>
    <s v="Bhubaneswar"/>
    <n v="23167.87"/>
    <n v="0.2"/>
    <n v="18534.295999999998"/>
    <n v="4"/>
    <n v="74137.183999999994"/>
    <n v="18534.29"/>
    <d v="2025-02-28T00:00:00"/>
    <x v="7"/>
    <x v="1"/>
    <d v="2025-03-03T00:00:00"/>
    <n v="3"/>
    <x v="1"/>
  </r>
  <r>
    <x v="137"/>
    <s v="Bed"/>
    <x v="1"/>
    <x v="7"/>
    <x v="0"/>
    <x v="2"/>
    <s v="Patna"/>
    <n v="29338.62"/>
    <n v="0.05"/>
    <n v="27871.688999999998"/>
    <n v="4"/>
    <n v="111486.75599999999"/>
    <n v="27871.69"/>
    <d v="2025-03-19T00:00:00"/>
    <x v="1"/>
    <x v="1"/>
    <d v="2025-03-24T00:00:00"/>
    <n v="5"/>
    <x v="1"/>
  </r>
  <r>
    <x v="138"/>
    <s v="Washing Machine"/>
    <x v="4"/>
    <x v="10"/>
    <x v="1"/>
    <x v="2"/>
    <s v="Bhubaneswar"/>
    <n v="19963.52"/>
    <n v="0.25"/>
    <n v="14972.64"/>
    <n v="1"/>
    <n v="14972.64"/>
    <n v="5240.42"/>
    <d v="2024-12-01T00:00:00"/>
    <x v="8"/>
    <x v="0"/>
    <d v="2024-12-06T00:00:00"/>
    <n v="5"/>
    <x v="2"/>
  </r>
  <r>
    <x v="139"/>
    <s v="Jeans"/>
    <x v="3"/>
    <x v="13"/>
    <x v="1"/>
    <x v="1"/>
    <s v="Jaipur"/>
    <n v="1915.25"/>
    <n v="0.2"/>
    <n v="1532.2"/>
    <n v="1"/>
    <n v="1532.2"/>
    <n v="536.27"/>
    <d v="2024-09-25T00:00:00"/>
    <x v="4"/>
    <x v="0"/>
    <d v="2024-10-02T00:00:00"/>
    <n v="7"/>
    <x v="0"/>
  </r>
  <r>
    <x v="140"/>
    <s v="Sneakers"/>
    <x v="0"/>
    <x v="6"/>
    <x v="2"/>
    <x v="3"/>
    <s v="Pune"/>
    <n v="2304.21"/>
    <n v="0.2"/>
    <n v="1843.3679999999999"/>
    <n v="4"/>
    <n v="7373.4719999999998"/>
    <n v="1106.02"/>
    <d v="2025-05-30T00:00:00"/>
    <x v="3"/>
    <x v="1"/>
    <d v="2025-06-02T00:00:00"/>
    <n v="3"/>
    <x v="1"/>
  </r>
  <r>
    <x v="141"/>
    <s v="Microwave"/>
    <x v="4"/>
    <x v="2"/>
    <x v="1"/>
    <x v="3"/>
    <s v="Mumbai"/>
    <n v="10129.48"/>
    <n v="0.05"/>
    <n v="9623.0059999999994"/>
    <n v="5"/>
    <n v="48115.03"/>
    <n v="16840.259999999998"/>
    <d v="2024-01-27T00:00:00"/>
    <x v="5"/>
    <x v="0"/>
    <d v="2024-01-29T00:00:00"/>
    <n v="2"/>
    <x v="2"/>
  </r>
  <r>
    <x v="142"/>
    <s v="Bed"/>
    <x v="1"/>
    <x v="7"/>
    <x v="0"/>
    <x v="2"/>
    <s v="Patna"/>
    <n v="27275.06"/>
    <n v="0"/>
    <n v="27275.06"/>
    <n v="3"/>
    <n v="81825.180000000008"/>
    <n v="20456.29"/>
    <d v="2024-09-06T00:00:00"/>
    <x v="4"/>
    <x v="0"/>
    <d v="2024-09-12T00:00:00"/>
    <n v="6"/>
    <x v="0"/>
  </r>
  <r>
    <x v="143"/>
    <s v="Smartphone"/>
    <x v="2"/>
    <x v="21"/>
    <x v="2"/>
    <x v="0"/>
    <s v="Chennai"/>
    <n v="12960.34"/>
    <n v="0.2"/>
    <n v="10368.272000000001"/>
    <n v="3"/>
    <n v="31104.816000000003"/>
    <n v="4665.72"/>
    <d v="2025-07-02T00:00:00"/>
    <x v="2"/>
    <x v="1"/>
    <d v="2025-07-06T00:00:00"/>
    <n v="4"/>
    <x v="0"/>
  </r>
  <r>
    <x v="144"/>
    <s v="Formal Shoes"/>
    <x v="0"/>
    <x v="0"/>
    <x v="0"/>
    <x v="3"/>
    <s v="Pune"/>
    <n v="3783.03"/>
    <n v="0.25"/>
    <n v="2837.2725"/>
    <n v="5"/>
    <n v="14186.362499999999"/>
    <n v="3546.59"/>
    <d v="2025-05-22T00:00:00"/>
    <x v="3"/>
    <x v="1"/>
    <d v="2025-05-30T00:00:00"/>
    <n v="8"/>
    <x v="1"/>
  </r>
  <r>
    <x v="145"/>
    <s v="Headphones"/>
    <x v="2"/>
    <x v="17"/>
    <x v="0"/>
    <x v="0"/>
    <s v="Bengaluru"/>
    <n v="1970.09"/>
    <n v="0.25"/>
    <n v="1477.5675000000001"/>
    <n v="2"/>
    <n v="2955.1350000000002"/>
    <n v="738.78"/>
    <d v="2024-10-20T00:00:00"/>
    <x v="10"/>
    <x v="0"/>
    <d v="2024-10-27T00:00:00"/>
    <n v="7"/>
    <x v="2"/>
  </r>
  <r>
    <x v="146"/>
    <s v="Refrigerator"/>
    <x v="4"/>
    <x v="12"/>
    <x v="0"/>
    <x v="2"/>
    <s v="Bhubaneswar"/>
    <n v="24664"/>
    <n v="0.3"/>
    <n v="17264.8"/>
    <n v="3"/>
    <n v="51794.399999999994"/>
    <n v="12948.6"/>
    <d v="2025-02-25T00:00:00"/>
    <x v="7"/>
    <x v="1"/>
    <d v="2025-03-03T00:00:00"/>
    <n v="6"/>
    <x v="1"/>
  </r>
  <r>
    <x v="147"/>
    <s v="Washing Machine"/>
    <x v="4"/>
    <x v="10"/>
    <x v="1"/>
    <x v="2"/>
    <s v="Bhubaneswar"/>
    <n v="21249.4"/>
    <n v="0.3"/>
    <n v="14874.58"/>
    <n v="5"/>
    <n v="74372.899999999994"/>
    <n v="26030.51"/>
    <d v="2025-06-18T00:00:00"/>
    <x v="6"/>
    <x v="1"/>
    <d v="2025-06-26T00:00:00"/>
    <n v="8"/>
    <x v="0"/>
  </r>
  <r>
    <x v="148"/>
    <s v="Headphones"/>
    <x v="2"/>
    <x v="17"/>
    <x v="0"/>
    <x v="3"/>
    <s v="Mumbai"/>
    <n v="2141.9499999999998"/>
    <n v="0.3"/>
    <n v="1499.365"/>
    <n v="4"/>
    <n v="5997.46"/>
    <n v="1499.37"/>
    <d v="2024-07-12T00:00:00"/>
    <x v="2"/>
    <x v="0"/>
    <d v="2024-07-14T00:00:00"/>
    <n v="2"/>
    <x v="0"/>
  </r>
  <r>
    <x v="149"/>
    <s v="Washing Machine"/>
    <x v="4"/>
    <x v="12"/>
    <x v="0"/>
    <x v="3"/>
    <s v="Mumbai"/>
    <n v="19781.11"/>
    <n v="0.05"/>
    <n v="18792.054499999998"/>
    <n v="2"/>
    <n v="37584.108999999997"/>
    <n v="9396.0300000000007"/>
    <d v="2025-03-15T00:00:00"/>
    <x v="1"/>
    <x v="1"/>
    <d v="2025-03-25T00:00:00"/>
    <n v="10"/>
    <x v="1"/>
  </r>
  <r>
    <x v="150"/>
    <s v="Headphones"/>
    <x v="2"/>
    <x v="3"/>
    <x v="0"/>
    <x v="0"/>
    <s v="Bengaluru"/>
    <n v="1995.79"/>
    <n v="0.3"/>
    <n v="1397.0530000000001"/>
    <n v="2"/>
    <n v="2794.1060000000002"/>
    <n v="698.53"/>
    <d v="2025-07-27T00:00:00"/>
    <x v="2"/>
    <x v="1"/>
    <d v="2025-07-31T00:00:00"/>
    <n v="4"/>
    <x v="0"/>
  </r>
  <r>
    <x v="151"/>
    <s v="Laptop"/>
    <x v="2"/>
    <x v="20"/>
    <x v="2"/>
    <x v="0"/>
    <s v="Hyderabad"/>
    <n v="43710.07"/>
    <n v="0.25"/>
    <n v="32782.552499999998"/>
    <n v="4"/>
    <n v="131130.21"/>
    <n v="19669.53"/>
    <d v="2025-02-16T00:00:00"/>
    <x v="7"/>
    <x v="1"/>
    <d v="2025-02-18T00:00:00"/>
    <n v="2"/>
    <x v="1"/>
  </r>
  <r>
    <x v="152"/>
    <s v="T-Shirt"/>
    <x v="3"/>
    <x v="15"/>
    <x v="1"/>
    <x v="0"/>
    <s v="Bengaluru"/>
    <n v="981.44"/>
    <n v="0.2"/>
    <n v="785.15200000000004"/>
    <n v="4"/>
    <n v="3140.6080000000002"/>
    <n v="1099.21"/>
    <d v="2025-06-03T00:00:00"/>
    <x v="6"/>
    <x v="1"/>
    <d v="2025-06-10T00:00:00"/>
    <n v="7"/>
    <x v="0"/>
  </r>
  <r>
    <x v="153"/>
    <s v="Laptop"/>
    <x v="2"/>
    <x v="17"/>
    <x v="0"/>
    <x v="3"/>
    <s v="Mumbai"/>
    <n v="55826.45"/>
    <n v="0.15"/>
    <n v="47452.482499999998"/>
    <n v="2"/>
    <n v="94904.964999999997"/>
    <n v="23726.240000000002"/>
    <d v="2024-03-17T00:00:00"/>
    <x v="1"/>
    <x v="0"/>
    <d v="2024-03-23T00:00:00"/>
    <n v="6"/>
    <x v="1"/>
  </r>
  <r>
    <x v="154"/>
    <s v="Jeans"/>
    <x v="3"/>
    <x v="15"/>
    <x v="1"/>
    <x v="3"/>
    <s v="Ahmedabad"/>
    <n v="1864.87"/>
    <n v="0.25"/>
    <n v="1398.6524999999999"/>
    <n v="5"/>
    <n v="6993.2624999999998"/>
    <n v="1958.11"/>
    <d v="2025-01-10T00:00:00"/>
    <x v="5"/>
    <x v="1"/>
    <d v="2025-01-19T00:00:00"/>
    <n v="9"/>
    <x v="2"/>
  </r>
  <r>
    <x v="155"/>
    <s v="Jacket"/>
    <x v="3"/>
    <x v="5"/>
    <x v="2"/>
    <x v="0"/>
    <s v="Chennai"/>
    <n v="2466.38"/>
    <n v="0.25"/>
    <n v="1849.7850000000001"/>
    <n v="2"/>
    <n v="3699.57"/>
    <n v="554.94000000000005"/>
    <d v="2025-04-30T00:00:00"/>
    <x v="11"/>
    <x v="1"/>
    <d v="2025-05-07T00:00:00"/>
    <n v="7"/>
    <x v="1"/>
  </r>
  <r>
    <x v="156"/>
    <s v="Coffee Table"/>
    <x v="1"/>
    <x v="18"/>
    <x v="2"/>
    <x v="2"/>
    <s v="Kolkata"/>
    <n v="6626.59"/>
    <n v="0.05"/>
    <n v="6295.2604999999994"/>
    <n v="3"/>
    <n v="18885.781499999997"/>
    <n v="2832.87"/>
    <d v="2024-09-28T00:00:00"/>
    <x v="4"/>
    <x v="0"/>
    <d v="2024-10-08T00:00:00"/>
    <n v="10"/>
    <x v="0"/>
  </r>
  <r>
    <x v="157"/>
    <s v="Formal Shoes"/>
    <x v="0"/>
    <x v="11"/>
    <x v="1"/>
    <x v="1"/>
    <s v="Jaipur"/>
    <n v="4216.32"/>
    <n v="0.3"/>
    <n v="2951.424"/>
    <n v="1"/>
    <n v="2951.424"/>
    <n v="1033"/>
    <d v="2024-06-29T00:00:00"/>
    <x v="6"/>
    <x v="0"/>
    <d v="2024-07-08T00:00:00"/>
    <n v="9"/>
    <x v="0"/>
  </r>
  <r>
    <x v="158"/>
    <s v="Jeans"/>
    <x v="3"/>
    <x v="5"/>
    <x v="2"/>
    <x v="2"/>
    <s v="Bhubaneswar"/>
    <n v="1250.69"/>
    <n v="0.05"/>
    <n v="1188.1555000000001"/>
    <n v="3"/>
    <n v="3564.4665000000005"/>
    <n v="534.66999999999996"/>
    <d v="2024-09-10T00:00:00"/>
    <x v="4"/>
    <x v="0"/>
    <d v="2024-09-17T00:00:00"/>
    <n v="7"/>
    <x v="0"/>
  </r>
  <r>
    <x v="159"/>
    <s v="Jeans"/>
    <x v="3"/>
    <x v="13"/>
    <x v="1"/>
    <x v="3"/>
    <s v="Mumbai"/>
    <n v="1876.96"/>
    <n v="0.15"/>
    <n v="1595.4159999999999"/>
    <n v="5"/>
    <n v="7977.08"/>
    <n v="2791.98"/>
    <d v="2024-02-25T00:00:00"/>
    <x v="7"/>
    <x v="0"/>
    <d v="2024-02-27T00:00:00"/>
    <n v="2"/>
    <x v="1"/>
  </r>
  <r>
    <x v="160"/>
    <s v="Bed"/>
    <x v="1"/>
    <x v="4"/>
    <x v="1"/>
    <x v="3"/>
    <s v="Ahmedabad"/>
    <n v="37616.82"/>
    <n v="0"/>
    <n v="37616.82"/>
    <n v="2"/>
    <n v="75233.64"/>
    <n v="26331.77"/>
    <d v="2024-09-24T00:00:00"/>
    <x v="4"/>
    <x v="0"/>
    <d v="2024-09-26T00:00:00"/>
    <n v="2"/>
    <x v="0"/>
  </r>
  <r>
    <x v="161"/>
    <s v="Coffee Table"/>
    <x v="1"/>
    <x v="4"/>
    <x v="1"/>
    <x v="1"/>
    <s v="Lucknow"/>
    <n v="9695.11"/>
    <n v="0.05"/>
    <n v="9210.3544999999995"/>
    <n v="2"/>
    <n v="18420.708999999999"/>
    <n v="6447.25"/>
    <d v="2024-04-10T00:00:00"/>
    <x v="11"/>
    <x v="0"/>
    <d v="2024-04-19T00:00:00"/>
    <n v="9"/>
    <x v="1"/>
  </r>
  <r>
    <x v="162"/>
    <s v="Sofa Set"/>
    <x v="1"/>
    <x v="7"/>
    <x v="0"/>
    <x v="3"/>
    <s v="Pune"/>
    <n v="36265.07"/>
    <n v="0.3"/>
    <n v="25385.548999999999"/>
    <n v="1"/>
    <n v="25385.548999999999"/>
    <n v="6346.39"/>
    <d v="2025-06-17T00:00:00"/>
    <x v="6"/>
    <x v="1"/>
    <d v="2025-06-26T00:00:00"/>
    <n v="9"/>
    <x v="0"/>
  </r>
  <r>
    <x v="163"/>
    <s v="Refrigerator"/>
    <x v="4"/>
    <x v="10"/>
    <x v="1"/>
    <x v="1"/>
    <s v="Delhi"/>
    <n v="32483.43"/>
    <n v="0.2"/>
    <n v="25986.743999999999"/>
    <n v="2"/>
    <n v="51973.487999999998"/>
    <n v="18190.72"/>
    <d v="2024-02-12T00:00:00"/>
    <x v="7"/>
    <x v="0"/>
    <d v="2024-02-21T00:00:00"/>
    <n v="9"/>
    <x v="1"/>
  </r>
  <r>
    <x v="164"/>
    <s v="Jeans"/>
    <x v="3"/>
    <x v="15"/>
    <x v="1"/>
    <x v="0"/>
    <s v="Hyderabad"/>
    <n v="1698.07"/>
    <n v="0.1"/>
    <n v="1528.2629999999999"/>
    <n v="20"/>
    <n v="30565.26"/>
    <n v="1069.79"/>
    <d v="2024-10-13T00:00:00"/>
    <x v="10"/>
    <x v="0"/>
    <d v="2024-10-21T00:00:00"/>
    <n v="8"/>
    <x v="2"/>
  </r>
  <r>
    <x v="165"/>
    <s v="Refrigerator"/>
    <x v="4"/>
    <x v="12"/>
    <x v="0"/>
    <x v="3"/>
    <s v="Ahmedabad"/>
    <n v="27639.54"/>
    <n v="0.3"/>
    <n v="19347.678"/>
    <n v="5"/>
    <n v="96738.39"/>
    <n v="24184.6"/>
    <d v="2024-05-30T00:00:00"/>
    <x v="3"/>
    <x v="0"/>
    <d v="2024-06-02T00:00:00"/>
    <n v="3"/>
    <x v="1"/>
  </r>
  <r>
    <x v="166"/>
    <s v="Microwave"/>
    <x v="4"/>
    <x v="8"/>
    <x v="2"/>
    <x v="0"/>
    <s v="Bengaluru"/>
    <n v="6518.32"/>
    <n v="0.25"/>
    <n v="4888.74"/>
    <n v="1"/>
    <n v="4888.74"/>
    <n v="733.31"/>
    <d v="2024-04-20T00:00:00"/>
    <x v="11"/>
    <x v="0"/>
    <d v="2024-04-26T00:00:00"/>
    <n v="6"/>
    <x v="1"/>
  </r>
  <r>
    <x v="167"/>
    <s v="Washing Machine"/>
    <x v="4"/>
    <x v="10"/>
    <x v="1"/>
    <x v="1"/>
    <s v="Lucknow"/>
    <n v="21834.07"/>
    <n v="0.15"/>
    <n v="18558.959500000001"/>
    <n v="1"/>
    <n v="18558.959500000001"/>
    <n v="6495.64"/>
    <d v="2024-10-22T00:00:00"/>
    <x v="10"/>
    <x v="0"/>
    <d v="2024-10-26T00:00:00"/>
    <n v="4"/>
    <x v="2"/>
  </r>
  <r>
    <x v="168"/>
    <s v="Headphones"/>
    <x v="2"/>
    <x v="21"/>
    <x v="2"/>
    <x v="1"/>
    <s v="Lucknow"/>
    <n v="1696.27"/>
    <n v="0.25"/>
    <n v="1272.2025000000001"/>
    <n v="4"/>
    <n v="5088.8100000000004"/>
    <n v="763.32"/>
    <d v="2024-06-10T00:00:00"/>
    <x v="6"/>
    <x v="0"/>
    <d v="2024-06-20T00:00:00"/>
    <n v="10"/>
    <x v="0"/>
  </r>
  <r>
    <x v="169"/>
    <s v="Smartphone"/>
    <x v="2"/>
    <x v="3"/>
    <x v="0"/>
    <x v="2"/>
    <s v="Kolkata"/>
    <n v="13831.39"/>
    <n v="0.3"/>
    <n v="9681.9729999999981"/>
    <n v="2"/>
    <n v="19363.945999999996"/>
    <n v="4840.99"/>
    <d v="2024-04-13T00:00:00"/>
    <x v="11"/>
    <x v="0"/>
    <d v="2024-04-19T00:00:00"/>
    <n v="6"/>
    <x v="1"/>
  </r>
  <r>
    <x v="170"/>
    <s v="Dining Table"/>
    <x v="1"/>
    <x v="4"/>
    <x v="1"/>
    <x v="3"/>
    <s v="Ahmedabad"/>
    <n v="32157.64"/>
    <n v="0.2"/>
    <n v="25726.112000000001"/>
    <n v="4"/>
    <n v="102904.448"/>
    <n v="36016.559999999998"/>
    <d v="2024-04-20T00:00:00"/>
    <x v="11"/>
    <x v="0"/>
    <d v="2024-04-27T00:00:00"/>
    <n v="7"/>
    <x v="1"/>
  </r>
  <r>
    <x v="171"/>
    <s v="Bed"/>
    <x v="1"/>
    <x v="4"/>
    <x v="1"/>
    <x v="2"/>
    <s v="Patna"/>
    <n v="33924.870000000003"/>
    <n v="0.25"/>
    <n v="25443.6525"/>
    <n v="1"/>
    <n v="25443.6525"/>
    <n v="8905.2800000000007"/>
    <d v="2025-02-18T00:00:00"/>
    <x v="7"/>
    <x v="1"/>
    <d v="2025-02-22T00:00:00"/>
    <n v="4"/>
    <x v="1"/>
  </r>
  <r>
    <x v="172"/>
    <s v="Coffee Table"/>
    <x v="1"/>
    <x v="1"/>
    <x v="1"/>
    <x v="3"/>
    <s v="Ahmedabad"/>
    <n v="10505.33"/>
    <n v="0.1"/>
    <n v="9454.7970000000005"/>
    <n v="3"/>
    <n v="28364.391000000003"/>
    <n v="9927.5400000000009"/>
    <d v="2024-01-29T00:00:00"/>
    <x v="5"/>
    <x v="0"/>
    <d v="2024-02-02T00:00:00"/>
    <n v="4"/>
    <x v="2"/>
  </r>
  <r>
    <x v="173"/>
    <s v="Sofa Set"/>
    <x v="1"/>
    <x v="18"/>
    <x v="2"/>
    <x v="0"/>
    <s v="Hyderabad"/>
    <n v="28048.34"/>
    <n v="0.3"/>
    <n v="19633.838"/>
    <n v="5"/>
    <n v="98169.19"/>
    <n v="14725.38"/>
    <d v="2024-04-15T00:00:00"/>
    <x v="11"/>
    <x v="0"/>
    <d v="2024-04-18T00:00:00"/>
    <n v="3"/>
    <x v="1"/>
  </r>
  <r>
    <x v="174"/>
    <s v="Smartphone"/>
    <x v="2"/>
    <x v="20"/>
    <x v="2"/>
    <x v="0"/>
    <s v="Hyderabad"/>
    <n v="12375.37"/>
    <n v="0.2"/>
    <n v="9900.2960000000021"/>
    <n v="4"/>
    <n v="39601.184000000008"/>
    <n v="5940.18"/>
    <d v="2024-03-31T00:00:00"/>
    <x v="1"/>
    <x v="0"/>
    <d v="2024-04-06T00:00:00"/>
    <n v="6"/>
    <x v="1"/>
  </r>
  <r>
    <x v="175"/>
    <s v="Dining Table"/>
    <x v="1"/>
    <x v="18"/>
    <x v="2"/>
    <x v="3"/>
    <s v="Mumbai"/>
    <n v="23936.34"/>
    <n v="0.1"/>
    <n v="21542.705999999998"/>
    <n v="2"/>
    <n v="43085.411999999997"/>
    <n v="6462.81"/>
    <d v="2024-03-06T00:00:00"/>
    <x v="1"/>
    <x v="0"/>
    <d v="2024-03-14T00:00:00"/>
    <n v="8"/>
    <x v="1"/>
  </r>
  <r>
    <x v="176"/>
    <s v="T-Shirt"/>
    <x v="3"/>
    <x v="19"/>
    <x v="0"/>
    <x v="0"/>
    <s v="Chennai"/>
    <n v="756.31"/>
    <n v="0.1"/>
    <n v="680.67899999999997"/>
    <n v="2"/>
    <n v="1361.3579999999999"/>
    <n v="340.34"/>
    <d v="2025-03-17T00:00:00"/>
    <x v="1"/>
    <x v="1"/>
    <d v="2025-03-24T00:00:00"/>
    <n v="7"/>
    <x v="1"/>
  </r>
  <r>
    <x v="177"/>
    <s v="Laptop"/>
    <x v="2"/>
    <x v="20"/>
    <x v="2"/>
    <x v="3"/>
    <s v="Pune"/>
    <n v="43654.51"/>
    <n v="0.05"/>
    <n v="41471.784500000002"/>
    <n v="2"/>
    <n v="82943.569000000003"/>
    <n v="12441.54"/>
    <d v="2024-04-29T00:00:00"/>
    <x v="11"/>
    <x v="0"/>
    <d v="2024-05-09T00:00:00"/>
    <n v="10"/>
    <x v="1"/>
  </r>
  <r>
    <x v="178"/>
    <s v="Headphones"/>
    <x v="2"/>
    <x v="17"/>
    <x v="0"/>
    <x v="1"/>
    <s v="Jaipur"/>
    <n v="2138.38"/>
    <n v="0.1"/>
    <n v="1924.5419999999999"/>
    <n v="5"/>
    <n v="9622.7099999999991"/>
    <n v="2405.6799999999998"/>
    <d v="2024-02-14T00:00:00"/>
    <x v="7"/>
    <x v="0"/>
    <d v="2024-02-23T00:00:00"/>
    <n v="9"/>
    <x v="1"/>
  </r>
  <r>
    <x v="179"/>
    <s v="Sneakers"/>
    <x v="0"/>
    <x v="11"/>
    <x v="1"/>
    <x v="3"/>
    <s v="Pune"/>
    <n v="3215.95"/>
    <n v="0.05"/>
    <n v="3055.1525000000001"/>
    <n v="2"/>
    <n v="6110.3050000000003"/>
    <n v="2138.61"/>
    <d v="2024-11-03T00:00:00"/>
    <x v="9"/>
    <x v="0"/>
    <d v="2024-11-05T00:00:00"/>
    <n v="2"/>
    <x v="2"/>
  </r>
  <r>
    <x v="180"/>
    <s v="Bed"/>
    <x v="1"/>
    <x v="4"/>
    <x v="1"/>
    <x v="0"/>
    <s v="Hyderabad"/>
    <n v="36006.089999999997"/>
    <n v="0.1"/>
    <n v="32405.481"/>
    <n v="4"/>
    <n v="129621.924"/>
    <n v="45367.67"/>
    <d v="2024-10-03T00:00:00"/>
    <x v="10"/>
    <x v="0"/>
    <d v="2024-10-11T00:00:00"/>
    <n v="8"/>
    <x v="2"/>
  </r>
  <r>
    <x v="181"/>
    <s v="Smartphone"/>
    <x v="2"/>
    <x v="14"/>
    <x v="1"/>
    <x v="0"/>
    <s v="Bengaluru"/>
    <n v="16847.75"/>
    <n v="0.15"/>
    <n v="14320.5875"/>
    <n v="2"/>
    <n v="28641.174999999999"/>
    <n v="10024.41"/>
    <d v="2024-01-14T00:00:00"/>
    <x v="5"/>
    <x v="0"/>
    <d v="2024-01-20T00:00:00"/>
    <n v="6"/>
    <x v="2"/>
  </r>
  <r>
    <x v="182"/>
    <s v="Sofa Set"/>
    <x v="1"/>
    <x v="1"/>
    <x v="1"/>
    <x v="1"/>
    <s v="Jaipur"/>
    <n v="43926.27"/>
    <n v="0.3"/>
    <n v="30748.388999999999"/>
    <n v="1"/>
    <n v="30748.388999999999"/>
    <n v="10761.94"/>
    <d v="2025-07-06T00:00:00"/>
    <x v="2"/>
    <x v="1"/>
    <d v="2025-07-15T00:00:00"/>
    <n v="9"/>
    <x v="0"/>
  </r>
  <r>
    <x v="183"/>
    <s v="Sneakers"/>
    <x v="0"/>
    <x v="6"/>
    <x v="2"/>
    <x v="0"/>
    <s v="Chennai"/>
    <n v="1983.63"/>
    <n v="0"/>
    <n v="1983.63"/>
    <n v="1"/>
    <n v="1983.63"/>
    <n v="297.54000000000002"/>
    <d v="2025-02-07T00:00:00"/>
    <x v="7"/>
    <x v="1"/>
    <d v="2025-02-12T00:00:00"/>
    <n v="5"/>
    <x v="1"/>
  </r>
  <r>
    <x v="184"/>
    <s v="Coffee Table"/>
    <x v="1"/>
    <x v="18"/>
    <x v="2"/>
    <x v="2"/>
    <s v="Bhubaneswar"/>
    <n v="6744.25"/>
    <n v="0.15"/>
    <n v="5732.6125000000002"/>
    <n v="1"/>
    <n v="5732.6125000000002"/>
    <n v="859.89"/>
    <d v="2025-04-04T00:00:00"/>
    <x v="11"/>
    <x v="1"/>
    <d v="2025-04-12T00:00:00"/>
    <n v="8"/>
    <x v="1"/>
  </r>
  <r>
    <x v="185"/>
    <s v="Coffee Table"/>
    <x v="1"/>
    <x v="7"/>
    <x v="0"/>
    <x v="2"/>
    <s v="Kolkata"/>
    <n v="7708.43"/>
    <n v="0.3"/>
    <n v="5395.9009999999998"/>
    <n v="3"/>
    <n v="16187.703"/>
    <n v="4046.93"/>
    <d v="2024-12-15T00:00:00"/>
    <x v="8"/>
    <x v="0"/>
    <d v="2024-12-20T00:00:00"/>
    <n v="5"/>
    <x v="2"/>
  </r>
  <r>
    <x v="186"/>
    <s v="Bed"/>
    <x v="1"/>
    <x v="1"/>
    <x v="1"/>
    <x v="0"/>
    <s v="Bengaluru"/>
    <n v="36305.15"/>
    <n v="0.2"/>
    <n v="29044.12"/>
    <n v="5"/>
    <n v="145220.6"/>
    <n v="50827.21"/>
    <d v="2024-10-12T00:00:00"/>
    <x v="10"/>
    <x v="0"/>
    <d v="2024-10-19T00:00:00"/>
    <n v="7"/>
    <x v="2"/>
  </r>
  <r>
    <x v="187"/>
    <s v="Bed"/>
    <x v="1"/>
    <x v="18"/>
    <x v="2"/>
    <x v="2"/>
    <s v="Bhubaneswar"/>
    <n v="24936.43"/>
    <n v="0.2"/>
    <n v="19949.144"/>
    <n v="3"/>
    <n v="59847.432000000001"/>
    <n v="8977.11"/>
    <d v="2025-03-27T00:00:00"/>
    <x v="1"/>
    <x v="1"/>
    <d v="2025-04-06T00:00:00"/>
    <n v="10"/>
    <x v="1"/>
  </r>
  <r>
    <x v="188"/>
    <s v="Refrigerator"/>
    <x v="4"/>
    <x v="10"/>
    <x v="1"/>
    <x v="3"/>
    <s v="Mumbai"/>
    <n v="32230.71"/>
    <n v="0"/>
    <n v="32230.71"/>
    <n v="4"/>
    <n v="128922.84"/>
    <n v="45122.99"/>
    <d v="2024-08-31T00:00:00"/>
    <x v="0"/>
    <x v="0"/>
    <d v="2024-09-03T00:00:00"/>
    <n v="3"/>
    <x v="0"/>
  </r>
  <r>
    <x v="189"/>
    <s v="Bed"/>
    <x v="1"/>
    <x v="18"/>
    <x v="2"/>
    <x v="2"/>
    <s v="Bhubaneswar"/>
    <n v="24778.080000000002"/>
    <n v="0.15"/>
    <n v="21061.367999999999"/>
    <n v="5"/>
    <n v="105306.84"/>
    <n v="15796.03"/>
    <d v="2024-11-02T00:00:00"/>
    <x v="9"/>
    <x v="0"/>
    <d v="2024-11-06T00:00:00"/>
    <n v="4"/>
    <x v="2"/>
  </r>
  <r>
    <x v="190"/>
    <s v="Microwave"/>
    <x v="4"/>
    <x v="10"/>
    <x v="1"/>
    <x v="0"/>
    <s v="Bengaluru"/>
    <n v="9576.11"/>
    <n v="0"/>
    <n v="9576.11"/>
    <n v="5"/>
    <n v="47880.55"/>
    <n v="16758.189999999999"/>
    <d v="2024-04-23T00:00:00"/>
    <x v="11"/>
    <x v="0"/>
    <d v="2024-04-30T00:00:00"/>
    <n v="7"/>
    <x v="1"/>
  </r>
  <r>
    <x v="191"/>
    <s v="Washing Machine"/>
    <x v="4"/>
    <x v="12"/>
    <x v="0"/>
    <x v="3"/>
    <s v="Ahmedabad"/>
    <n v="19267.490000000002"/>
    <n v="0.3"/>
    <n v="13487.243"/>
    <n v="5"/>
    <n v="67436.214999999997"/>
    <n v="16859.05"/>
    <d v="2024-06-10T00:00:00"/>
    <x v="6"/>
    <x v="0"/>
    <d v="2024-06-13T00:00:00"/>
    <n v="3"/>
    <x v="0"/>
  </r>
  <r>
    <x v="192"/>
    <s v="Dining Table"/>
    <x v="1"/>
    <x v="7"/>
    <x v="0"/>
    <x v="1"/>
    <s v="Lucknow"/>
    <n v="25489.09"/>
    <n v="0.25"/>
    <n v="19116.817500000001"/>
    <n v="4"/>
    <n v="76467.27"/>
    <n v="19116.82"/>
    <d v="2024-12-09T00:00:00"/>
    <x v="8"/>
    <x v="0"/>
    <d v="2024-12-17T00:00:00"/>
    <n v="8"/>
    <x v="2"/>
  </r>
  <r>
    <x v="193"/>
    <s v="Bed"/>
    <x v="1"/>
    <x v="4"/>
    <x v="1"/>
    <x v="0"/>
    <s v="Bengaluru"/>
    <n v="33997.68"/>
    <n v="0.15"/>
    <n v="28898.027999999998"/>
    <n v="3"/>
    <n v="86694.084000000003"/>
    <n v="30342.93"/>
    <d v="2024-10-21T00:00:00"/>
    <x v="10"/>
    <x v="0"/>
    <d v="2024-10-24T00:00:00"/>
    <n v="3"/>
    <x v="2"/>
  </r>
  <r>
    <x v="194"/>
    <s v="Sneakers"/>
    <x v="0"/>
    <x v="6"/>
    <x v="2"/>
    <x v="3"/>
    <s v="Ahmedabad"/>
    <n v="2402.5700000000002"/>
    <n v="0.1"/>
    <n v="2162.3130000000001"/>
    <n v="4"/>
    <n v="8649.2520000000004"/>
    <n v="1297.3900000000001"/>
    <d v="2024-10-06T00:00:00"/>
    <x v="10"/>
    <x v="0"/>
    <d v="2024-10-11T00:00:00"/>
    <n v="5"/>
    <x v="2"/>
  </r>
  <r>
    <x v="195"/>
    <s v="Bed"/>
    <x v="1"/>
    <x v="18"/>
    <x v="2"/>
    <x v="0"/>
    <s v="Hyderabad"/>
    <n v="25749.040000000001"/>
    <n v="0.25"/>
    <n v="19311.78"/>
    <n v="5"/>
    <n v="96558.9"/>
    <n v="14483.83"/>
    <d v="2024-10-12T00:00:00"/>
    <x v="10"/>
    <x v="0"/>
    <d v="2024-10-16T00:00:00"/>
    <n v="4"/>
    <x v="2"/>
  </r>
  <r>
    <x v="196"/>
    <s v="Headphones"/>
    <x v="2"/>
    <x v="3"/>
    <x v="0"/>
    <x v="1"/>
    <s v="Lucknow"/>
    <n v="2042.43"/>
    <n v="0.15"/>
    <n v="1736.0654999999999"/>
    <n v="3"/>
    <n v="5208.1965"/>
    <n v="1302.05"/>
    <d v="2025-05-28T00:00:00"/>
    <x v="3"/>
    <x v="1"/>
    <d v="2025-06-03T00:00:00"/>
    <n v="6"/>
    <x v="1"/>
  </r>
  <r>
    <x v="197"/>
    <s v="Jacket"/>
    <x v="3"/>
    <x v="13"/>
    <x v="1"/>
    <x v="0"/>
    <s v="Chennai"/>
    <n v="3579.63"/>
    <n v="0.15"/>
    <n v="3042.6855"/>
    <n v="4"/>
    <n v="12170.742"/>
    <n v="4259.76"/>
    <d v="2025-03-03T00:00:00"/>
    <x v="1"/>
    <x v="1"/>
    <d v="2025-03-10T00:00:00"/>
    <n v="7"/>
    <x v="1"/>
  </r>
  <r>
    <x v="198"/>
    <s v="Microwave"/>
    <x v="4"/>
    <x v="10"/>
    <x v="1"/>
    <x v="1"/>
    <s v="Delhi"/>
    <n v="10176.51"/>
    <n v="0.15"/>
    <n v="8650.0334999999995"/>
    <n v="1"/>
    <n v="8650.0334999999995"/>
    <n v="3027.51"/>
    <d v="2024-12-23T00:00:00"/>
    <x v="8"/>
    <x v="0"/>
    <d v="2024-12-29T00:00:00"/>
    <n v="6"/>
    <x v="2"/>
  </r>
  <r>
    <x v="199"/>
    <s v="Jacket"/>
    <x v="3"/>
    <x v="13"/>
    <x v="1"/>
    <x v="0"/>
    <s v="Chennai"/>
    <n v="3416.14"/>
    <n v="0.2"/>
    <n v="2732.9119999999998"/>
    <n v="4"/>
    <n v="10931.647999999999"/>
    <n v="3826.08"/>
    <d v="2025-03-11T00:00:00"/>
    <x v="1"/>
    <x v="1"/>
    <d v="2025-03-13T00:00:00"/>
    <n v="2"/>
    <x v="1"/>
  </r>
  <r>
    <x v="200"/>
    <s v="Formal Shoes"/>
    <x v="0"/>
    <x v="0"/>
    <x v="0"/>
    <x v="2"/>
    <s v="Patna"/>
    <n v="3247.42"/>
    <n v="0"/>
    <n v="3247.42"/>
    <n v="3"/>
    <n v="9742.26"/>
    <n v="2435.5700000000002"/>
    <d v="2025-06-07T00:00:00"/>
    <x v="6"/>
    <x v="1"/>
    <d v="2025-06-09T00:00:00"/>
    <n v="2"/>
    <x v="0"/>
  </r>
  <r>
    <x v="201"/>
    <s v="Headphones"/>
    <x v="2"/>
    <x v="3"/>
    <x v="0"/>
    <x v="0"/>
    <s v="Chennai"/>
    <n v="1968.28"/>
    <n v="0.05"/>
    <n v="1869.866"/>
    <n v="4"/>
    <n v="7479.4639999999999"/>
    <n v="1869.87"/>
    <d v="2025-03-25T00:00:00"/>
    <x v="1"/>
    <x v="1"/>
    <d v="2025-03-29T00:00:00"/>
    <n v="4"/>
    <x v="1"/>
  </r>
  <r>
    <x v="202"/>
    <s v="T-Shirt"/>
    <x v="3"/>
    <x v="15"/>
    <x v="1"/>
    <x v="3"/>
    <s v="Mumbai"/>
    <n v="1079.07"/>
    <n v="0.1"/>
    <n v="971.16300000000001"/>
    <n v="5"/>
    <n v="4855.8150000000005"/>
    <n v="1699.54"/>
    <d v="2024-07-07T00:00:00"/>
    <x v="2"/>
    <x v="0"/>
    <d v="2024-07-10T00:00:00"/>
    <n v="3"/>
    <x v="0"/>
  </r>
  <r>
    <x v="203"/>
    <s v="Jeans"/>
    <x v="3"/>
    <x v="16"/>
    <x v="2"/>
    <x v="1"/>
    <s v="Lucknow"/>
    <n v="1293.78"/>
    <n v="0.25"/>
    <n v="970.33500000000004"/>
    <n v="5"/>
    <n v="4851.6750000000002"/>
    <n v="727.75"/>
    <d v="2025-02-03T00:00:00"/>
    <x v="7"/>
    <x v="1"/>
    <d v="2025-02-07T00:00:00"/>
    <n v="4"/>
    <x v="1"/>
  </r>
  <r>
    <x v="204"/>
    <s v="Jacket"/>
    <x v="3"/>
    <x v="5"/>
    <x v="2"/>
    <x v="2"/>
    <s v="Kolkata"/>
    <n v="2440.65"/>
    <n v="0"/>
    <n v="2440.65"/>
    <n v="1"/>
    <n v="2440.65"/>
    <n v="366.1"/>
    <d v="2024-07-10T00:00:00"/>
    <x v="2"/>
    <x v="0"/>
    <d v="2024-07-17T00:00:00"/>
    <n v="7"/>
    <x v="0"/>
  </r>
  <r>
    <x v="205"/>
    <s v="Bed"/>
    <x v="1"/>
    <x v="18"/>
    <x v="2"/>
    <x v="2"/>
    <s v="Kolkata"/>
    <n v="23426.080000000002"/>
    <n v="0.1"/>
    <n v="21083.472000000002"/>
    <n v="3"/>
    <n v="63250.416000000005"/>
    <n v="9487.56"/>
    <d v="2025-01-11T00:00:00"/>
    <x v="5"/>
    <x v="1"/>
    <d v="2025-01-18T00:00:00"/>
    <n v="7"/>
    <x v="2"/>
  </r>
  <r>
    <x v="206"/>
    <s v="Smartphone"/>
    <x v="2"/>
    <x v="2"/>
    <x v="1"/>
    <x v="0"/>
    <s v="Chennai"/>
    <n v="18476.189999999999"/>
    <n v="0.3"/>
    <n v="12933.333000000001"/>
    <n v="1"/>
    <n v="12933.333000000001"/>
    <n v="4526.67"/>
    <d v="2025-06-03T00:00:00"/>
    <x v="6"/>
    <x v="1"/>
    <d v="2025-06-08T00:00:00"/>
    <n v="5"/>
    <x v="0"/>
  </r>
  <r>
    <x v="207"/>
    <s v="Washing Machine"/>
    <x v="4"/>
    <x v="10"/>
    <x v="1"/>
    <x v="0"/>
    <s v="Chennai"/>
    <n v="20731.72"/>
    <n v="0.3"/>
    <n v="14512.204"/>
    <n v="3"/>
    <n v="43536.612000000001"/>
    <n v="15237.81"/>
    <d v="2024-12-18T00:00:00"/>
    <x v="8"/>
    <x v="0"/>
    <d v="2024-12-21T00:00:00"/>
    <n v="3"/>
    <x v="2"/>
  </r>
  <r>
    <x v="208"/>
    <s v="Smartphone"/>
    <x v="2"/>
    <x v="14"/>
    <x v="1"/>
    <x v="1"/>
    <s v="Delhi"/>
    <n v="18972.62"/>
    <n v="0.1"/>
    <n v="17075.358"/>
    <n v="5"/>
    <n v="85376.790000000008"/>
    <n v="29881.88"/>
    <d v="2025-06-22T00:00:00"/>
    <x v="6"/>
    <x v="1"/>
    <d v="2025-06-24T00:00:00"/>
    <n v="2"/>
    <x v="0"/>
  </r>
  <r>
    <x v="209"/>
    <s v="Dining Table"/>
    <x v="1"/>
    <x v="7"/>
    <x v="0"/>
    <x v="0"/>
    <s v="Hyderabad"/>
    <n v="24421.07"/>
    <n v="0.15"/>
    <n v="20757.909500000002"/>
    <n v="5"/>
    <n v="103789.54750000002"/>
    <n v="25947.39"/>
    <d v="2025-06-27T00:00:00"/>
    <x v="6"/>
    <x v="1"/>
    <d v="2025-07-06T00:00:00"/>
    <n v="9"/>
    <x v="0"/>
  </r>
  <r>
    <x v="210"/>
    <s v="Sofa Set"/>
    <x v="1"/>
    <x v="7"/>
    <x v="0"/>
    <x v="3"/>
    <s v="Mumbai"/>
    <n v="38433.629999999997"/>
    <n v="0.15"/>
    <n v="32668.585500000001"/>
    <n v="4"/>
    <n v="130674.342"/>
    <n v="32668.58"/>
    <d v="2024-08-27T00:00:00"/>
    <x v="0"/>
    <x v="0"/>
    <d v="2024-08-31T00:00:00"/>
    <n v="4"/>
    <x v="0"/>
  </r>
  <r>
    <x v="211"/>
    <s v="Microwave"/>
    <x v="4"/>
    <x v="8"/>
    <x v="2"/>
    <x v="3"/>
    <s v="Pune"/>
    <n v="7398.22"/>
    <n v="0.1"/>
    <n v="6658.3980000000001"/>
    <n v="5"/>
    <n v="33291.99"/>
    <n v="4993.8"/>
    <d v="2024-07-27T00:00:00"/>
    <x v="2"/>
    <x v="0"/>
    <d v="2024-08-02T00:00:00"/>
    <n v="6"/>
    <x v="0"/>
  </r>
  <r>
    <x v="212"/>
    <s v="Sofa Set"/>
    <x v="1"/>
    <x v="7"/>
    <x v="0"/>
    <x v="3"/>
    <s v="Pune"/>
    <n v="37562.480000000003"/>
    <n v="0.05"/>
    <n v="35684.356"/>
    <n v="2"/>
    <n v="71368.712"/>
    <n v="17842.18"/>
    <d v="2024-03-05T00:00:00"/>
    <x v="1"/>
    <x v="0"/>
    <d v="2024-03-11T00:00:00"/>
    <n v="6"/>
    <x v="1"/>
  </r>
  <r>
    <x v="213"/>
    <s v="Sneakers"/>
    <x v="0"/>
    <x v="11"/>
    <x v="1"/>
    <x v="2"/>
    <s v="Bhubaneswar"/>
    <n v="2957.37"/>
    <n v="0.1"/>
    <n v="2661.6329999999998"/>
    <n v="6"/>
    <n v="15969.797999999999"/>
    <n v="2794.71"/>
    <d v="2024-07-20T00:00:00"/>
    <x v="2"/>
    <x v="0"/>
    <d v="2024-07-27T00:00:00"/>
    <n v="7"/>
    <x v="0"/>
  </r>
  <r>
    <x v="214"/>
    <s v="Smartphone"/>
    <x v="2"/>
    <x v="2"/>
    <x v="1"/>
    <x v="3"/>
    <s v="Mumbai"/>
    <n v="19256.96"/>
    <n v="0.15"/>
    <n v="16368.415999999999"/>
    <n v="2"/>
    <n v="32736.831999999999"/>
    <n v="11457.89"/>
    <d v="2024-03-12T00:00:00"/>
    <x v="1"/>
    <x v="0"/>
    <d v="2024-03-14T00:00:00"/>
    <n v="2"/>
    <x v="1"/>
  </r>
  <r>
    <x v="215"/>
    <s v="Microwave"/>
    <x v="4"/>
    <x v="8"/>
    <x v="2"/>
    <x v="1"/>
    <s v="Jaipur"/>
    <n v="6983.39"/>
    <n v="0"/>
    <n v="6983.39"/>
    <n v="1"/>
    <n v="6983.39"/>
    <n v="1047.51"/>
    <d v="2024-01-01T00:00:00"/>
    <x v="5"/>
    <x v="0"/>
    <d v="2024-01-05T00:00:00"/>
    <n v="4"/>
    <x v="2"/>
  </r>
  <r>
    <x v="216"/>
    <s v="T-Shirt"/>
    <x v="3"/>
    <x v="19"/>
    <x v="0"/>
    <x v="2"/>
    <s v="Bhubaneswar"/>
    <n v="780.75"/>
    <n v="0.15"/>
    <n v="663.63749999999993"/>
    <n v="1"/>
    <n v="663.63749999999993"/>
    <n v="165.91"/>
    <d v="2024-08-07T00:00:00"/>
    <x v="0"/>
    <x v="0"/>
    <d v="2024-08-12T00:00:00"/>
    <n v="5"/>
    <x v="0"/>
  </r>
  <r>
    <x v="217"/>
    <s v="Laptop"/>
    <x v="2"/>
    <x v="21"/>
    <x v="2"/>
    <x v="3"/>
    <s v="Mumbai"/>
    <n v="45382.42"/>
    <n v="0"/>
    <n v="45382.42"/>
    <n v="2"/>
    <n v="90764.84"/>
    <n v="13614.73"/>
    <d v="2025-05-08T00:00:00"/>
    <x v="3"/>
    <x v="1"/>
    <d v="2025-05-10T00:00:00"/>
    <n v="2"/>
    <x v="1"/>
  </r>
  <r>
    <x v="218"/>
    <s v="Washing Machine"/>
    <x v="4"/>
    <x v="12"/>
    <x v="0"/>
    <x v="1"/>
    <s v="Delhi"/>
    <n v="18033.689999999999"/>
    <n v="0.15"/>
    <n v="15328.636500000001"/>
    <n v="4"/>
    <n v="61314.546000000002"/>
    <n v="15328.64"/>
    <d v="2024-05-10T00:00:00"/>
    <x v="3"/>
    <x v="0"/>
    <d v="2024-05-13T00:00:00"/>
    <n v="3"/>
    <x v="1"/>
  </r>
  <r>
    <x v="219"/>
    <s v="Smartphone"/>
    <x v="2"/>
    <x v="20"/>
    <x v="2"/>
    <x v="2"/>
    <s v="Kolkata"/>
    <n v="11562.25"/>
    <n v="0.05"/>
    <n v="10984.137500000001"/>
    <n v="2"/>
    <n v="21968.275000000001"/>
    <n v="3295.24"/>
    <d v="2025-01-15T00:00:00"/>
    <x v="5"/>
    <x v="1"/>
    <d v="2025-01-20T00:00:00"/>
    <n v="5"/>
    <x v="2"/>
  </r>
  <r>
    <x v="220"/>
    <s v="Microwave"/>
    <x v="4"/>
    <x v="10"/>
    <x v="1"/>
    <x v="0"/>
    <s v="Hyderabad"/>
    <n v="9233.68"/>
    <n v="0.25"/>
    <n v="6925.26"/>
    <n v="5"/>
    <n v="34626.300000000003"/>
    <n v="12119.2"/>
    <d v="2025-01-30T00:00:00"/>
    <x v="5"/>
    <x v="1"/>
    <d v="2025-02-05T00:00:00"/>
    <n v="6"/>
    <x v="2"/>
  </r>
  <r>
    <x v="221"/>
    <s v="Bed"/>
    <x v="1"/>
    <x v="7"/>
    <x v="0"/>
    <x v="0"/>
    <s v="Chennai"/>
    <n v="28212.49"/>
    <n v="0.25"/>
    <n v="21159.3675"/>
    <n v="1"/>
    <n v="21159.3675"/>
    <n v="5289.84"/>
    <d v="2024-01-30T00:00:00"/>
    <x v="5"/>
    <x v="0"/>
    <d v="2024-02-07T00:00:00"/>
    <n v="8"/>
    <x v="2"/>
  </r>
  <r>
    <x v="222"/>
    <s v="Smartphone"/>
    <x v="2"/>
    <x v="21"/>
    <x v="2"/>
    <x v="0"/>
    <s v="Hyderabad"/>
    <n v="11901.2"/>
    <n v="0"/>
    <n v="11901.2"/>
    <n v="4"/>
    <n v="47604.800000000003"/>
    <n v="7140.72"/>
    <d v="2024-07-25T00:00:00"/>
    <x v="2"/>
    <x v="0"/>
    <d v="2024-08-04T00:00:00"/>
    <n v="10"/>
    <x v="0"/>
  </r>
  <r>
    <x v="223"/>
    <s v="Coffee Table"/>
    <x v="1"/>
    <x v="7"/>
    <x v="0"/>
    <x v="0"/>
    <s v="Chennai"/>
    <n v="7584.6"/>
    <n v="0.1"/>
    <n v="6826.14"/>
    <n v="3"/>
    <n v="20478.420000000002"/>
    <n v="5119.6000000000004"/>
    <d v="2025-01-13T00:00:00"/>
    <x v="5"/>
    <x v="1"/>
    <d v="2025-01-16T00:00:00"/>
    <n v="3"/>
    <x v="2"/>
  </r>
  <r>
    <x v="224"/>
    <s v="Coffee Table"/>
    <x v="1"/>
    <x v="18"/>
    <x v="2"/>
    <x v="0"/>
    <s v="Bengaluru"/>
    <n v="6486.16"/>
    <n v="0.15"/>
    <n v="5513.2359999999999"/>
    <n v="2"/>
    <n v="11026.472"/>
    <n v="1653.97"/>
    <d v="2024-12-31T00:00:00"/>
    <x v="8"/>
    <x v="0"/>
    <d v="2025-01-07T00:00:00"/>
    <n v="7"/>
    <x v="2"/>
  </r>
  <r>
    <x v="225"/>
    <s v="Jacket"/>
    <x v="3"/>
    <x v="13"/>
    <x v="1"/>
    <x v="0"/>
    <s v="Bengaluru"/>
    <n v="3606.25"/>
    <n v="0.1"/>
    <n v="3245.625"/>
    <n v="1"/>
    <n v="3245.625"/>
    <n v="1135.97"/>
    <d v="2025-07-02T00:00:00"/>
    <x v="2"/>
    <x v="1"/>
    <d v="2025-07-11T00:00:00"/>
    <n v="9"/>
    <x v="0"/>
  </r>
  <r>
    <x v="226"/>
    <s v="T-Shirt"/>
    <x v="3"/>
    <x v="9"/>
    <x v="1"/>
    <x v="2"/>
    <s v="Patna"/>
    <n v="871.81"/>
    <n v="0.25"/>
    <n v="653.85749999999996"/>
    <n v="4"/>
    <n v="2615.4299999999998"/>
    <n v="915.4"/>
    <d v="2024-07-26T00:00:00"/>
    <x v="2"/>
    <x v="0"/>
    <d v="2024-08-02T00:00:00"/>
    <n v="7"/>
    <x v="0"/>
  </r>
  <r>
    <x v="227"/>
    <s v="Microwave"/>
    <x v="4"/>
    <x v="10"/>
    <x v="1"/>
    <x v="1"/>
    <s v="Jaipur"/>
    <n v="10229.36"/>
    <n v="0.3"/>
    <n v="7160.5519999999997"/>
    <n v="1"/>
    <n v="7160.5519999999997"/>
    <n v="2506.19"/>
    <d v="2025-06-30T00:00:00"/>
    <x v="6"/>
    <x v="1"/>
    <d v="2025-07-08T00:00:00"/>
    <n v="8"/>
    <x v="0"/>
  </r>
  <r>
    <x v="228"/>
    <s v="T-Shirt"/>
    <x v="3"/>
    <x v="5"/>
    <x v="2"/>
    <x v="0"/>
    <s v="Chennai"/>
    <n v="687.26"/>
    <n v="0.25"/>
    <n v="515.44499999999994"/>
    <n v="10"/>
    <n v="5154.4499999999989"/>
    <n v="386.58"/>
    <d v="2024-12-02T00:00:00"/>
    <x v="8"/>
    <x v="0"/>
    <d v="2024-12-11T00:00:00"/>
    <n v="9"/>
    <x v="2"/>
  </r>
  <r>
    <x v="229"/>
    <s v="Smartphone"/>
    <x v="2"/>
    <x v="17"/>
    <x v="0"/>
    <x v="2"/>
    <s v="Kolkata"/>
    <n v="14580.6"/>
    <n v="0.25"/>
    <n v="10935.45"/>
    <n v="3"/>
    <n v="32806.350000000006"/>
    <n v="8201.59"/>
    <d v="2024-05-18T00:00:00"/>
    <x v="3"/>
    <x v="0"/>
    <d v="2024-05-20T00:00:00"/>
    <n v="2"/>
    <x v="1"/>
  </r>
  <r>
    <x v="230"/>
    <s v="Laptop"/>
    <x v="2"/>
    <x v="2"/>
    <x v="1"/>
    <x v="2"/>
    <s v="Kolkata"/>
    <n v="57896.11"/>
    <n v="0.05"/>
    <n v="55001.304499999998"/>
    <n v="5"/>
    <n v="275006.52249999996"/>
    <n v="96252.28"/>
    <d v="2024-02-05T00:00:00"/>
    <x v="7"/>
    <x v="0"/>
    <d v="2024-02-07T00:00:00"/>
    <n v="2"/>
    <x v="1"/>
  </r>
  <r>
    <x v="231"/>
    <s v="Smartphone"/>
    <x v="2"/>
    <x v="3"/>
    <x v="0"/>
    <x v="0"/>
    <s v="Bengaluru"/>
    <n v="14482.37"/>
    <n v="0.1"/>
    <n v="13034.133"/>
    <n v="3"/>
    <n v="39102.398999999998"/>
    <n v="9775.6"/>
    <d v="2024-08-12T00:00:00"/>
    <x v="0"/>
    <x v="0"/>
    <d v="2024-08-19T00:00:00"/>
    <n v="7"/>
    <x v="0"/>
  </r>
  <r>
    <x v="232"/>
    <s v="Dining Table"/>
    <x v="1"/>
    <x v="7"/>
    <x v="0"/>
    <x v="3"/>
    <s v="Mumbai"/>
    <n v="27073.119999999999"/>
    <n v="0.25"/>
    <n v="20304.84"/>
    <n v="5"/>
    <n v="101524.2"/>
    <n v="25381.05"/>
    <d v="2024-04-11T00:00:00"/>
    <x v="11"/>
    <x v="0"/>
    <d v="2024-04-15T00:00:00"/>
    <n v="4"/>
    <x v="1"/>
  </r>
  <r>
    <x v="233"/>
    <s v="Coffee Table"/>
    <x v="1"/>
    <x v="1"/>
    <x v="1"/>
    <x v="0"/>
    <s v="Bengaluru"/>
    <n v="9519.26"/>
    <n v="0.1"/>
    <n v="8567.3340000000007"/>
    <n v="5"/>
    <n v="42836.670000000006"/>
    <n v="14992.83"/>
    <d v="2024-05-07T00:00:00"/>
    <x v="3"/>
    <x v="0"/>
    <d v="2024-05-16T00:00:00"/>
    <n v="9"/>
    <x v="1"/>
  </r>
  <r>
    <x v="234"/>
    <s v="Smartphone"/>
    <x v="2"/>
    <x v="20"/>
    <x v="2"/>
    <x v="1"/>
    <s v="Delhi"/>
    <n v="13160.35"/>
    <n v="0.05"/>
    <n v="12502.3325"/>
    <n v="1"/>
    <n v="12502.3325"/>
    <n v="1875.35"/>
    <d v="2024-10-17T00:00:00"/>
    <x v="10"/>
    <x v="0"/>
    <d v="2024-10-21T00:00:00"/>
    <n v="4"/>
    <x v="2"/>
  </r>
  <r>
    <x v="235"/>
    <s v="T-Shirt"/>
    <x v="3"/>
    <x v="5"/>
    <x v="2"/>
    <x v="0"/>
    <s v="Hyderabad"/>
    <n v="675.96"/>
    <n v="0.25"/>
    <n v="506.97"/>
    <n v="4"/>
    <n v="2027.88"/>
    <n v="304.18"/>
    <d v="2024-07-20T00:00:00"/>
    <x v="2"/>
    <x v="0"/>
    <d v="2024-07-27T00:00:00"/>
    <n v="7"/>
    <x v="0"/>
  </r>
  <r>
    <x v="236"/>
    <s v="Headphones"/>
    <x v="2"/>
    <x v="21"/>
    <x v="2"/>
    <x v="2"/>
    <s v="Bhubaneswar"/>
    <n v="1692.64"/>
    <n v="0.15"/>
    <n v="1438.7439999999999"/>
    <n v="4"/>
    <n v="5754.9759999999997"/>
    <n v="863.25"/>
    <d v="2024-09-07T00:00:00"/>
    <x v="4"/>
    <x v="0"/>
    <d v="2024-09-09T00:00:00"/>
    <n v="2"/>
    <x v="0"/>
  </r>
  <r>
    <x v="237"/>
    <s v="Dining Table"/>
    <x v="1"/>
    <x v="1"/>
    <x v="1"/>
    <x v="1"/>
    <s v="Jaipur"/>
    <n v="30851.59"/>
    <n v="0.05"/>
    <n v="29309.0105"/>
    <n v="2"/>
    <n v="58618.021000000001"/>
    <n v="20516.310000000001"/>
    <d v="2025-06-12T00:00:00"/>
    <x v="6"/>
    <x v="1"/>
    <d v="2025-06-18T00:00:00"/>
    <n v="6"/>
    <x v="0"/>
  </r>
  <r>
    <x v="238"/>
    <s v="Jacket"/>
    <x v="3"/>
    <x v="15"/>
    <x v="1"/>
    <x v="1"/>
    <s v="Delhi"/>
    <n v="3704.83"/>
    <n v="0.3"/>
    <n v="2593.3809999999999"/>
    <n v="2"/>
    <n v="5186.7619999999997"/>
    <n v="1815.37"/>
    <d v="2024-09-29T00:00:00"/>
    <x v="4"/>
    <x v="0"/>
    <d v="2024-10-03T00:00:00"/>
    <n v="4"/>
    <x v="0"/>
  </r>
  <r>
    <x v="239"/>
    <s v="Smartphone"/>
    <x v="2"/>
    <x v="21"/>
    <x v="2"/>
    <x v="3"/>
    <s v="Pune"/>
    <n v="13128.03"/>
    <n v="0.05"/>
    <n v="12471.628500000001"/>
    <n v="5"/>
    <n v="62358.142500000002"/>
    <n v="9353.7199999999993"/>
    <d v="2025-06-08T00:00:00"/>
    <x v="6"/>
    <x v="1"/>
    <d v="2025-06-12T00:00:00"/>
    <n v="4"/>
    <x v="0"/>
  </r>
  <r>
    <x v="240"/>
    <s v="Sofa Set"/>
    <x v="1"/>
    <x v="4"/>
    <x v="1"/>
    <x v="3"/>
    <s v="Pune"/>
    <n v="45397.88"/>
    <n v="0.2"/>
    <n v="36318.303999999996"/>
    <n v="4"/>
    <n v="145273.21599999999"/>
    <n v="50845.63"/>
    <d v="2024-01-09T00:00:00"/>
    <x v="5"/>
    <x v="0"/>
    <d v="2024-01-11T00:00:00"/>
    <n v="2"/>
    <x v="2"/>
  </r>
  <r>
    <x v="241"/>
    <s v="Jeans"/>
    <x v="3"/>
    <x v="15"/>
    <x v="1"/>
    <x v="1"/>
    <s v="Delhi"/>
    <n v="1958.66"/>
    <n v="0.25"/>
    <n v="1468.9949999999999"/>
    <n v="1"/>
    <n v="1468.9949999999999"/>
    <n v="514.15"/>
    <d v="2025-04-05T00:00:00"/>
    <x v="11"/>
    <x v="1"/>
    <d v="2025-04-07T00:00:00"/>
    <n v="2"/>
    <x v="1"/>
  </r>
  <r>
    <x v="242"/>
    <s v="Dining Table"/>
    <x v="1"/>
    <x v="18"/>
    <x v="2"/>
    <x v="1"/>
    <s v="Jaipur"/>
    <n v="22078.06"/>
    <n v="0.3"/>
    <n v="15454.642"/>
    <n v="1"/>
    <n v="15454.642"/>
    <n v="2318.1999999999998"/>
    <d v="2024-08-15T00:00:00"/>
    <x v="0"/>
    <x v="0"/>
    <d v="2024-08-20T00:00:00"/>
    <n v="5"/>
    <x v="0"/>
  </r>
  <r>
    <x v="243"/>
    <s v="Bed"/>
    <x v="1"/>
    <x v="4"/>
    <x v="1"/>
    <x v="0"/>
    <s v="Hyderabad"/>
    <n v="34680.69"/>
    <n v="0.05"/>
    <n v="32946.655500000001"/>
    <n v="2"/>
    <n v="65893.311000000002"/>
    <n v="23062.66"/>
    <d v="2024-10-23T00:00:00"/>
    <x v="10"/>
    <x v="0"/>
    <d v="2024-10-28T00:00:00"/>
    <n v="5"/>
    <x v="2"/>
  </r>
  <r>
    <x v="244"/>
    <s v="Bed"/>
    <x v="1"/>
    <x v="7"/>
    <x v="0"/>
    <x v="0"/>
    <s v="Chennai"/>
    <n v="29412.19"/>
    <n v="0.15"/>
    <n v="25000.361499999999"/>
    <n v="3"/>
    <n v="75001.084499999997"/>
    <n v="18750.27"/>
    <d v="2025-07-07T00:00:00"/>
    <x v="2"/>
    <x v="1"/>
    <d v="2025-07-17T00:00:00"/>
    <n v="10"/>
    <x v="0"/>
  </r>
  <r>
    <x v="245"/>
    <s v="Sofa Set"/>
    <x v="1"/>
    <x v="1"/>
    <x v="1"/>
    <x v="1"/>
    <s v="Delhi"/>
    <n v="44828.69"/>
    <n v="0.25"/>
    <n v="33621.517500000002"/>
    <n v="1"/>
    <n v="33621.517500000002"/>
    <n v="11767.53"/>
    <d v="2024-09-23T00:00:00"/>
    <x v="4"/>
    <x v="0"/>
    <d v="2024-10-02T00:00:00"/>
    <n v="9"/>
    <x v="0"/>
  </r>
  <r>
    <x v="246"/>
    <s v="Jeans"/>
    <x v="3"/>
    <x v="16"/>
    <x v="2"/>
    <x v="1"/>
    <s v="Lucknow"/>
    <n v="1292.25"/>
    <n v="0.3"/>
    <n v="904.57499999999993"/>
    <n v="4"/>
    <n v="3618.2999999999997"/>
    <n v="542.75"/>
    <d v="2025-06-11T00:00:00"/>
    <x v="6"/>
    <x v="1"/>
    <d v="2025-06-19T00:00:00"/>
    <n v="8"/>
    <x v="0"/>
  </r>
  <r>
    <x v="247"/>
    <s v="Headphones"/>
    <x v="2"/>
    <x v="17"/>
    <x v="0"/>
    <x v="2"/>
    <s v="Patna"/>
    <n v="1955.84"/>
    <n v="0.15"/>
    <n v="1662.4639999999999"/>
    <n v="5"/>
    <n v="8312.32"/>
    <n v="2078.08"/>
    <d v="2024-03-31T00:00:00"/>
    <x v="1"/>
    <x v="0"/>
    <d v="2024-04-04T00:00:00"/>
    <n v="4"/>
    <x v="1"/>
  </r>
  <r>
    <x v="248"/>
    <s v="Formal Shoes"/>
    <x v="0"/>
    <x v="0"/>
    <x v="0"/>
    <x v="0"/>
    <s v="Bengaluru"/>
    <n v="3272.04"/>
    <n v="0.05"/>
    <n v="3108.4380000000001"/>
    <n v="5"/>
    <n v="15542.19"/>
    <n v="3885.55"/>
    <d v="2024-05-10T00:00:00"/>
    <x v="3"/>
    <x v="0"/>
    <d v="2024-05-13T00:00:00"/>
    <n v="3"/>
    <x v="1"/>
  </r>
  <r>
    <x v="249"/>
    <s v="Coffee Table"/>
    <x v="1"/>
    <x v="1"/>
    <x v="1"/>
    <x v="0"/>
    <s v="Bengaluru"/>
    <n v="9068.15"/>
    <n v="0.2"/>
    <n v="7254.52"/>
    <n v="5"/>
    <n v="36272.600000000006"/>
    <n v="12695.41"/>
    <d v="2024-05-04T00:00:00"/>
    <x v="3"/>
    <x v="0"/>
    <d v="2024-05-10T00:00:00"/>
    <n v="6"/>
    <x v="1"/>
  </r>
  <r>
    <x v="250"/>
    <s v="Dining Table"/>
    <x v="1"/>
    <x v="1"/>
    <x v="1"/>
    <x v="0"/>
    <s v="Bengaluru"/>
    <n v="30172.3"/>
    <n v="0.15"/>
    <n v="25646.455000000002"/>
    <n v="1"/>
    <n v="25646.455000000002"/>
    <n v="8976.26"/>
    <d v="2024-11-24T00:00:00"/>
    <x v="9"/>
    <x v="0"/>
    <d v="2024-11-30T00:00:00"/>
    <n v="6"/>
    <x v="2"/>
  </r>
  <r>
    <x v="251"/>
    <s v="Sofa Set"/>
    <x v="1"/>
    <x v="4"/>
    <x v="1"/>
    <x v="2"/>
    <s v="Kolkata"/>
    <n v="38614.36"/>
    <n v="0.15"/>
    <n v="32822.205999999998"/>
    <n v="4"/>
    <n v="131288.82399999999"/>
    <n v="45951.09"/>
    <d v="2025-04-26T00:00:00"/>
    <x v="11"/>
    <x v="1"/>
    <d v="2025-05-05T00:00:00"/>
    <n v="9"/>
    <x v="1"/>
  </r>
  <r>
    <x v="252"/>
    <s v="Coffee Table"/>
    <x v="1"/>
    <x v="4"/>
    <x v="1"/>
    <x v="1"/>
    <s v="Jaipur"/>
    <n v="9645.64"/>
    <n v="0"/>
    <n v="9645.64"/>
    <n v="1"/>
    <n v="9645.64"/>
    <n v="3375.97"/>
    <d v="2024-03-26T00:00:00"/>
    <x v="1"/>
    <x v="0"/>
    <d v="2024-04-01T00:00:00"/>
    <n v="6"/>
    <x v="1"/>
  </r>
  <r>
    <x v="253"/>
    <s v="Smartphone"/>
    <x v="2"/>
    <x v="17"/>
    <x v="0"/>
    <x v="2"/>
    <s v="Patna"/>
    <n v="14680.49"/>
    <n v="0.1"/>
    <n v="13212.441000000001"/>
    <n v="3"/>
    <n v="39637.323000000004"/>
    <n v="9909.33"/>
    <d v="2025-05-22T00:00:00"/>
    <x v="3"/>
    <x v="1"/>
    <d v="2025-05-25T00:00:00"/>
    <n v="3"/>
    <x v="1"/>
  </r>
  <r>
    <x v="254"/>
    <s v="Sneakers"/>
    <x v="0"/>
    <x v="11"/>
    <x v="1"/>
    <x v="2"/>
    <s v="Kolkata"/>
    <n v="2977.94"/>
    <n v="0.2"/>
    <n v="2382.3519999999999"/>
    <n v="3"/>
    <n v="7147.0559999999996"/>
    <n v="2501.4699999999998"/>
    <d v="2025-01-08T00:00:00"/>
    <x v="5"/>
    <x v="1"/>
    <d v="2025-01-16T00:00:00"/>
    <n v="8"/>
    <x v="2"/>
  </r>
  <r>
    <x v="255"/>
    <s v="Jacket"/>
    <x v="3"/>
    <x v="16"/>
    <x v="2"/>
    <x v="1"/>
    <s v="Lucknow"/>
    <n v="2673.57"/>
    <n v="0.1"/>
    <n v="2406.2130000000002"/>
    <n v="2"/>
    <n v="4812.4260000000004"/>
    <n v="721.86"/>
    <d v="2024-07-19T00:00:00"/>
    <x v="2"/>
    <x v="0"/>
    <d v="2024-07-24T00:00:00"/>
    <n v="5"/>
    <x v="0"/>
  </r>
  <r>
    <x v="256"/>
    <s v="Jeans"/>
    <x v="3"/>
    <x v="9"/>
    <x v="1"/>
    <x v="0"/>
    <s v="Bengaluru"/>
    <n v="1838.37"/>
    <n v="0.3"/>
    <n v="1286.8589999999999"/>
    <n v="4"/>
    <n v="5147.4359999999997"/>
    <n v="1801.6"/>
    <d v="2024-02-25T00:00:00"/>
    <x v="7"/>
    <x v="0"/>
    <d v="2024-03-02T00:00:00"/>
    <n v="6"/>
    <x v="1"/>
  </r>
  <r>
    <x v="257"/>
    <s v="Jacket"/>
    <x v="3"/>
    <x v="9"/>
    <x v="1"/>
    <x v="1"/>
    <s v="Jaipur"/>
    <n v="3887.41"/>
    <n v="0.25"/>
    <n v="2915.5574999999999"/>
    <n v="2"/>
    <n v="5831.1149999999998"/>
    <n v="4081.78"/>
    <d v="2024-01-01T00:00:00"/>
    <x v="5"/>
    <x v="0"/>
    <d v="2024-01-06T00:00:00"/>
    <n v="5"/>
    <x v="2"/>
  </r>
  <r>
    <x v="258"/>
    <s v="Sneakers"/>
    <x v="0"/>
    <x v="6"/>
    <x v="2"/>
    <x v="3"/>
    <s v="Mumbai"/>
    <n v="2323.17"/>
    <n v="0.3"/>
    <n v="1626.2190000000001"/>
    <n v="5"/>
    <n v="8131.0950000000003"/>
    <n v="1219.6600000000001"/>
    <d v="2024-11-06T00:00:00"/>
    <x v="9"/>
    <x v="0"/>
    <d v="2024-11-15T00:00:00"/>
    <n v="9"/>
    <x v="2"/>
  </r>
  <r>
    <x v="259"/>
    <s v="Microwave"/>
    <x v="4"/>
    <x v="8"/>
    <x v="2"/>
    <x v="1"/>
    <s v="Jaipur"/>
    <n v="6887.79"/>
    <n v="0.1"/>
    <n v="6199.0110000000004"/>
    <n v="5"/>
    <n v="30995.055"/>
    <n v="4649.26"/>
    <d v="2024-08-16T00:00:00"/>
    <x v="0"/>
    <x v="0"/>
    <d v="2024-08-25T00:00:00"/>
    <n v="9"/>
    <x v="0"/>
  </r>
  <r>
    <x v="260"/>
    <s v="Dining Table"/>
    <x v="1"/>
    <x v="1"/>
    <x v="1"/>
    <x v="0"/>
    <s v="Bengaluru"/>
    <n v="30147.19"/>
    <n v="0.25"/>
    <n v="22610.392500000002"/>
    <n v="5"/>
    <n v="113051.96250000001"/>
    <n v="39568.19"/>
    <d v="2024-03-01T00:00:00"/>
    <x v="1"/>
    <x v="0"/>
    <d v="2024-03-04T00:00:00"/>
    <n v="3"/>
    <x v="1"/>
  </r>
  <r>
    <x v="261"/>
    <s v="Headphones"/>
    <x v="2"/>
    <x v="3"/>
    <x v="0"/>
    <x v="2"/>
    <s v="Bhubaneswar"/>
    <n v="1826.54"/>
    <n v="0.25"/>
    <n v="1369.905"/>
    <n v="2"/>
    <n v="2739.81"/>
    <n v="684.95"/>
    <d v="2024-10-23T00:00:00"/>
    <x v="10"/>
    <x v="0"/>
    <d v="2024-10-28T00:00:00"/>
    <n v="5"/>
    <x v="2"/>
  </r>
  <r>
    <x v="262"/>
    <s v="Laptop"/>
    <x v="2"/>
    <x v="17"/>
    <x v="0"/>
    <x v="1"/>
    <s v="Lucknow"/>
    <n v="50861.87"/>
    <n v="0.2"/>
    <n v="40689.496000000006"/>
    <n v="3"/>
    <n v="122068.48800000001"/>
    <n v="30517.119999999999"/>
    <d v="2025-01-29T00:00:00"/>
    <x v="5"/>
    <x v="1"/>
    <d v="2025-02-07T00:00:00"/>
    <n v="9"/>
    <x v="2"/>
  </r>
  <r>
    <x v="263"/>
    <s v="T-Shirt"/>
    <x v="3"/>
    <x v="13"/>
    <x v="1"/>
    <x v="0"/>
    <s v="Chennai"/>
    <n v="900.76"/>
    <n v="0.1"/>
    <n v="810.68399999999997"/>
    <n v="1"/>
    <n v="810.68399999999997"/>
    <n v="283.74"/>
    <d v="2024-02-20T00:00:00"/>
    <x v="7"/>
    <x v="0"/>
    <d v="2024-02-23T00:00:00"/>
    <n v="3"/>
    <x v="1"/>
  </r>
  <r>
    <x v="264"/>
    <s v="Formal Shoes"/>
    <x v="0"/>
    <x v="0"/>
    <x v="0"/>
    <x v="1"/>
    <s v="Lucknow"/>
    <n v="3690.03"/>
    <n v="0"/>
    <n v="3690.03"/>
    <n v="1"/>
    <n v="3690.03"/>
    <n v="922.51"/>
    <d v="2024-05-30T00:00:00"/>
    <x v="3"/>
    <x v="0"/>
    <d v="2024-06-01T00:00:00"/>
    <n v="2"/>
    <x v="1"/>
  </r>
  <r>
    <x v="265"/>
    <s v="Dining Table"/>
    <x v="1"/>
    <x v="1"/>
    <x v="1"/>
    <x v="0"/>
    <s v="Bengaluru"/>
    <n v="30177.95"/>
    <n v="0.05"/>
    <n v="28669.052500000002"/>
    <n v="5"/>
    <n v="143345.26250000001"/>
    <n v="50170.84"/>
    <d v="2025-07-27T00:00:00"/>
    <x v="2"/>
    <x v="1"/>
    <d v="2025-07-31T00:00:00"/>
    <n v="4"/>
    <x v="0"/>
  </r>
  <r>
    <x v="266"/>
    <s v="Refrigerator"/>
    <x v="4"/>
    <x v="2"/>
    <x v="1"/>
    <x v="2"/>
    <s v="Kolkata"/>
    <n v="28719.81"/>
    <n v="0"/>
    <n v="28719.81"/>
    <n v="4"/>
    <n v="114879.24"/>
    <n v="40207.730000000003"/>
    <d v="2024-01-20T00:00:00"/>
    <x v="5"/>
    <x v="0"/>
    <d v="2024-01-22T00:00:00"/>
    <n v="2"/>
    <x v="2"/>
  </r>
  <r>
    <x v="267"/>
    <s v="Laptop"/>
    <x v="2"/>
    <x v="17"/>
    <x v="0"/>
    <x v="2"/>
    <s v="Patna"/>
    <n v="49243.58"/>
    <n v="0.15"/>
    <n v="41857.042999999998"/>
    <n v="3"/>
    <n v="125571.12899999999"/>
    <n v="31392.78"/>
    <d v="2025-06-06T00:00:00"/>
    <x v="6"/>
    <x v="1"/>
    <d v="2025-06-11T00:00:00"/>
    <n v="5"/>
    <x v="0"/>
  </r>
  <r>
    <x v="268"/>
    <s v="T-Shirt"/>
    <x v="3"/>
    <x v="19"/>
    <x v="0"/>
    <x v="1"/>
    <s v="Lucknow"/>
    <n v="804.32"/>
    <n v="0.25"/>
    <n v="603.24"/>
    <n v="5"/>
    <n v="3016.2"/>
    <n v="754.05"/>
    <d v="2024-04-25T00:00:00"/>
    <x v="11"/>
    <x v="0"/>
    <d v="2024-04-29T00:00:00"/>
    <n v="4"/>
    <x v="1"/>
  </r>
  <r>
    <x v="269"/>
    <s v="Washing Machine"/>
    <x v="4"/>
    <x v="2"/>
    <x v="1"/>
    <x v="3"/>
    <s v="Mumbai"/>
    <n v="22554.16"/>
    <n v="0.25"/>
    <n v="16915.62"/>
    <n v="2"/>
    <n v="33831.24"/>
    <n v="11840.93"/>
    <d v="2025-07-08T00:00:00"/>
    <x v="2"/>
    <x v="1"/>
    <d v="2025-07-12T00:00:00"/>
    <n v="4"/>
    <x v="0"/>
  </r>
  <r>
    <x v="270"/>
    <s v="Washing Machine"/>
    <x v="4"/>
    <x v="8"/>
    <x v="2"/>
    <x v="3"/>
    <s v="Mumbai"/>
    <n v="16197.03"/>
    <n v="0"/>
    <n v="16197.03"/>
    <n v="2"/>
    <n v="32394.06"/>
    <n v="4859.1099999999997"/>
    <d v="2025-02-28T00:00:00"/>
    <x v="7"/>
    <x v="1"/>
    <d v="2025-03-09T00:00:00"/>
    <n v="9"/>
    <x v="1"/>
  </r>
  <r>
    <x v="271"/>
    <s v="T-Shirt"/>
    <x v="3"/>
    <x v="16"/>
    <x v="2"/>
    <x v="2"/>
    <s v="Bhubaneswar"/>
    <n v="638.46"/>
    <n v="0.3"/>
    <n v="446.92200000000003"/>
    <n v="2"/>
    <n v="893.84400000000005"/>
    <n v="134.08000000000001"/>
    <d v="2024-07-07T00:00:00"/>
    <x v="2"/>
    <x v="0"/>
    <d v="2024-07-12T00:00:00"/>
    <n v="5"/>
    <x v="0"/>
  </r>
  <r>
    <x v="272"/>
    <s v="Microwave"/>
    <x v="4"/>
    <x v="10"/>
    <x v="1"/>
    <x v="3"/>
    <s v="Mumbai"/>
    <n v="10003.91"/>
    <n v="0.25"/>
    <n v="7502.9324999999999"/>
    <n v="5"/>
    <n v="37514.662499999999"/>
    <n v="13130.13"/>
    <d v="2024-07-10T00:00:00"/>
    <x v="2"/>
    <x v="0"/>
    <d v="2024-07-19T00:00:00"/>
    <n v="9"/>
    <x v="0"/>
  </r>
  <r>
    <x v="273"/>
    <s v="Dining Table"/>
    <x v="1"/>
    <x v="18"/>
    <x v="2"/>
    <x v="1"/>
    <s v="Delhi"/>
    <n v="21439.17"/>
    <n v="0.05"/>
    <n v="20367.211500000001"/>
    <n v="5"/>
    <n v="101836.05750000001"/>
    <n v="15275.41"/>
    <d v="2025-03-20T00:00:00"/>
    <x v="1"/>
    <x v="1"/>
    <d v="2025-03-30T00:00:00"/>
    <n v="10"/>
    <x v="1"/>
  </r>
  <r>
    <x v="274"/>
    <s v="Refrigerator"/>
    <x v="4"/>
    <x v="10"/>
    <x v="1"/>
    <x v="0"/>
    <s v="Hyderabad"/>
    <n v="29294.04"/>
    <n v="0.15"/>
    <n v="24899.934000000001"/>
    <n v="5"/>
    <n v="124499.67000000001"/>
    <n v="43574.879999999997"/>
    <d v="2024-03-28T00:00:00"/>
    <x v="1"/>
    <x v="0"/>
    <d v="2024-04-06T00:00:00"/>
    <n v="9"/>
    <x v="1"/>
  </r>
  <r>
    <x v="275"/>
    <s v="Sofa Set"/>
    <x v="1"/>
    <x v="1"/>
    <x v="1"/>
    <x v="1"/>
    <s v="Jaipur"/>
    <n v="44836.51"/>
    <n v="0.3"/>
    <n v="31385.557000000001"/>
    <n v="1"/>
    <n v="31385.557000000001"/>
    <n v="10984.95"/>
    <d v="2025-06-23T00:00:00"/>
    <x v="6"/>
    <x v="1"/>
    <d v="2025-06-25T00:00:00"/>
    <n v="2"/>
    <x v="0"/>
  </r>
  <r>
    <x v="276"/>
    <s v="Formal Shoes"/>
    <x v="0"/>
    <x v="11"/>
    <x v="1"/>
    <x v="3"/>
    <s v="Mumbai"/>
    <n v="4449.13"/>
    <n v="0"/>
    <n v="4449.13"/>
    <n v="4"/>
    <n v="17796.52"/>
    <n v="6228.78"/>
    <d v="2024-04-01T00:00:00"/>
    <x v="11"/>
    <x v="0"/>
    <d v="2024-04-06T00:00:00"/>
    <n v="5"/>
    <x v="1"/>
  </r>
  <r>
    <x v="277"/>
    <s v="Jeans"/>
    <x v="3"/>
    <x v="15"/>
    <x v="1"/>
    <x v="3"/>
    <s v="Pune"/>
    <n v="1990.95"/>
    <n v="0.15"/>
    <n v="1692.3074999999999"/>
    <n v="5"/>
    <n v="8461.5374999999985"/>
    <n v="592.30999999999995"/>
    <d v="2024-01-21T00:00:00"/>
    <x v="5"/>
    <x v="0"/>
    <d v="2024-01-30T00:00:00"/>
    <n v="9"/>
    <x v="2"/>
  </r>
  <r>
    <x v="278"/>
    <s v="T-Shirt"/>
    <x v="3"/>
    <x v="9"/>
    <x v="1"/>
    <x v="2"/>
    <s v="Patna"/>
    <n v="894.94"/>
    <n v="0.15"/>
    <n v="760.69900000000007"/>
    <n v="5"/>
    <n v="3803.4950000000003"/>
    <n v="1331.22"/>
    <d v="2024-06-05T00:00:00"/>
    <x v="6"/>
    <x v="0"/>
    <d v="2024-06-07T00:00:00"/>
    <n v="2"/>
    <x v="0"/>
  </r>
  <r>
    <x v="279"/>
    <s v="Refrigerator"/>
    <x v="4"/>
    <x v="2"/>
    <x v="1"/>
    <x v="2"/>
    <s v="Patna"/>
    <n v="28236.98"/>
    <n v="0.2"/>
    <n v="22589.583999999999"/>
    <n v="2"/>
    <n v="45179.167999999998"/>
    <n v="15812.71"/>
    <d v="2024-01-29T00:00:00"/>
    <x v="5"/>
    <x v="0"/>
    <d v="2024-02-04T00:00:00"/>
    <n v="6"/>
    <x v="2"/>
  </r>
  <r>
    <x v="280"/>
    <s v="Formal Shoes"/>
    <x v="0"/>
    <x v="6"/>
    <x v="2"/>
    <x v="2"/>
    <s v="Bhubaneswar"/>
    <n v="2828.85"/>
    <n v="0.25"/>
    <n v="2121.6374999999998"/>
    <n v="3"/>
    <n v="6364.9124999999995"/>
    <n v="954.74"/>
    <d v="2025-03-29T00:00:00"/>
    <x v="1"/>
    <x v="1"/>
    <d v="2025-04-08T00:00:00"/>
    <n v="10"/>
    <x v="1"/>
  </r>
  <r>
    <x v="281"/>
    <s v="Bed"/>
    <x v="1"/>
    <x v="7"/>
    <x v="0"/>
    <x v="2"/>
    <s v="Bhubaneswar"/>
    <n v="28927.67"/>
    <n v="0"/>
    <n v="28927.67"/>
    <n v="2"/>
    <n v="57855.34"/>
    <n v="14463.83"/>
    <d v="2025-06-14T00:00:00"/>
    <x v="6"/>
    <x v="1"/>
    <d v="2025-06-24T00:00:00"/>
    <n v="10"/>
    <x v="0"/>
  </r>
  <r>
    <x v="282"/>
    <s v="Smartphone"/>
    <x v="2"/>
    <x v="17"/>
    <x v="0"/>
    <x v="1"/>
    <s v="Delhi"/>
    <n v="15376.6"/>
    <n v="0.2"/>
    <n v="12301.28"/>
    <n v="1"/>
    <n v="12301.28"/>
    <n v="3075.32"/>
    <d v="2025-03-24T00:00:00"/>
    <x v="1"/>
    <x v="1"/>
    <d v="2025-03-29T00:00:00"/>
    <n v="5"/>
    <x v="1"/>
  </r>
  <r>
    <x v="283"/>
    <s v="Coffee Table"/>
    <x v="1"/>
    <x v="4"/>
    <x v="1"/>
    <x v="0"/>
    <s v="Bengaluru"/>
    <n v="9085.09"/>
    <n v="0"/>
    <n v="9085.09"/>
    <n v="4"/>
    <n v="36340.36"/>
    <n v="12719.13"/>
    <d v="2025-01-06T00:00:00"/>
    <x v="5"/>
    <x v="1"/>
    <d v="2025-01-14T00:00:00"/>
    <n v="8"/>
    <x v="2"/>
  </r>
  <r>
    <x v="284"/>
    <s v="Formal Shoes"/>
    <x v="0"/>
    <x v="11"/>
    <x v="1"/>
    <x v="2"/>
    <s v="Patna"/>
    <n v="3980.67"/>
    <n v="0.1"/>
    <n v="3582.6030000000001"/>
    <n v="3"/>
    <n v="10747.809000000001"/>
    <n v="3761.73"/>
    <d v="2024-08-19T00:00:00"/>
    <x v="0"/>
    <x v="0"/>
    <d v="2024-08-26T00:00:00"/>
    <n v="7"/>
    <x v="0"/>
  </r>
  <r>
    <x v="285"/>
    <s v="Jacket"/>
    <x v="3"/>
    <x v="13"/>
    <x v="1"/>
    <x v="1"/>
    <s v="Delhi"/>
    <n v="3835.61"/>
    <n v="0.25"/>
    <n v="2876.7075"/>
    <n v="4"/>
    <n v="11506.83"/>
    <n v="4027.39"/>
    <d v="2024-03-28T00:00:00"/>
    <x v="1"/>
    <x v="0"/>
    <d v="2024-04-05T00:00:00"/>
    <n v="8"/>
    <x v="1"/>
  </r>
  <r>
    <x v="286"/>
    <s v="Smartphone"/>
    <x v="2"/>
    <x v="2"/>
    <x v="1"/>
    <x v="2"/>
    <s v="Patna"/>
    <n v="16478.43"/>
    <n v="0.2"/>
    <n v="13182.744000000001"/>
    <n v="2"/>
    <n v="26365.488000000001"/>
    <n v="9227.92"/>
    <d v="2024-09-26T00:00:00"/>
    <x v="4"/>
    <x v="0"/>
    <d v="2024-10-06T00:00:00"/>
    <n v="10"/>
    <x v="0"/>
  </r>
  <r>
    <x v="287"/>
    <s v="Jacket"/>
    <x v="3"/>
    <x v="13"/>
    <x v="1"/>
    <x v="1"/>
    <s v="Jaipur"/>
    <n v="3764.99"/>
    <n v="0.3"/>
    <n v="2635.492999999999"/>
    <n v="2"/>
    <n v="5270.9859999999981"/>
    <n v="1844.85"/>
    <d v="2025-05-21T00:00:00"/>
    <x v="3"/>
    <x v="1"/>
    <d v="2025-05-29T00:00:00"/>
    <n v="8"/>
    <x v="1"/>
  </r>
  <r>
    <x v="288"/>
    <s v="Washing Machine"/>
    <x v="4"/>
    <x v="8"/>
    <x v="2"/>
    <x v="1"/>
    <s v="Delhi"/>
    <n v="15429.88"/>
    <n v="0.1"/>
    <n v="13886.892"/>
    <n v="4"/>
    <n v="55547.567999999999"/>
    <n v="8332.14"/>
    <d v="2024-06-29T00:00:00"/>
    <x v="6"/>
    <x v="0"/>
    <d v="2024-07-05T00:00:00"/>
    <n v="6"/>
    <x v="0"/>
  </r>
  <r>
    <x v="289"/>
    <s v="Sneakers"/>
    <x v="0"/>
    <x v="6"/>
    <x v="2"/>
    <x v="1"/>
    <s v="Delhi"/>
    <n v="2288.29"/>
    <n v="0.05"/>
    <n v="2173.8755000000001"/>
    <n v="4"/>
    <n v="8695.5020000000004"/>
    <n v="1304.33"/>
    <d v="2024-03-31T00:00:00"/>
    <x v="1"/>
    <x v="0"/>
    <d v="2024-04-02T00:00:00"/>
    <n v="2"/>
    <x v="1"/>
  </r>
  <r>
    <x v="290"/>
    <s v="Coffee Table"/>
    <x v="1"/>
    <x v="4"/>
    <x v="1"/>
    <x v="2"/>
    <s v="Bhubaneswar"/>
    <n v="8953.66"/>
    <n v="0"/>
    <n v="8953.66"/>
    <n v="3"/>
    <n v="26860.98"/>
    <n v="9401.34"/>
    <d v="2025-03-22T00:00:00"/>
    <x v="1"/>
    <x v="1"/>
    <d v="2025-03-24T00:00:00"/>
    <n v="2"/>
    <x v="1"/>
  </r>
  <r>
    <x v="291"/>
    <s v="Washing Machine"/>
    <x v="4"/>
    <x v="12"/>
    <x v="0"/>
    <x v="2"/>
    <s v="Kolkata"/>
    <n v="17449.080000000002"/>
    <n v="0"/>
    <n v="17449.080000000002"/>
    <n v="3"/>
    <n v="52347.240000000005"/>
    <n v="13086.81"/>
    <d v="2025-05-22T00:00:00"/>
    <x v="3"/>
    <x v="1"/>
    <d v="2025-05-26T00:00:00"/>
    <n v="4"/>
    <x v="1"/>
  </r>
  <r>
    <x v="292"/>
    <s v="Bed"/>
    <x v="1"/>
    <x v="18"/>
    <x v="2"/>
    <x v="3"/>
    <s v="Pune"/>
    <n v="27268.080000000002"/>
    <n v="0.2"/>
    <n v="21814.464"/>
    <n v="4"/>
    <n v="87257.856"/>
    <n v="13088.68"/>
    <d v="2024-10-04T00:00:00"/>
    <x v="10"/>
    <x v="0"/>
    <d v="2024-10-14T00:00:00"/>
    <n v="10"/>
    <x v="2"/>
  </r>
  <r>
    <x v="293"/>
    <s v="Dining Table"/>
    <x v="1"/>
    <x v="7"/>
    <x v="0"/>
    <x v="3"/>
    <s v="Pune"/>
    <n v="25970.86"/>
    <n v="0.15"/>
    <n v="22075.231"/>
    <n v="3"/>
    <n v="66225.692999999999"/>
    <n v="16556.419999999998"/>
    <d v="2024-04-23T00:00:00"/>
    <x v="11"/>
    <x v="0"/>
    <d v="2024-04-29T00:00:00"/>
    <n v="6"/>
    <x v="1"/>
  </r>
  <r>
    <x v="294"/>
    <s v="Jeans"/>
    <x v="3"/>
    <x v="9"/>
    <x v="1"/>
    <x v="2"/>
    <s v="Bhubaneswar"/>
    <n v="1688.53"/>
    <n v="0.05"/>
    <n v="1604.1034999999999"/>
    <n v="3"/>
    <n v="4812.3104999999996"/>
    <n v="1684.31"/>
    <d v="2025-04-08T00:00:00"/>
    <x v="11"/>
    <x v="1"/>
    <d v="2025-04-15T00:00:00"/>
    <n v="7"/>
    <x v="1"/>
  </r>
  <r>
    <x v="295"/>
    <s v="Laptop"/>
    <x v="2"/>
    <x v="14"/>
    <x v="1"/>
    <x v="0"/>
    <s v="Chennai"/>
    <n v="60686.06"/>
    <n v="0.2"/>
    <n v="48548.847999999998"/>
    <n v="3"/>
    <n v="145646.54399999999"/>
    <n v="50976.29"/>
    <d v="2024-10-16T00:00:00"/>
    <x v="10"/>
    <x v="0"/>
    <d v="2024-10-18T00:00:00"/>
    <n v="2"/>
    <x v="2"/>
  </r>
  <r>
    <x v="296"/>
    <s v="Sofa Set"/>
    <x v="1"/>
    <x v="1"/>
    <x v="1"/>
    <x v="0"/>
    <s v="Chennai"/>
    <n v="41388.1"/>
    <n v="0.25"/>
    <n v="31041.075000000001"/>
    <n v="1"/>
    <n v="31041.075000000001"/>
    <n v="10864.37"/>
    <d v="2025-01-12T00:00:00"/>
    <x v="5"/>
    <x v="1"/>
    <d v="2025-01-19T00:00:00"/>
    <n v="7"/>
    <x v="2"/>
  </r>
  <r>
    <x v="297"/>
    <s v="Refrigerator"/>
    <x v="4"/>
    <x v="2"/>
    <x v="1"/>
    <x v="1"/>
    <s v="Delhi"/>
    <n v="31200.560000000001"/>
    <n v="0.1"/>
    <n v="28080.504000000001"/>
    <n v="3"/>
    <n v="84241.512000000002"/>
    <n v="29484.53"/>
    <d v="2024-10-30T00:00:00"/>
    <x v="10"/>
    <x v="0"/>
    <d v="2024-11-03T00:00:00"/>
    <n v="4"/>
    <x v="2"/>
  </r>
  <r>
    <x v="298"/>
    <s v="Jeans"/>
    <x v="3"/>
    <x v="5"/>
    <x v="2"/>
    <x v="1"/>
    <s v="Delhi"/>
    <n v="1375.91"/>
    <n v="0.05"/>
    <n v="1307.1144999999999"/>
    <n v="3"/>
    <n v="3921.3434999999999"/>
    <n v="588.20000000000005"/>
    <d v="2025-05-28T00:00:00"/>
    <x v="3"/>
    <x v="1"/>
    <d v="2025-06-04T00:00:00"/>
    <n v="7"/>
    <x v="1"/>
  </r>
  <r>
    <x v="299"/>
    <s v="Jacket"/>
    <x v="3"/>
    <x v="5"/>
    <x v="2"/>
    <x v="0"/>
    <s v="Hyderabad"/>
    <n v="2421.87"/>
    <n v="0.25"/>
    <n v="1816.4024999999999"/>
    <n v="1"/>
    <n v="1816.4024999999999"/>
    <n v="272.45999999999998"/>
    <d v="2024-08-09T00:00:00"/>
    <x v="0"/>
    <x v="0"/>
    <d v="2024-08-19T00:00:00"/>
    <n v="10"/>
    <x v="0"/>
  </r>
  <r>
    <x v="300"/>
    <s v="Dining Table"/>
    <x v="1"/>
    <x v="18"/>
    <x v="2"/>
    <x v="1"/>
    <s v="Jaipur"/>
    <n v="22942.240000000002"/>
    <n v="0.2"/>
    <n v="18353.792000000001"/>
    <n v="3"/>
    <n v="55061.376000000004"/>
    <n v="8259.2099999999991"/>
    <d v="2025-02-16T00:00:00"/>
    <x v="7"/>
    <x v="1"/>
    <d v="2025-02-24T00:00:00"/>
    <n v="8"/>
    <x v="1"/>
  </r>
  <r>
    <x v="301"/>
    <s v="Sofa Set"/>
    <x v="1"/>
    <x v="4"/>
    <x v="1"/>
    <x v="3"/>
    <s v="Ahmedabad"/>
    <n v="46549.51"/>
    <n v="0"/>
    <n v="46549.51"/>
    <n v="4"/>
    <n v="186198.04"/>
    <n v="65169.31"/>
    <d v="2025-07-09T00:00:00"/>
    <x v="2"/>
    <x v="1"/>
    <d v="2025-07-11T00:00:00"/>
    <n v="2"/>
    <x v="0"/>
  </r>
  <r>
    <x v="302"/>
    <s v="Washing Machine"/>
    <x v="4"/>
    <x v="8"/>
    <x v="2"/>
    <x v="0"/>
    <s v="Chennai"/>
    <n v="14893.94"/>
    <n v="0.05"/>
    <n v="14149.243"/>
    <n v="5"/>
    <n v="70746.214999999997"/>
    <n v="10611.93"/>
    <d v="2025-03-24T00:00:00"/>
    <x v="1"/>
    <x v="1"/>
    <d v="2025-03-27T00:00:00"/>
    <n v="3"/>
    <x v="1"/>
  </r>
  <r>
    <x v="303"/>
    <s v="Headphones"/>
    <x v="2"/>
    <x v="3"/>
    <x v="0"/>
    <x v="3"/>
    <s v="Mumbai"/>
    <n v="2105.71"/>
    <n v="0.05"/>
    <n v="2000.4245000000001"/>
    <n v="1"/>
    <n v="2000.4245000000001"/>
    <n v="500.11"/>
    <d v="2025-06-07T00:00:00"/>
    <x v="6"/>
    <x v="1"/>
    <d v="2025-06-16T00:00:00"/>
    <n v="9"/>
    <x v="0"/>
  </r>
  <r>
    <x v="304"/>
    <s v="Laptop"/>
    <x v="2"/>
    <x v="17"/>
    <x v="0"/>
    <x v="2"/>
    <s v="Patna"/>
    <n v="47220.59"/>
    <n v="0.3"/>
    <n v="33054.412999999993"/>
    <n v="4"/>
    <n v="132217.65199999997"/>
    <n v="33054.410000000003"/>
    <d v="2024-01-18T00:00:00"/>
    <x v="5"/>
    <x v="0"/>
    <d v="2024-01-20T00:00:00"/>
    <n v="2"/>
    <x v="2"/>
  </r>
  <r>
    <x v="305"/>
    <s v="Headphones"/>
    <x v="2"/>
    <x v="20"/>
    <x v="2"/>
    <x v="0"/>
    <s v="Chennai"/>
    <n v="1587.47"/>
    <n v="0.05"/>
    <n v="1508.0965000000001"/>
    <n v="1"/>
    <n v="1508.0965000000001"/>
    <n v="226.21"/>
    <d v="2025-07-06T00:00:00"/>
    <x v="2"/>
    <x v="1"/>
    <d v="2025-07-08T00:00:00"/>
    <n v="2"/>
    <x v="0"/>
  </r>
  <r>
    <x v="306"/>
    <s v="Headphones"/>
    <x v="2"/>
    <x v="14"/>
    <x v="1"/>
    <x v="2"/>
    <s v="Kolkata"/>
    <n v="2296.5500000000002"/>
    <n v="0.15"/>
    <n v="1952.0675000000001"/>
    <n v="4"/>
    <n v="7808.27"/>
    <n v="2732.89"/>
    <d v="2024-08-26T00:00:00"/>
    <x v="0"/>
    <x v="0"/>
    <d v="2024-09-01T00:00:00"/>
    <n v="6"/>
    <x v="0"/>
  </r>
  <r>
    <x v="307"/>
    <s v="Refrigerator"/>
    <x v="4"/>
    <x v="8"/>
    <x v="2"/>
    <x v="3"/>
    <s v="Ahmedabad"/>
    <n v="23182.3"/>
    <n v="0.1"/>
    <n v="20864.07"/>
    <n v="1"/>
    <n v="20864.07"/>
    <n v="3129.61"/>
    <d v="2024-08-03T00:00:00"/>
    <x v="0"/>
    <x v="0"/>
    <d v="2024-08-12T00:00:00"/>
    <n v="9"/>
    <x v="0"/>
  </r>
  <r>
    <x v="308"/>
    <s v="Dining Table"/>
    <x v="1"/>
    <x v="18"/>
    <x v="2"/>
    <x v="0"/>
    <s v="Chennai"/>
    <n v="20384.439999999999"/>
    <n v="0.2"/>
    <n v="16307.552"/>
    <n v="5"/>
    <n v="81537.759999999995"/>
    <n v="12230.66"/>
    <d v="2025-02-15T00:00:00"/>
    <x v="7"/>
    <x v="1"/>
    <d v="2025-02-17T00:00:00"/>
    <n v="2"/>
    <x v="1"/>
  </r>
  <r>
    <x v="309"/>
    <s v="Jacket"/>
    <x v="3"/>
    <x v="5"/>
    <x v="2"/>
    <x v="1"/>
    <s v="Delhi"/>
    <n v="2671.48"/>
    <n v="0.05"/>
    <n v="2537.9059999999999"/>
    <n v="2"/>
    <n v="5075.8119999999999"/>
    <n v="761.37"/>
    <d v="2025-05-05T00:00:00"/>
    <x v="3"/>
    <x v="1"/>
    <d v="2025-05-12T00:00:00"/>
    <n v="7"/>
    <x v="1"/>
  </r>
  <r>
    <x v="310"/>
    <s v="Sneakers"/>
    <x v="0"/>
    <x v="6"/>
    <x v="2"/>
    <x v="3"/>
    <s v="Pune"/>
    <n v="2367.77"/>
    <n v="0.25"/>
    <n v="1775.8275000000001"/>
    <n v="5"/>
    <n v="8879.1375000000007"/>
    <n v="532.75"/>
    <d v="2024-06-19T00:00:00"/>
    <x v="6"/>
    <x v="0"/>
    <d v="2024-06-24T00:00:00"/>
    <n v="5"/>
    <x v="0"/>
  </r>
  <r>
    <x v="311"/>
    <s v="Microwave"/>
    <x v="4"/>
    <x v="8"/>
    <x v="2"/>
    <x v="1"/>
    <s v="Jaipur"/>
    <n v="7028.47"/>
    <n v="0.25"/>
    <n v="5271.3525"/>
    <n v="1"/>
    <n v="5271.3525"/>
    <n v="790.7"/>
    <d v="2024-12-30T00:00:00"/>
    <x v="8"/>
    <x v="0"/>
    <d v="2025-01-04T00:00:00"/>
    <n v="5"/>
    <x v="2"/>
  </r>
  <r>
    <x v="312"/>
    <s v="Sneakers"/>
    <x v="0"/>
    <x v="11"/>
    <x v="1"/>
    <x v="3"/>
    <s v="Pune"/>
    <n v="3317.34"/>
    <n v="0.2"/>
    <n v="2653.8719999999998"/>
    <n v="2"/>
    <n v="5307.7439999999997"/>
    <n v="1857.71"/>
    <d v="2024-03-07T00:00:00"/>
    <x v="1"/>
    <x v="0"/>
    <d v="2024-03-10T00:00:00"/>
    <n v="3"/>
    <x v="1"/>
  </r>
  <r>
    <x v="313"/>
    <s v="Sofa Set"/>
    <x v="1"/>
    <x v="4"/>
    <x v="1"/>
    <x v="0"/>
    <s v="Hyderabad"/>
    <n v="41692.14"/>
    <n v="0.3"/>
    <n v="29184.498"/>
    <n v="2"/>
    <n v="58368.995999999999"/>
    <n v="20429.150000000001"/>
    <d v="2024-04-15T00:00:00"/>
    <x v="11"/>
    <x v="0"/>
    <d v="2024-04-19T00:00:00"/>
    <n v="4"/>
    <x v="1"/>
  </r>
  <r>
    <x v="314"/>
    <s v="Jeans"/>
    <x v="3"/>
    <x v="16"/>
    <x v="2"/>
    <x v="0"/>
    <s v="Bengaluru"/>
    <n v="1235.08"/>
    <n v="0.1"/>
    <n v="1111.5719999999999"/>
    <n v="1"/>
    <n v="1111.5719999999999"/>
    <n v="166.74"/>
    <d v="2025-02-13T00:00:00"/>
    <x v="7"/>
    <x v="1"/>
    <d v="2025-02-19T00:00:00"/>
    <n v="6"/>
    <x v="1"/>
  </r>
  <r>
    <x v="315"/>
    <s v="Dining Table"/>
    <x v="1"/>
    <x v="18"/>
    <x v="2"/>
    <x v="2"/>
    <s v="Kolkata"/>
    <n v="19473.990000000002"/>
    <n v="0.05"/>
    <n v="18500.290499999999"/>
    <n v="2"/>
    <n v="37000.580999999998"/>
    <n v="5550.09"/>
    <d v="2025-02-21T00:00:00"/>
    <x v="7"/>
    <x v="1"/>
    <d v="2025-02-27T00:00:00"/>
    <n v="6"/>
    <x v="1"/>
  </r>
  <r>
    <x v="316"/>
    <s v="Refrigerator"/>
    <x v="4"/>
    <x v="2"/>
    <x v="1"/>
    <x v="3"/>
    <s v="Pune"/>
    <n v="32229.45"/>
    <n v="0.1"/>
    <n v="29006.505000000001"/>
    <n v="3"/>
    <n v="87019.514999999999"/>
    <n v="30456.83"/>
    <d v="2024-10-14T00:00:00"/>
    <x v="10"/>
    <x v="0"/>
    <d v="2024-10-22T00:00:00"/>
    <n v="8"/>
    <x v="2"/>
  </r>
  <r>
    <x v="317"/>
    <s v="Microwave"/>
    <x v="4"/>
    <x v="8"/>
    <x v="2"/>
    <x v="0"/>
    <s v="Hyderabad"/>
    <n v="6472.25"/>
    <n v="0.2"/>
    <n v="5177.8"/>
    <n v="4"/>
    <n v="20711.2"/>
    <n v="3106.68"/>
    <d v="2024-05-03T00:00:00"/>
    <x v="3"/>
    <x v="0"/>
    <d v="2024-05-13T00:00:00"/>
    <n v="10"/>
    <x v="1"/>
  </r>
  <r>
    <x v="318"/>
    <s v="Sofa Set"/>
    <x v="1"/>
    <x v="7"/>
    <x v="0"/>
    <x v="2"/>
    <s v="Kolkata"/>
    <n v="34580.129999999997"/>
    <n v="0"/>
    <n v="34580.129999999997"/>
    <n v="2"/>
    <n v="69160.259999999995"/>
    <n v="17290.060000000001"/>
    <d v="2024-10-21T00:00:00"/>
    <x v="10"/>
    <x v="0"/>
    <d v="2024-10-26T00:00:00"/>
    <n v="5"/>
    <x v="2"/>
  </r>
  <r>
    <x v="319"/>
    <s v="Coffee Table"/>
    <x v="1"/>
    <x v="7"/>
    <x v="0"/>
    <x v="0"/>
    <s v="Bengaluru"/>
    <n v="7575.31"/>
    <n v="0.2"/>
    <n v="6060.2480000000014"/>
    <n v="3"/>
    <n v="18180.744000000006"/>
    <n v="4545.1899999999996"/>
    <d v="2025-03-18T00:00:00"/>
    <x v="1"/>
    <x v="1"/>
    <d v="2025-03-23T00:00:00"/>
    <n v="5"/>
    <x v="1"/>
  </r>
  <r>
    <x v="320"/>
    <s v="Bed"/>
    <x v="1"/>
    <x v="4"/>
    <x v="1"/>
    <x v="3"/>
    <s v="Ahmedabad"/>
    <n v="37528.31"/>
    <n v="0.3"/>
    <n v="26269.816999999999"/>
    <n v="4"/>
    <n v="105079.268"/>
    <n v="36777.74"/>
    <d v="2024-01-16T00:00:00"/>
    <x v="5"/>
    <x v="0"/>
    <d v="2024-01-25T00:00:00"/>
    <n v="9"/>
    <x v="2"/>
  </r>
  <r>
    <x v="321"/>
    <s v="T-Shirt"/>
    <x v="3"/>
    <x v="9"/>
    <x v="1"/>
    <x v="3"/>
    <s v="Ahmedabad"/>
    <n v="1064.52"/>
    <n v="0"/>
    <n v="1064.52"/>
    <n v="5"/>
    <n v="5322.6"/>
    <n v="1862.91"/>
    <d v="2024-08-17T00:00:00"/>
    <x v="0"/>
    <x v="0"/>
    <d v="2024-08-22T00:00:00"/>
    <n v="5"/>
    <x v="0"/>
  </r>
  <r>
    <x v="322"/>
    <s v="Dining Table"/>
    <x v="1"/>
    <x v="18"/>
    <x v="2"/>
    <x v="0"/>
    <s v="Chennai"/>
    <n v="20114.689999999999"/>
    <n v="0.05"/>
    <n v="19108.9555"/>
    <n v="4"/>
    <n v="76435.822"/>
    <n v="11465.37"/>
    <d v="2024-08-04T00:00:00"/>
    <x v="0"/>
    <x v="0"/>
    <d v="2024-08-10T00:00:00"/>
    <n v="6"/>
    <x v="0"/>
  </r>
  <r>
    <x v="323"/>
    <s v="Jeans"/>
    <x v="3"/>
    <x v="16"/>
    <x v="2"/>
    <x v="0"/>
    <s v="Bengaluru"/>
    <n v="1287.6199999999999"/>
    <n v="0.15"/>
    <n v="1094.4770000000001"/>
    <n v="9"/>
    <n v="9850.2930000000015"/>
    <n v="820.86"/>
    <d v="2024-12-01T00:00:00"/>
    <x v="8"/>
    <x v="0"/>
    <d v="2024-12-06T00:00:00"/>
    <n v="5"/>
    <x v="2"/>
  </r>
  <r>
    <x v="324"/>
    <s v="T-Shirt"/>
    <x v="3"/>
    <x v="15"/>
    <x v="1"/>
    <x v="3"/>
    <s v="Mumbai"/>
    <n v="1053.3"/>
    <n v="0.3"/>
    <n v="737.31"/>
    <n v="4"/>
    <n v="2949.24"/>
    <n v="1032.23"/>
    <d v="2025-05-12T00:00:00"/>
    <x v="3"/>
    <x v="1"/>
    <d v="2025-05-14T00:00:00"/>
    <n v="2"/>
    <x v="1"/>
  </r>
  <r>
    <x v="325"/>
    <s v="Dining Table"/>
    <x v="1"/>
    <x v="4"/>
    <x v="1"/>
    <x v="0"/>
    <s v="Bengaluru"/>
    <n v="28222.09"/>
    <n v="0.1"/>
    <n v="25399.881000000001"/>
    <n v="4"/>
    <n v="101599.524"/>
    <n v="35559.83"/>
    <d v="2024-09-01T00:00:00"/>
    <x v="4"/>
    <x v="0"/>
    <d v="2024-09-10T00:00:00"/>
    <n v="9"/>
    <x v="0"/>
  </r>
  <r>
    <x v="326"/>
    <s v="Laptop"/>
    <x v="2"/>
    <x v="2"/>
    <x v="1"/>
    <x v="1"/>
    <s v="Delhi"/>
    <n v="61921.86"/>
    <n v="0.3"/>
    <n v="43345.302000000003"/>
    <n v="2"/>
    <n v="86690.604000000007"/>
    <n v="30341.71"/>
    <d v="2024-10-29T00:00:00"/>
    <x v="10"/>
    <x v="0"/>
    <d v="2024-11-08T00:00:00"/>
    <n v="10"/>
    <x v="2"/>
  </r>
  <r>
    <x v="327"/>
    <s v="Smartphone"/>
    <x v="2"/>
    <x v="21"/>
    <x v="2"/>
    <x v="1"/>
    <s v="Delhi"/>
    <n v="13070.69"/>
    <n v="0"/>
    <n v="13070.69"/>
    <n v="2"/>
    <n v="26141.38"/>
    <n v="3921.21"/>
    <d v="2025-07-15T00:00:00"/>
    <x v="2"/>
    <x v="1"/>
    <d v="2025-07-25T00:00:00"/>
    <n v="10"/>
    <x v="0"/>
  </r>
  <r>
    <x v="328"/>
    <s v="T-Shirt"/>
    <x v="3"/>
    <x v="13"/>
    <x v="1"/>
    <x v="1"/>
    <s v="Jaipur"/>
    <n v="1027.6500000000001"/>
    <n v="0"/>
    <n v="1027.6500000000001"/>
    <n v="4"/>
    <n v="4110.6000000000004"/>
    <n v="1438.71"/>
    <d v="2025-03-04T00:00:00"/>
    <x v="1"/>
    <x v="1"/>
    <d v="2025-03-06T00:00:00"/>
    <n v="2"/>
    <x v="1"/>
  </r>
  <r>
    <x v="329"/>
    <s v="Refrigerator"/>
    <x v="4"/>
    <x v="8"/>
    <x v="2"/>
    <x v="3"/>
    <s v="Mumbai"/>
    <n v="23463.03"/>
    <n v="0.1"/>
    <n v="21116.726999999999"/>
    <n v="5"/>
    <n v="105583.63499999999"/>
    <n v="15837.54"/>
    <d v="2024-08-10T00:00:00"/>
    <x v="0"/>
    <x v="0"/>
    <d v="2024-08-14T00:00:00"/>
    <n v="4"/>
    <x v="0"/>
  </r>
  <r>
    <x v="330"/>
    <s v="Washing Machine"/>
    <x v="4"/>
    <x v="10"/>
    <x v="1"/>
    <x v="0"/>
    <s v="Chennai"/>
    <n v="21442.28"/>
    <n v="0.05"/>
    <n v="20370.166000000001"/>
    <n v="3"/>
    <n v="61110.498000000007"/>
    <n v="21388.67"/>
    <d v="2024-08-12T00:00:00"/>
    <x v="0"/>
    <x v="0"/>
    <d v="2024-08-20T00:00:00"/>
    <n v="8"/>
    <x v="0"/>
  </r>
  <r>
    <x v="331"/>
    <s v="Dining Table"/>
    <x v="1"/>
    <x v="4"/>
    <x v="1"/>
    <x v="1"/>
    <s v="Lucknow"/>
    <n v="31380.94"/>
    <n v="0.3"/>
    <n v="21966.657999999999"/>
    <n v="3"/>
    <n v="65899.974000000002"/>
    <n v="23064.99"/>
    <d v="2025-05-28T00:00:00"/>
    <x v="3"/>
    <x v="1"/>
    <d v="2025-06-04T00:00:00"/>
    <n v="7"/>
    <x v="1"/>
  </r>
  <r>
    <x v="332"/>
    <s v="Sneakers"/>
    <x v="0"/>
    <x v="6"/>
    <x v="2"/>
    <x v="1"/>
    <s v="Delhi"/>
    <n v="2201.1799999999998"/>
    <n v="0.25"/>
    <n v="1650.885"/>
    <n v="4"/>
    <n v="6603.54"/>
    <n v="495.27"/>
    <d v="2024-08-30T00:00:00"/>
    <x v="0"/>
    <x v="0"/>
    <d v="2024-09-04T00:00:00"/>
    <n v="5"/>
    <x v="0"/>
  </r>
  <r>
    <x v="333"/>
    <s v="Sneakers"/>
    <x v="0"/>
    <x v="0"/>
    <x v="0"/>
    <x v="3"/>
    <s v="Ahmedabad"/>
    <n v="2722.04"/>
    <n v="0.15"/>
    <n v="2313.7339999999999"/>
    <n v="5"/>
    <n v="11568.67"/>
    <n v="2892.17"/>
    <d v="2024-09-12T00:00:00"/>
    <x v="4"/>
    <x v="0"/>
    <d v="2024-09-15T00:00:00"/>
    <n v="3"/>
    <x v="0"/>
  </r>
  <r>
    <x v="334"/>
    <s v="Headphones"/>
    <x v="2"/>
    <x v="3"/>
    <x v="0"/>
    <x v="0"/>
    <s v="Chennai"/>
    <n v="1971.6"/>
    <n v="0.2"/>
    <n v="1577.28"/>
    <n v="4"/>
    <n v="6309.12"/>
    <n v="1577.28"/>
    <d v="2024-07-20T00:00:00"/>
    <x v="2"/>
    <x v="0"/>
    <d v="2024-07-22T00:00:00"/>
    <n v="2"/>
    <x v="0"/>
  </r>
  <r>
    <x v="335"/>
    <s v="Laptop"/>
    <x v="2"/>
    <x v="14"/>
    <x v="1"/>
    <x v="2"/>
    <s v="Kolkata"/>
    <n v="58786.26"/>
    <n v="0.2"/>
    <n v="47029.008000000002"/>
    <n v="4"/>
    <n v="188116.03200000001"/>
    <n v="65840.61"/>
    <d v="2024-02-12T00:00:00"/>
    <x v="7"/>
    <x v="0"/>
    <d v="2024-02-20T00:00:00"/>
    <n v="8"/>
    <x v="1"/>
  </r>
  <r>
    <x v="336"/>
    <s v="Bed"/>
    <x v="1"/>
    <x v="18"/>
    <x v="2"/>
    <x v="3"/>
    <s v="Pune"/>
    <n v="28439.64"/>
    <n v="0.3"/>
    <n v="19907.748"/>
    <n v="2"/>
    <n v="39815.495999999999"/>
    <n v="5972.32"/>
    <d v="2024-02-23T00:00:00"/>
    <x v="7"/>
    <x v="0"/>
    <d v="2024-03-03T00:00:00"/>
    <n v="9"/>
    <x v="1"/>
  </r>
  <r>
    <x v="337"/>
    <s v="Formal Shoes"/>
    <x v="0"/>
    <x v="0"/>
    <x v="0"/>
    <x v="1"/>
    <s v="Delhi"/>
    <n v="3596.24"/>
    <n v="0.05"/>
    <n v="3416.427999999999"/>
    <n v="1"/>
    <n v="3416.427999999999"/>
    <n v="854.11"/>
    <d v="2024-06-26T00:00:00"/>
    <x v="6"/>
    <x v="0"/>
    <d v="2024-07-04T00:00:00"/>
    <n v="8"/>
    <x v="0"/>
  </r>
  <r>
    <x v="338"/>
    <s v="Coffee Table"/>
    <x v="1"/>
    <x v="4"/>
    <x v="1"/>
    <x v="0"/>
    <s v="Bengaluru"/>
    <n v="9771.65"/>
    <n v="0.05"/>
    <n v="9283.0674999999992"/>
    <n v="5"/>
    <n v="46415.337499999994"/>
    <n v="16245.37"/>
    <d v="2025-07-25T00:00:00"/>
    <x v="2"/>
    <x v="1"/>
    <d v="2025-08-03T00:00:00"/>
    <n v="9"/>
    <x v="0"/>
  </r>
  <r>
    <x v="339"/>
    <s v="Jeans"/>
    <x v="3"/>
    <x v="13"/>
    <x v="1"/>
    <x v="3"/>
    <s v="Pune"/>
    <n v="1960.5"/>
    <n v="0.05"/>
    <n v="1862.4749999999999"/>
    <n v="2"/>
    <n v="3724.95"/>
    <n v="1303.73"/>
    <d v="2024-06-07T00:00:00"/>
    <x v="6"/>
    <x v="0"/>
    <d v="2024-06-13T00:00:00"/>
    <n v="6"/>
    <x v="0"/>
  </r>
  <r>
    <x v="340"/>
    <s v="Coffee Table"/>
    <x v="1"/>
    <x v="18"/>
    <x v="2"/>
    <x v="1"/>
    <s v="Lucknow"/>
    <n v="6739.88"/>
    <n v="0.05"/>
    <n v="6402.8860000000004"/>
    <n v="5"/>
    <n v="32014.43"/>
    <n v="4802.16"/>
    <d v="2024-05-17T00:00:00"/>
    <x v="3"/>
    <x v="0"/>
    <d v="2024-05-26T00:00:00"/>
    <n v="9"/>
    <x v="1"/>
  </r>
  <r>
    <x v="341"/>
    <s v="Laptop"/>
    <x v="2"/>
    <x v="14"/>
    <x v="1"/>
    <x v="1"/>
    <s v="Delhi"/>
    <n v="65342.91"/>
    <n v="0.2"/>
    <n v="52274.328000000009"/>
    <n v="3"/>
    <n v="156822.98400000003"/>
    <n v="54888.04"/>
    <d v="2024-09-06T00:00:00"/>
    <x v="4"/>
    <x v="0"/>
    <d v="2024-09-09T00:00:00"/>
    <n v="3"/>
    <x v="0"/>
  </r>
  <r>
    <x v="342"/>
    <s v="Dining Table"/>
    <x v="1"/>
    <x v="18"/>
    <x v="2"/>
    <x v="2"/>
    <s v="Bhubaneswar"/>
    <n v="19757.13"/>
    <n v="0.25"/>
    <n v="14817.8475"/>
    <n v="2"/>
    <n v="29635.695"/>
    <n v="4445.3500000000004"/>
    <d v="2024-11-12T00:00:00"/>
    <x v="9"/>
    <x v="0"/>
    <d v="2024-11-19T00:00:00"/>
    <n v="7"/>
    <x v="2"/>
  </r>
  <r>
    <x v="343"/>
    <s v="Jacket"/>
    <x v="3"/>
    <x v="19"/>
    <x v="0"/>
    <x v="0"/>
    <s v="Chennai"/>
    <n v="2877.5"/>
    <n v="0.2"/>
    <n v="2302"/>
    <n v="3"/>
    <n v="6906"/>
    <n v="1726.5"/>
    <d v="2024-07-10T00:00:00"/>
    <x v="2"/>
    <x v="0"/>
    <d v="2024-07-13T00:00:00"/>
    <n v="3"/>
    <x v="0"/>
  </r>
  <r>
    <x v="344"/>
    <s v="Refrigerator"/>
    <x v="4"/>
    <x v="12"/>
    <x v="0"/>
    <x v="1"/>
    <s v="Lucknow"/>
    <n v="25744.63"/>
    <n v="0.1"/>
    <n v="23170.167000000001"/>
    <n v="3"/>
    <n v="69510.501000000004"/>
    <n v="17377.62"/>
    <d v="2024-02-11T00:00:00"/>
    <x v="7"/>
    <x v="0"/>
    <d v="2024-02-13T00:00:00"/>
    <n v="2"/>
    <x v="1"/>
  </r>
  <r>
    <x v="345"/>
    <s v="Dining Table"/>
    <x v="1"/>
    <x v="7"/>
    <x v="0"/>
    <x v="1"/>
    <s v="Delhi"/>
    <n v="26995.3"/>
    <n v="0.15"/>
    <n v="22946.005000000001"/>
    <n v="1"/>
    <n v="22946.005000000001"/>
    <n v="5736.5"/>
    <d v="2024-06-23T00:00:00"/>
    <x v="6"/>
    <x v="0"/>
    <d v="2024-06-28T00:00:00"/>
    <n v="5"/>
    <x v="0"/>
  </r>
  <r>
    <x v="346"/>
    <s v="T-Shirt"/>
    <x v="3"/>
    <x v="16"/>
    <x v="2"/>
    <x v="0"/>
    <s v="Hyderabad"/>
    <n v="696.53"/>
    <n v="0.3"/>
    <n v="487.57100000000003"/>
    <n v="3"/>
    <n v="1462.7130000000002"/>
    <n v="219.41"/>
    <d v="2024-07-27T00:00:00"/>
    <x v="2"/>
    <x v="0"/>
    <d v="2024-08-04T00:00:00"/>
    <n v="8"/>
    <x v="0"/>
  </r>
  <r>
    <x v="347"/>
    <s v="Formal Shoes"/>
    <x v="0"/>
    <x v="0"/>
    <x v="0"/>
    <x v="1"/>
    <s v="Delhi"/>
    <n v="3578.46"/>
    <n v="0.25"/>
    <n v="2683.8449999999998"/>
    <n v="4"/>
    <n v="10735.38"/>
    <n v="2683.84"/>
    <d v="2025-06-04T00:00:00"/>
    <x v="6"/>
    <x v="1"/>
    <d v="2025-06-10T00:00:00"/>
    <n v="6"/>
    <x v="0"/>
  </r>
  <r>
    <x v="348"/>
    <s v="Bed"/>
    <x v="1"/>
    <x v="7"/>
    <x v="0"/>
    <x v="2"/>
    <s v="Patna"/>
    <n v="27593.08"/>
    <n v="0.15"/>
    <n v="23454.117999999999"/>
    <n v="1"/>
    <n v="23454.117999999999"/>
    <n v="5863.53"/>
    <d v="2024-02-16T00:00:00"/>
    <x v="7"/>
    <x v="0"/>
    <d v="2024-02-23T00:00:00"/>
    <n v="7"/>
    <x v="1"/>
  </r>
  <r>
    <x v="349"/>
    <s v="Sneakers"/>
    <x v="0"/>
    <x v="6"/>
    <x v="2"/>
    <x v="3"/>
    <s v="Pune"/>
    <n v="2247.89"/>
    <n v="0"/>
    <n v="2247.89"/>
    <n v="1"/>
    <n v="2247.89"/>
    <n v="337.18"/>
    <d v="2024-02-02T00:00:00"/>
    <x v="7"/>
    <x v="0"/>
    <d v="2024-02-08T00:00:00"/>
    <n v="6"/>
    <x v="1"/>
  </r>
  <r>
    <x v="350"/>
    <s v="Coffee Table"/>
    <x v="1"/>
    <x v="7"/>
    <x v="0"/>
    <x v="1"/>
    <s v="Lucknow"/>
    <n v="8509.64"/>
    <n v="0.25"/>
    <n v="6382.23"/>
    <n v="5"/>
    <n v="31911.149999999998"/>
    <n v="7977.79"/>
    <d v="2024-12-18T00:00:00"/>
    <x v="8"/>
    <x v="0"/>
    <d v="2024-12-23T00:00:00"/>
    <n v="5"/>
    <x v="2"/>
  </r>
  <r>
    <x v="351"/>
    <s v="Laptop"/>
    <x v="2"/>
    <x v="17"/>
    <x v="0"/>
    <x v="0"/>
    <s v="Hyderabad"/>
    <n v="49991.3"/>
    <n v="0"/>
    <n v="49991.3"/>
    <n v="3"/>
    <n v="149973.90000000002"/>
    <n v="37493.47"/>
    <d v="2024-03-06T00:00:00"/>
    <x v="1"/>
    <x v="0"/>
    <d v="2024-03-10T00:00:00"/>
    <n v="4"/>
    <x v="1"/>
  </r>
  <r>
    <x v="352"/>
    <s v="Bed"/>
    <x v="1"/>
    <x v="4"/>
    <x v="1"/>
    <x v="0"/>
    <s v="Chennai"/>
    <n v="34601.96"/>
    <n v="0.05"/>
    <n v="32871.862000000001"/>
    <n v="1"/>
    <n v="32871.862000000001"/>
    <n v="11505.15"/>
    <d v="2025-07-13T00:00:00"/>
    <x v="2"/>
    <x v="1"/>
    <d v="2025-07-22T00:00:00"/>
    <n v="9"/>
    <x v="0"/>
  </r>
  <r>
    <x v="353"/>
    <s v="Jeans"/>
    <x v="3"/>
    <x v="9"/>
    <x v="1"/>
    <x v="0"/>
    <s v="Hyderabad"/>
    <n v="1801.8"/>
    <n v="0.3"/>
    <n v="1261.26"/>
    <n v="9"/>
    <n v="11351.34"/>
    <n v="2207.1999999999998"/>
    <d v="2024-11-09T00:00:00"/>
    <x v="9"/>
    <x v="0"/>
    <d v="2024-11-17T00:00:00"/>
    <n v="8"/>
    <x v="2"/>
  </r>
  <r>
    <x v="354"/>
    <s v="Refrigerator"/>
    <x v="4"/>
    <x v="10"/>
    <x v="1"/>
    <x v="0"/>
    <s v="Chennai"/>
    <n v="30132.67"/>
    <n v="0.05"/>
    <n v="28626.036499999998"/>
    <n v="4"/>
    <n v="114504.14599999999"/>
    <n v="40076.449999999997"/>
    <d v="2024-12-25T00:00:00"/>
    <x v="8"/>
    <x v="0"/>
    <d v="2024-12-28T00:00:00"/>
    <n v="3"/>
    <x v="2"/>
  </r>
  <r>
    <x v="355"/>
    <s v="Formal Shoes"/>
    <x v="0"/>
    <x v="0"/>
    <x v="0"/>
    <x v="2"/>
    <s v="Patna"/>
    <n v="3393.91"/>
    <n v="0.1"/>
    <n v="3054.5189999999998"/>
    <n v="2"/>
    <n v="6109.0379999999996"/>
    <n v="1527.26"/>
    <d v="2024-09-17T00:00:00"/>
    <x v="4"/>
    <x v="0"/>
    <d v="2024-09-25T00:00:00"/>
    <n v="8"/>
    <x v="0"/>
  </r>
  <r>
    <x v="356"/>
    <s v="Dining Table"/>
    <x v="1"/>
    <x v="4"/>
    <x v="1"/>
    <x v="3"/>
    <s v="Mumbai"/>
    <n v="33234.199999999997"/>
    <n v="0.05"/>
    <n v="31572.489999999991"/>
    <n v="1"/>
    <n v="31572.489999999991"/>
    <n v="11050.37"/>
    <d v="2025-06-28T00:00:00"/>
    <x v="6"/>
    <x v="1"/>
    <d v="2025-07-07T00:00:00"/>
    <n v="9"/>
    <x v="0"/>
  </r>
  <r>
    <x v="357"/>
    <s v="Microwave"/>
    <x v="4"/>
    <x v="10"/>
    <x v="1"/>
    <x v="1"/>
    <s v="Jaipur"/>
    <n v="10474.129999999999"/>
    <n v="0.1"/>
    <n v="9426.7169999999987"/>
    <n v="3"/>
    <n v="28280.150999999998"/>
    <n v="9898.0499999999993"/>
    <d v="2024-10-31T00:00:00"/>
    <x v="10"/>
    <x v="0"/>
    <d v="2024-11-09T00:00:00"/>
    <n v="9"/>
    <x v="2"/>
  </r>
  <r>
    <x v="358"/>
    <s v="Jacket"/>
    <x v="3"/>
    <x v="9"/>
    <x v="1"/>
    <x v="0"/>
    <s v="Hyderabad"/>
    <n v="3426.87"/>
    <n v="0.3"/>
    <n v="2398.8090000000002"/>
    <n v="4"/>
    <n v="9595.2360000000008"/>
    <n v="3358.33"/>
    <d v="2024-05-09T00:00:00"/>
    <x v="3"/>
    <x v="0"/>
    <d v="2024-05-16T00:00:00"/>
    <n v="7"/>
    <x v="1"/>
  </r>
  <r>
    <x v="359"/>
    <s v="Sofa Set"/>
    <x v="1"/>
    <x v="1"/>
    <x v="1"/>
    <x v="1"/>
    <s v="Jaipur"/>
    <n v="42641.4"/>
    <n v="0.05"/>
    <n v="40509.33"/>
    <n v="1"/>
    <n v="40509.33"/>
    <n v="14178.27"/>
    <d v="2025-03-07T00:00:00"/>
    <x v="1"/>
    <x v="1"/>
    <d v="2025-03-12T00:00:00"/>
    <n v="5"/>
    <x v="1"/>
  </r>
  <r>
    <x v="360"/>
    <s v="Laptop"/>
    <x v="2"/>
    <x v="14"/>
    <x v="1"/>
    <x v="0"/>
    <s v="Hyderabad"/>
    <n v="58271.28"/>
    <n v="0.2"/>
    <n v="46617.023999999998"/>
    <n v="3"/>
    <n v="139851.07199999999"/>
    <n v="48947.87"/>
    <d v="2024-06-30T00:00:00"/>
    <x v="6"/>
    <x v="0"/>
    <d v="2024-07-07T00:00:00"/>
    <n v="7"/>
    <x v="0"/>
  </r>
  <r>
    <x v="361"/>
    <s v="Sneakers"/>
    <x v="0"/>
    <x v="6"/>
    <x v="2"/>
    <x v="2"/>
    <s v="Kolkata"/>
    <n v="2071.25"/>
    <n v="0.15"/>
    <n v="1760.5625"/>
    <n v="8"/>
    <n v="14084.5"/>
    <n v="1056.3399999999999"/>
    <d v="2025-07-15T00:00:00"/>
    <x v="2"/>
    <x v="1"/>
    <d v="2025-07-18T00:00:00"/>
    <n v="3"/>
    <x v="0"/>
  </r>
  <r>
    <x v="362"/>
    <s v="Headphones"/>
    <x v="2"/>
    <x v="3"/>
    <x v="0"/>
    <x v="0"/>
    <s v="Bengaluru"/>
    <n v="2000.2"/>
    <n v="0.05"/>
    <n v="1900.19"/>
    <n v="3"/>
    <n v="5700.57"/>
    <n v="1425.14"/>
    <d v="2024-06-04T00:00:00"/>
    <x v="6"/>
    <x v="0"/>
    <d v="2024-06-08T00:00:00"/>
    <n v="4"/>
    <x v="0"/>
  </r>
  <r>
    <x v="363"/>
    <s v="T-Shirt"/>
    <x v="3"/>
    <x v="5"/>
    <x v="2"/>
    <x v="2"/>
    <s v="Patna"/>
    <n v="663.35"/>
    <n v="0.3"/>
    <n v="464.34500000000003"/>
    <n v="3"/>
    <n v="1393.0350000000001"/>
    <n v="208.95"/>
    <d v="2024-07-23T00:00:00"/>
    <x v="2"/>
    <x v="0"/>
    <d v="2024-07-26T00:00:00"/>
    <n v="3"/>
    <x v="0"/>
  </r>
  <r>
    <x v="364"/>
    <s v="Sofa Set"/>
    <x v="1"/>
    <x v="18"/>
    <x v="2"/>
    <x v="0"/>
    <s v="Hyderabad"/>
    <n v="29487.84"/>
    <n v="0.1"/>
    <n v="26539.056"/>
    <n v="4"/>
    <n v="106156.224"/>
    <n v="15923.43"/>
    <d v="2025-02-08T00:00:00"/>
    <x v="7"/>
    <x v="1"/>
    <d v="2025-02-18T00:00:00"/>
    <n v="10"/>
    <x v="1"/>
  </r>
  <r>
    <x v="365"/>
    <s v="Jacket"/>
    <x v="3"/>
    <x v="9"/>
    <x v="1"/>
    <x v="0"/>
    <s v="Hyderabad"/>
    <n v="3378.62"/>
    <n v="0"/>
    <n v="3378.62"/>
    <n v="8"/>
    <n v="27028.959999999999"/>
    <n v="4730.07"/>
    <d v="2025-01-28T00:00:00"/>
    <x v="5"/>
    <x v="1"/>
    <d v="2025-02-02T00:00:00"/>
    <n v="5"/>
    <x v="2"/>
  </r>
  <r>
    <x v="366"/>
    <s v="T-Shirt"/>
    <x v="3"/>
    <x v="5"/>
    <x v="2"/>
    <x v="0"/>
    <s v="Chennai"/>
    <n v="656.01"/>
    <n v="0.05"/>
    <n v="623.20949999999993"/>
    <n v="5"/>
    <n v="3116.0474999999997"/>
    <n v="467.41"/>
    <d v="2024-10-27T00:00:00"/>
    <x v="10"/>
    <x v="0"/>
    <d v="2024-11-02T00:00:00"/>
    <n v="6"/>
    <x v="2"/>
  </r>
  <r>
    <x v="367"/>
    <s v="Washing Machine"/>
    <x v="4"/>
    <x v="8"/>
    <x v="2"/>
    <x v="2"/>
    <s v="Bhubaneswar"/>
    <n v="15042.24"/>
    <n v="0.25"/>
    <n v="11281.68"/>
    <n v="3"/>
    <n v="33845.040000000001"/>
    <n v="5076.76"/>
    <d v="2024-07-31T00:00:00"/>
    <x v="2"/>
    <x v="0"/>
    <d v="2024-08-03T00:00:00"/>
    <n v="3"/>
    <x v="0"/>
  </r>
  <r>
    <x v="368"/>
    <s v="Refrigerator"/>
    <x v="4"/>
    <x v="12"/>
    <x v="0"/>
    <x v="1"/>
    <s v="Lucknow"/>
    <n v="25206.84"/>
    <n v="0.25"/>
    <n v="18905.13"/>
    <n v="3"/>
    <n v="56715.39"/>
    <n v="14178.85"/>
    <d v="2024-11-28T00:00:00"/>
    <x v="9"/>
    <x v="0"/>
    <d v="2024-12-02T00:00:00"/>
    <n v="4"/>
    <x v="2"/>
  </r>
  <r>
    <x v="369"/>
    <s v="Smartphone"/>
    <x v="2"/>
    <x v="20"/>
    <x v="2"/>
    <x v="1"/>
    <s v="Lucknow"/>
    <n v="12883.35"/>
    <n v="0.05"/>
    <n v="12239.182500000001"/>
    <n v="4"/>
    <n v="48956.73"/>
    <n v="7343.51"/>
    <d v="2024-02-06T00:00:00"/>
    <x v="7"/>
    <x v="0"/>
    <d v="2024-02-12T00:00:00"/>
    <n v="6"/>
    <x v="1"/>
  </r>
  <r>
    <x v="370"/>
    <s v="Refrigerator"/>
    <x v="4"/>
    <x v="12"/>
    <x v="0"/>
    <x v="1"/>
    <s v="Lucknow"/>
    <n v="27159.95"/>
    <n v="0.15"/>
    <n v="23085.9575"/>
    <n v="5"/>
    <n v="115429.78750000001"/>
    <n v="28857.45"/>
    <d v="2025-03-31T00:00:00"/>
    <x v="1"/>
    <x v="1"/>
    <d v="2025-04-03T00:00:00"/>
    <n v="3"/>
    <x v="1"/>
  </r>
  <r>
    <x v="371"/>
    <s v="T-Shirt"/>
    <x v="3"/>
    <x v="5"/>
    <x v="2"/>
    <x v="1"/>
    <s v="Delhi"/>
    <n v="684.05"/>
    <n v="0.25"/>
    <n v="513.03749999999991"/>
    <n v="3"/>
    <n v="1539.1124999999997"/>
    <n v="230.87"/>
    <d v="2024-03-21T00:00:00"/>
    <x v="1"/>
    <x v="0"/>
    <d v="2024-03-30T00:00:00"/>
    <n v="9"/>
    <x v="1"/>
  </r>
  <r>
    <x v="372"/>
    <s v="Sofa Set"/>
    <x v="1"/>
    <x v="4"/>
    <x v="1"/>
    <x v="1"/>
    <s v="Jaipur"/>
    <n v="44585.33"/>
    <n v="0.15"/>
    <n v="37897.530500000001"/>
    <n v="1"/>
    <n v="37897.530500000001"/>
    <n v="13264.14"/>
    <d v="2024-09-16T00:00:00"/>
    <x v="4"/>
    <x v="0"/>
    <d v="2024-09-21T00:00:00"/>
    <n v="5"/>
    <x v="0"/>
  </r>
  <r>
    <x v="373"/>
    <s v="Washing Machine"/>
    <x v="4"/>
    <x v="8"/>
    <x v="2"/>
    <x v="1"/>
    <s v="Lucknow"/>
    <n v="15711.9"/>
    <n v="0.15"/>
    <n v="13355.115"/>
    <n v="4"/>
    <n v="53420.46"/>
    <n v="8013.07"/>
    <d v="2024-07-03T00:00:00"/>
    <x v="2"/>
    <x v="0"/>
    <d v="2024-07-13T00:00:00"/>
    <n v="10"/>
    <x v="0"/>
  </r>
  <r>
    <x v="374"/>
    <s v="Sneakers"/>
    <x v="0"/>
    <x v="11"/>
    <x v="1"/>
    <x v="1"/>
    <s v="Jaipur"/>
    <n v="3096.11"/>
    <n v="0.05"/>
    <n v="2941.3045000000002"/>
    <n v="4"/>
    <n v="11765.218000000001"/>
    <n v="4117.83"/>
    <d v="2024-12-12T00:00:00"/>
    <x v="8"/>
    <x v="0"/>
    <d v="2024-12-17T00:00:00"/>
    <n v="5"/>
    <x v="2"/>
  </r>
  <r>
    <x v="375"/>
    <s v="Refrigerator"/>
    <x v="4"/>
    <x v="10"/>
    <x v="1"/>
    <x v="1"/>
    <s v="Jaipur"/>
    <n v="31196.42"/>
    <n v="0.3"/>
    <n v="21837.493999999999"/>
    <n v="4"/>
    <n v="87349.975999999995"/>
    <n v="30572.49"/>
    <d v="2025-03-04T00:00:00"/>
    <x v="1"/>
    <x v="1"/>
    <d v="2025-03-10T00:00:00"/>
    <n v="6"/>
    <x v="1"/>
  </r>
  <r>
    <x v="376"/>
    <s v="Sneakers"/>
    <x v="0"/>
    <x v="0"/>
    <x v="0"/>
    <x v="0"/>
    <s v="Chennai"/>
    <n v="2414.25"/>
    <n v="0.1"/>
    <n v="2172.8249999999998"/>
    <n v="5"/>
    <n v="10864.125"/>
    <n v="2716.03"/>
    <d v="2024-04-22T00:00:00"/>
    <x v="11"/>
    <x v="0"/>
    <d v="2024-04-24T00:00:00"/>
    <n v="2"/>
    <x v="1"/>
  </r>
  <r>
    <x v="377"/>
    <s v="Jeans"/>
    <x v="3"/>
    <x v="13"/>
    <x v="1"/>
    <x v="0"/>
    <s v="Chennai"/>
    <n v="1710.75"/>
    <n v="0.15"/>
    <n v="1454.1375"/>
    <n v="1"/>
    <n v="1454.1375"/>
    <n v="508.95"/>
    <d v="2025-07-20T00:00:00"/>
    <x v="2"/>
    <x v="1"/>
    <d v="2025-07-30T00:00:00"/>
    <n v="10"/>
    <x v="0"/>
  </r>
  <r>
    <x v="378"/>
    <s v="Jacket"/>
    <x v="3"/>
    <x v="15"/>
    <x v="1"/>
    <x v="0"/>
    <s v="Chennai"/>
    <n v="3420.79"/>
    <n v="0.25"/>
    <n v="2565.5925000000002"/>
    <n v="3"/>
    <n v="7696.7775000000001"/>
    <n v="2693.87"/>
    <d v="2025-04-10T00:00:00"/>
    <x v="11"/>
    <x v="1"/>
    <d v="2025-04-17T00:00:00"/>
    <n v="7"/>
    <x v="1"/>
  </r>
  <r>
    <x v="379"/>
    <s v="Formal Shoes"/>
    <x v="0"/>
    <x v="0"/>
    <x v="0"/>
    <x v="2"/>
    <s v="Bhubaneswar"/>
    <n v="3248.61"/>
    <n v="0.15"/>
    <n v="2761.3184999999999"/>
    <n v="4"/>
    <n v="11045.273999999999"/>
    <n v="2761.32"/>
    <d v="2024-09-19T00:00:00"/>
    <x v="4"/>
    <x v="0"/>
    <d v="2024-09-25T00:00:00"/>
    <n v="6"/>
    <x v="0"/>
  </r>
  <r>
    <x v="380"/>
    <s v="Dining Table"/>
    <x v="1"/>
    <x v="7"/>
    <x v="0"/>
    <x v="3"/>
    <s v="Ahmedabad"/>
    <n v="26010.89"/>
    <n v="0.2"/>
    <n v="20808.712"/>
    <n v="1"/>
    <n v="20808.712"/>
    <n v="5202.18"/>
    <d v="2025-06-09T00:00:00"/>
    <x v="6"/>
    <x v="1"/>
    <d v="2025-06-13T00:00:00"/>
    <n v="4"/>
    <x v="0"/>
  </r>
  <r>
    <x v="381"/>
    <s v="Smartphone"/>
    <x v="2"/>
    <x v="2"/>
    <x v="1"/>
    <x v="2"/>
    <s v="Bhubaneswar"/>
    <n v="16566.79"/>
    <n v="0.1"/>
    <n v="14910.111000000001"/>
    <n v="5"/>
    <n v="74550.555000000008"/>
    <n v="26092.7"/>
    <d v="2024-12-04T00:00:00"/>
    <x v="8"/>
    <x v="0"/>
    <d v="2024-12-09T00:00:00"/>
    <n v="5"/>
    <x v="2"/>
  </r>
  <r>
    <x v="382"/>
    <s v="Coffee Table"/>
    <x v="1"/>
    <x v="7"/>
    <x v="0"/>
    <x v="0"/>
    <s v="Chennai"/>
    <n v="7677.76"/>
    <n v="0.3"/>
    <n v="5374.4319999999998"/>
    <n v="2"/>
    <n v="10748.864"/>
    <n v="2687.22"/>
    <d v="2024-10-06T00:00:00"/>
    <x v="10"/>
    <x v="0"/>
    <d v="2024-10-13T00:00:00"/>
    <n v="7"/>
    <x v="2"/>
  </r>
  <r>
    <x v="383"/>
    <s v="Jeans"/>
    <x v="3"/>
    <x v="13"/>
    <x v="1"/>
    <x v="2"/>
    <s v="Bhubaneswar"/>
    <n v="1661.9"/>
    <n v="0.3"/>
    <n v="1163.33"/>
    <n v="4"/>
    <n v="4653.32"/>
    <n v="1628.66"/>
    <d v="2024-08-03T00:00:00"/>
    <x v="0"/>
    <x v="0"/>
    <d v="2024-08-13T00:00:00"/>
    <n v="10"/>
    <x v="0"/>
  </r>
  <r>
    <x v="384"/>
    <s v="Smartphone"/>
    <x v="2"/>
    <x v="17"/>
    <x v="0"/>
    <x v="0"/>
    <s v="Chennai"/>
    <n v="14742.02"/>
    <n v="0"/>
    <n v="14742.02"/>
    <n v="4"/>
    <n v="58968.08"/>
    <n v="14742.02"/>
    <d v="2025-03-14T00:00:00"/>
    <x v="1"/>
    <x v="1"/>
    <d v="2025-03-24T00:00:00"/>
    <n v="10"/>
    <x v="1"/>
  </r>
  <r>
    <x v="385"/>
    <s v="Refrigerator"/>
    <x v="4"/>
    <x v="2"/>
    <x v="1"/>
    <x v="0"/>
    <s v="Hyderabad"/>
    <n v="29234.79"/>
    <n v="0.1"/>
    <n v="26311.311000000002"/>
    <n v="5"/>
    <n v="131556.55499999999"/>
    <n v="46044.79"/>
    <d v="2024-05-26T00:00:00"/>
    <x v="3"/>
    <x v="0"/>
    <d v="2024-06-05T00:00:00"/>
    <n v="10"/>
    <x v="1"/>
  </r>
  <r>
    <x v="386"/>
    <s v="Jacket"/>
    <x v="3"/>
    <x v="5"/>
    <x v="2"/>
    <x v="0"/>
    <s v="Chennai"/>
    <n v="2440.06"/>
    <n v="0.15"/>
    <n v="2074.0509999999999"/>
    <n v="4"/>
    <n v="8296.2039999999997"/>
    <n v="1244.43"/>
    <d v="2024-07-16T00:00:00"/>
    <x v="2"/>
    <x v="0"/>
    <d v="2024-07-23T00:00:00"/>
    <n v="7"/>
    <x v="0"/>
  </r>
  <r>
    <x v="387"/>
    <s v="Sofa Set"/>
    <x v="1"/>
    <x v="7"/>
    <x v="0"/>
    <x v="2"/>
    <s v="Patna"/>
    <n v="34527.980000000003"/>
    <n v="0.15"/>
    <n v="29348.782999999999"/>
    <n v="5"/>
    <n v="146743.91500000001"/>
    <n v="36685.980000000003"/>
    <d v="2024-07-26T00:00:00"/>
    <x v="2"/>
    <x v="0"/>
    <d v="2024-08-03T00:00:00"/>
    <n v="8"/>
    <x v="0"/>
  </r>
  <r>
    <x v="388"/>
    <s v="Dining Table"/>
    <x v="1"/>
    <x v="4"/>
    <x v="1"/>
    <x v="2"/>
    <s v="Bhubaneswar"/>
    <n v="28417.51"/>
    <n v="0.25"/>
    <n v="21313.1325"/>
    <n v="4"/>
    <n v="85252.53"/>
    <n v="29838.39"/>
    <d v="2024-11-16T00:00:00"/>
    <x v="9"/>
    <x v="0"/>
    <d v="2024-11-26T00:00:00"/>
    <n v="10"/>
    <x v="2"/>
  </r>
  <r>
    <x v="389"/>
    <s v="Microwave"/>
    <x v="4"/>
    <x v="10"/>
    <x v="1"/>
    <x v="1"/>
    <s v="Jaipur"/>
    <n v="10003.879999999999"/>
    <n v="0.2"/>
    <n v="8003.1039999999994"/>
    <n v="4"/>
    <n v="32012.415999999997"/>
    <n v="11204.35"/>
    <d v="2024-01-30T00:00:00"/>
    <x v="5"/>
    <x v="0"/>
    <d v="2024-02-03T00:00:00"/>
    <n v="4"/>
    <x v="2"/>
  </r>
  <r>
    <x v="390"/>
    <s v="Laptop"/>
    <x v="2"/>
    <x v="14"/>
    <x v="1"/>
    <x v="2"/>
    <s v="Kolkata"/>
    <n v="55751.03"/>
    <n v="0.1"/>
    <n v="50175.927000000003"/>
    <n v="1"/>
    <n v="50175.927000000003"/>
    <n v="17561.580000000002"/>
    <d v="2024-04-03T00:00:00"/>
    <x v="11"/>
    <x v="0"/>
    <d v="2024-04-07T00:00:00"/>
    <n v="4"/>
    <x v="1"/>
  </r>
  <r>
    <x v="391"/>
    <s v="Formal Shoes"/>
    <x v="0"/>
    <x v="11"/>
    <x v="1"/>
    <x v="3"/>
    <s v="Pune"/>
    <n v="4569.83"/>
    <n v="0.3"/>
    <n v="3198.8809999999999"/>
    <n v="5"/>
    <n v="15994.404999999999"/>
    <n v="5598.04"/>
    <d v="2025-06-02T00:00:00"/>
    <x v="6"/>
    <x v="1"/>
    <d v="2025-06-08T00:00:00"/>
    <n v="6"/>
    <x v="0"/>
  </r>
  <r>
    <x v="392"/>
    <s v="Refrigerator"/>
    <x v="4"/>
    <x v="8"/>
    <x v="2"/>
    <x v="0"/>
    <s v="Bengaluru"/>
    <n v="20612.810000000001"/>
    <n v="0.15"/>
    <n v="17520.888500000001"/>
    <n v="1"/>
    <n v="17520.888500000001"/>
    <n v="2628.13"/>
    <d v="2024-02-20T00:00:00"/>
    <x v="7"/>
    <x v="0"/>
    <d v="2024-02-24T00:00:00"/>
    <n v="4"/>
    <x v="1"/>
  </r>
  <r>
    <x v="393"/>
    <s v="Jacket"/>
    <x v="3"/>
    <x v="13"/>
    <x v="1"/>
    <x v="3"/>
    <s v="Pune"/>
    <n v="4024.85"/>
    <n v="0.25"/>
    <n v="3018.6374999999998"/>
    <n v="1"/>
    <n v="3018.6374999999998"/>
    <n v="1056.52"/>
    <d v="2025-02-12T00:00:00"/>
    <x v="7"/>
    <x v="1"/>
    <d v="2025-02-20T00:00:00"/>
    <n v="8"/>
    <x v="1"/>
  </r>
  <r>
    <x v="394"/>
    <s v="Refrigerator"/>
    <x v="4"/>
    <x v="12"/>
    <x v="0"/>
    <x v="0"/>
    <s v="Hyderabad"/>
    <n v="24958.41"/>
    <n v="0"/>
    <n v="24958.41"/>
    <n v="5"/>
    <n v="124792.05"/>
    <n v="31198.01"/>
    <d v="2024-11-22T00:00:00"/>
    <x v="9"/>
    <x v="0"/>
    <d v="2024-12-01T00:00:00"/>
    <n v="9"/>
    <x v="2"/>
  </r>
  <r>
    <x v="395"/>
    <s v="Dining Table"/>
    <x v="1"/>
    <x v="7"/>
    <x v="0"/>
    <x v="3"/>
    <s v="Pune"/>
    <n v="28298.86"/>
    <n v="0.1"/>
    <n v="25468.973999999998"/>
    <n v="5"/>
    <n v="127344.87"/>
    <n v="31836.22"/>
    <d v="2024-07-29T00:00:00"/>
    <x v="2"/>
    <x v="0"/>
    <d v="2024-08-02T00:00:00"/>
    <n v="4"/>
    <x v="0"/>
  </r>
  <r>
    <x v="396"/>
    <s v="Bed"/>
    <x v="1"/>
    <x v="7"/>
    <x v="0"/>
    <x v="2"/>
    <s v="Kolkata"/>
    <n v="27594.57"/>
    <n v="0.2"/>
    <n v="22075.655999999999"/>
    <n v="1"/>
    <n v="22075.655999999999"/>
    <n v="5518.91"/>
    <d v="2025-01-25T00:00:00"/>
    <x v="5"/>
    <x v="1"/>
    <d v="2025-01-29T00:00:00"/>
    <n v="4"/>
    <x v="2"/>
  </r>
  <r>
    <x v="397"/>
    <s v="Laptop"/>
    <x v="2"/>
    <x v="17"/>
    <x v="0"/>
    <x v="3"/>
    <s v="Ahmedabad"/>
    <n v="51839.08"/>
    <n v="0"/>
    <n v="51839.08"/>
    <n v="1"/>
    <n v="51839.08"/>
    <n v="12959.77"/>
    <d v="2024-05-01T00:00:00"/>
    <x v="3"/>
    <x v="0"/>
    <d v="2024-05-04T00:00:00"/>
    <n v="3"/>
    <x v="1"/>
  </r>
  <r>
    <x v="398"/>
    <s v="Bed"/>
    <x v="1"/>
    <x v="18"/>
    <x v="2"/>
    <x v="0"/>
    <s v="Hyderabad"/>
    <n v="25930.92"/>
    <n v="0"/>
    <n v="25930.92"/>
    <n v="2"/>
    <n v="51861.84"/>
    <n v="7779.28"/>
    <d v="2024-03-04T00:00:00"/>
    <x v="1"/>
    <x v="0"/>
    <d v="2024-03-11T00:00:00"/>
    <n v="7"/>
    <x v="1"/>
  </r>
  <r>
    <x v="399"/>
    <s v="Coffee Table"/>
    <x v="1"/>
    <x v="18"/>
    <x v="2"/>
    <x v="1"/>
    <s v="Lucknow"/>
    <n v="7254.33"/>
    <n v="0.1"/>
    <n v="6528.8969999999999"/>
    <n v="2"/>
    <n v="13057.794"/>
    <n v="1958.67"/>
    <d v="2024-12-14T00:00:00"/>
    <x v="8"/>
    <x v="0"/>
    <d v="2024-12-16T00:00:00"/>
    <n v="2"/>
    <x v="2"/>
  </r>
  <r>
    <x v="400"/>
    <s v="Laptop"/>
    <x v="2"/>
    <x v="14"/>
    <x v="1"/>
    <x v="2"/>
    <s v="Bhubaneswar"/>
    <n v="58300.52"/>
    <n v="0.2"/>
    <n v="46640.415999999997"/>
    <n v="5"/>
    <n v="233202.08"/>
    <n v="81620.73"/>
    <d v="2024-06-04T00:00:00"/>
    <x v="6"/>
    <x v="0"/>
    <d v="2024-06-14T00:00:00"/>
    <n v="10"/>
    <x v="0"/>
  </r>
  <r>
    <x v="401"/>
    <s v="T-Shirt"/>
    <x v="3"/>
    <x v="13"/>
    <x v="1"/>
    <x v="0"/>
    <s v="Hyderabad"/>
    <n v="903.04"/>
    <n v="0.05"/>
    <n v="857.88799999999992"/>
    <n v="2"/>
    <n v="1715.7759999999998"/>
    <n v="600.52"/>
    <d v="2025-03-31T00:00:00"/>
    <x v="1"/>
    <x v="1"/>
    <d v="2025-04-04T00:00:00"/>
    <n v="4"/>
    <x v="1"/>
  </r>
  <r>
    <x v="402"/>
    <s v="Jacket"/>
    <x v="3"/>
    <x v="5"/>
    <x v="2"/>
    <x v="0"/>
    <s v="Bengaluru"/>
    <n v="2571.54"/>
    <n v="0.25"/>
    <n v="1928.655"/>
    <n v="9"/>
    <n v="17357.895"/>
    <n v="1446.49"/>
    <d v="2024-01-05T00:00:00"/>
    <x v="5"/>
    <x v="0"/>
    <d v="2024-01-13T00:00:00"/>
    <n v="8"/>
    <x v="2"/>
  </r>
  <r>
    <x v="403"/>
    <s v="Refrigerator"/>
    <x v="4"/>
    <x v="12"/>
    <x v="0"/>
    <x v="0"/>
    <s v="Bengaluru"/>
    <n v="25617.46"/>
    <n v="0.05"/>
    <n v="24336.587"/>
    <n v="5"/>
    <n v="121682.935"/>
    <n v="30420.73"/>
    <d v="2025-01-09T00:00:00"/>
    <x v="5"/>
    <x v="1"/>
    <d v="2025-01-12T00:00:00"/>
    <n v="3"/>
    <x v="2"/>
  </r>
  <r>
    <x v="404"/>
    <s v="Dining Table"/>
    <x v="1"/>
    <x v="4"/>
    <x v="1"/>
    <x v="1"/>
    <s v="Jaipur"/>
    <n v="31989.91"/>
    <n v="0.2"/>
    <n v="25591.928"/>
    <n v="5"/>
    <n v="127959.64"/>
    <n v="44785.87"/>
    <d v="2024-07-11T00:00:00"/>
    <x v="2"/>
    <x v="0"/>
    <d v="2024-07-18T00:00:00"/>
    <n v="7"/>
    <x v="0"/>
  </r>
  <r>
    <x v="405"/>
    <s v="Washing Machine"/>
    <x v="4"/>
    <x v="12"/>
    <x v="0"/>
    <x v="2"/>
    <s v="Kolkata"/>
    <n v="16620.009999999998"/>
    <n v="0.25"/>
    <n v="12465.0075"/>
    <n v="5"/>
    <n v="62325.037499999999"/>
    <n v="15581.26"/>
    <d v="2024-03-06T00:00:00"/>
    <x v="1"/>
    <x v="0"/>
    <d v="2024-03-13T00:00:00"/>
    <n v="7"/>
    <x v="1"/>
  </r>
  <r>
    <x v="406"/>
    <s v="T-Shirt"/>
    <x v="3"/>
    <x v="16"/>
    <x v="2"/>
    <x v="1"/>
    <s v="Jaipur"/>
    <n v="683.09"/>
    <n v="0.3"/>
    <n v="478.16300000000001"/>
    <n v="2"/>
    <n v="956.32600000000002"/>
    <n v="143.44999999999999"/>
    <d v="2025-04-11T00:00:00"/>
    <x v="11"/>
    <x v="1"/>
    <d v="2025-04-13T00:00:00"/>
    <n v="2"/>
    <x v="1"/>
  </r>
  <r>
    <x v="407"/>
    <s v="Microwave"/>
    <x v="4"/>
    <x v="12"/>
    <x v="0"/>
    <x v="0"/>
    <s v="Hyderabad"/>
    <n v="7707.83"/>
    <n v="0"/>
    <n v="7707.83"/>
    <n v="5"/>
    <n v="38539.15"/>
    <n v="9634.7900000000009"/>
    <d v="2025-01-21T00:00:00"/>
    <x v="5"/>
    <x v="1"/>
    <d v="2025-01-23T00:00:00"/>
    <n v="2"/>
    <x v="2"/>
  </r>
  <r>
    <x v="408"/>
    <s v="Washing Machine"/>
    <x v="4"/>
    <x v="12"/>
    <x v="0"/>
    <x v="3"/>
    <s v="Mumbai"/>
    <n v="19580.48"/>
    <n v="0.25"/>
    <n v="14685.36"/>
    <n v="3"/>
    <n v="44056.08"/>
    <n v="11014.02"/>
    <d v="2025-07-02T00:00:00"/>
    <x v="2"/>
    <x v="1"/>
    <d v="2025-07-10T00:00:00"/>
    <n v="8"/>
    <x v="0"/>
  </r>
  <r>
    <x v="409"/>
    <s v="Sofa Set"/>
    <x v="1"/>
    <x v="7"/>
    <x v="0"/>
    <x v="0"/>
    <s v="Hyderabad"/>
    <n v="33462.239999999998"/>
    <n v="0.2"/>
    <n v="26769.792000000001"/>
    <n v="3"/>
    <n v="80309.376000000004"/>
    <n v="20077.349999999999"/>
    <d v="2024-09-02T00:00:00"/>
    <x v="4"/>
    <x v="0"/>
    <d v="2024-09-09T00:00:00"/>
    <n v="7"/>
    <x v="0"/>
  </r>
  <r>
    <x v="410"/>
    <s v="Microwave"/>
    <x v="4"/>
    <x v="10"/>
    <x v="1"/>
    <x v="0"/>
    <s v="Hyderabad"/>
    <n v="9619.52"/>
    <n v="0.25"/>
    <n v="7214.64"/>
    <n v="3"/>
    <n v="21643.920000000002"/>
    <n v="7575.37"/>
    <d v="2024-11-20T00:00:00"/>
    <x v="9"/>
    <x v="0"/>
    <d v="2024-11-23T00:00:00"/>
    <n v="3"/>
    <x v="2"/>
  </r>
  <r>
    <x v="411"/>
    <s v="Headphones"/>
    <x v="2"/>
    <x v="20"/>
    <x v="2"/>
    <x v="0"/>
    <s v="Chennai"/>
    <n v="1673.01"/>
    <n v="0.25"/>
    <n v="1254.7574999999999"/>
    <n v="5"/>
    <n v="6273.7874999999995"/>
    <n v="941.07"/>
    <d v="2025-03-06T00:00:00"/>
    <x v="1"/>
    <x v="1"/>
    <d v="2025-03-08T00:00:00"/>
    <n v="2"/>
    <x v="1"/>
  </r>
  <r>
    <x v="412"/>
    <s v="Jacket"/>
    <x v="3"/>
    <x v="16"/>
    <x v="2"/>
    <x v="2"/>
    <s v="Patna"/>
    <n v="2403.9"/>
    <n v="0"/>
    <n v="2403.9"/>
    <n v="4"/>
    <n v="9615.6"/>
    <n v="1442.34"/>
    <d v="2025-01-11T00:00:00"/>
    <x v="5"/>
    <x v="1"/>
    <d v="2025-01-14T00:00:00"/>
    <n v="3"/>
    <x v="2"/>
  </r>
  <r>
    <x v="413"/>
    <s v="Sofa Set"/>
    <x v="1"/>
    <x v="4"/>
    <x v="1"/>
    <x v="2"/>
    <s v="Patna"/>
    <n v="39872.9"/>
    <n v="0.15"/>
    <n v="33891.964999999997"/>
    <n v="3"/>
    <n v="101675.89499999999"/>
    <n v="35586.559999999998"/>
    <d v="2024-01-07T00:00:00"/>
    <x v="5"/>
    <x v="0"/>
    <d v="2024-01-15T00:00:00"/>
    <n v="8"/>
    <x v="2"/>
  </r>
  <r>
    <x v="414"/>
    <s v="Coffee Table"/>
    <x v="1"/>
    <x v="1"/>
    <x v="1"/>
    <x v="3"/>
    <s v="Pune"/>
    <n v="10507.04"/>
    <n v="0.05"/>
    <n v="9981.6880000000001"/>
    <n v="5"/>
    <n v="49908.44"/>
    <n v="17467.95"/>
    <d v="2024-11-14T00:00:00"/>
    <x v="9"/>
    <x v="0"/>
    <d v="2024-11-19T00:00:00"/>
    <n v="5"/>
    <x v="2"/>
  </r>
  <r>
    <x v="415"/>
    <s v="Microwave"/>
    <x v="4"/>
    <x v="10"/>
    <x v="1"/>
    <x v="2"/>
    <s v="Patna"/>
    <n v="8816.58"/>
    <n v="0.1"/>
    <n v="7934.9219999999996"/>
    <n v="5"/>
    <n v="39674.61"/>
    <n v="13886.11"/>
    <d v="2025-05-19T00:00:00"/>
    <x v="3"/>
    <x v="1"/>
    <d v="2025-05-23T00:00:00"/>
    <n v="4"/>
    <x v="1"/>
  </r>
  <r>
    <x v="416"/>
    <s v="Sneakers"/>
    <x v="0"/>
    <x v="0"/>
    <x v="0"/>
    <x v="0"/>
    <s v="Hyderabad"/>
    <n v="2391.31"/>
    <n v="0.15"/>
    <n v="2032.6134999999999"/>
    <n v="5"/>
    <n v="10163.067499999999"/>
    <n v="2540.77"/>
    <d v="2025-01-25T00:00:00"/>
    <x v="5"/>
    <x v="1"/>
    <d v="2025-02-04T00:00:00"/>
    <n v="10"/>
    <x v="2"/>
  </r>
  <r>
    <x v="417"/>
    <s v="Coffee Table"/>
    <x v="1"/>
    <x v="4"/>
    <x v="1"/>
    <x v="1"/>
    <s v="Lucknow"/>
    <n v="10143.44"/>
    <n v="0"/>
    <n v="10143.44"/>
    <n v="5"/>
    <n v="50717.200000000004"/>
    <n v="17751.02"/>
    <d v="2024-06-21T00:00:00"/>
    <x v="6"/>
    <x v="0"/>
    <d v="2024-07-01T00:00:00"/>
    <n v="10"/>
    <x v="0"/>
  </r>
  <r>
    <x v="418"/>
    <s v="Coffee Table"/>
    <x v="1"/>
    <x v="4"/>
    <x v="1"/>
    <x v="0"/>
    <s v="Chennai"/>
    <n v="9754.89"/>
    <n v="0.2"/>
    <n v="7803.9120000000003"/>
    <n v="2"/>
    <n v="15607.824000000001"/>
    <n v="5462.74"/>
    <d v="2024-11-05T00:00:00"/>
    <x v="9"/>
    <x v="0"/>
    <d v="2024-11-11T00:00:00"/>
    <n v="6"/>
    <x v="2"/>
  </r>
  <r>
    <x v="419"/>
    <s v="Microwave"/>
    <x v="4"/>
    <x v="8"/>
    <x v="2"/>
    <x v="2"/>
    <s v="Kolkata"/>
    <n v="6352.89"/>
    <n v="0.05"/>
    <n v="6035.2455"/>
    <n v="2"/>
    <n v="12070.491"/>
    <n v="1810.57"/>
    <d v="2024-07-01T00:00:00"/>
    <x v="2"/>
    <x v="0"/>
    <d v="2024-07-07T00:00:00"/>
    <n v="6"/>
    <x v="0"/>
  </r>
  <r>
    <x v="420"/>
    <s v="Bed"/>
    <x v="1"/>
    <x v="4"/>
    <x v="1"/>
    <x v="1"/>
    <s v="Lucknow"/>
    <n v="38436.39"/>
    <n v="0.25"/>
    <n v="28827.2925"/>
    <n v="5"/>
    <n v="144136.46249999999"/>
    <n v="50447.76"/>
    <d v="2025-03-01T00:00:00"/>
    <x v="1"/>
    <x v="1"/>
    <d v="2025-03-08T00:00:00"/>
    <n v="7"/>
    <x v="1"/>
  </r>
  <r>
    <x v="421"/>
    <s v="Headphones"/>
    <x v="2"/>
    <x v="20"/>
    <x v="2"/>
    <x v="1"/>
    <s v="Lucknow"/>
    <n v="1782.96"/>
    <n v="0.2"/>
    <n v="1426.3679999999999"/>
    <n v="4"/>
    <n v="5705.4719999999998"/>
    <n v="855.82"/>
    <d v="2025-02-20T00:00:00"/>
    <x v="7"/>
    <x v="1"/>
    <d v="2025-02-25T00:00:00"/>
    <n v="5"/>
    <x v="1"/>
  </r>
  <r>
    <x v="422"/>
    <s v="Sneakers"/>
    <x v="0"/>
    <x v="0"/>
    <x v="0"/>
    <x v="1"/>
    <s v="Lucknow"/>
    <n v="2588.69"/>
    <n v="0.1"/>
    <n v="2329.8209999999999"/>
    <n v="3"/>
    <n v="6989.4629999999997"/>
    <n v="1747.37"/>
    <d v="2024-01-22T00:00:00"/>
    <x v="5"/>
    <x v="0"/>
    <d v="2024-01-26T00:00:00"/>
    <n v="4"/>
    <x v="2"/>
  </r>
  <r>
    <x v="423"/>
    <s v="Smartphone"/>
    <x v="2"/>
    <x v="14"/>
    <x v="1"/>
    <x v="2"/>
    <s v="Patna"/>
    <n v="17766.900000000001"/>
    <n v="0"/>
    <n v="17766.900000000001"/>
    <n v="1"/>
    <n v="17766.900000000001"/>
    <n v="6218.41"/>
    <d v="2024-11-10T00:00:00"/>
    <x v="9"/>
    <x v="0"/>
    <d v="2024-11-18T00:00:00"/>
    <n v="8"/>
    <x v="2"/>
  </r>
  <r>
    <x v="424"/>
    <s v="Coffee Table"/>
    <x v="1"/>
    <x v="4"/>
    <x v="1"/>
    <x v="0"/>
    <s v="Bengaluru"/>
    <n v="9465.81"/>
    <n v="0"/>
    <n v="9465.81"/>
    <n v="5"/>
    <n v="47329.049999999996"/>
    <n v="16565.169999999998"/>
    <d v="2024-01-28T00:00:00"/>
    <x v="5"/>
    <x v="0"/>
    <d v="2024-02-05T00:00:00"/>
    <n v="8"/>
    <x v="2"/>
  </r>
  <r>
    <x v="425"/>
    <s v="Jeans"/>
    <x v="3"/>
    <x v="16"/>
    <x v="2"/>
    <x v="0"/>
    <s v="Chennai"/>
    <n v="1221.76"/>
    <n v="0.15"/>
    <n v="1038.4960000000001"/>
    <n v="4"/>
    <n v="4153.9840000000004"/>
    <n v="623.1"/>
    <d v="2024-05-11T00:00:00"/>
    <x v="3"/>
    <x v="0"/>
    <d v="2024-05-13T00:00:00"/>
    <n v="2"/>
    <x v="1"/>
  </r>
  <r>
    <x v="426"/>
    <s v="Bed"/>
    <x v="1"/>
    <x v="1"/>
    <x v="1"/>
    <x v="2"/>
    <s v="Kolkata"/>
    <n v="32940.31"/>
    <n v="0.25"/>
    <n v="24705.232499999998"/>
    <n v="1"/>
    <n v="24705.232499999998"/>
    <n v="8646.83"/>
    <d v="2024-10-16T00:00:00"/>
    <x v="10"/>
    <x v="0"/>
    <d v="2024-10-26T00:00:00"/>
    <n v="10"/>
    <x v="2"/>
  </r>
  <r>
    <x v="427"/>
    <s v="Sofa Set"/>
    <x v="1"/>
    <x v="18"/>
    <x v="2"/>
    <x v="3"/>
    <s v="Ahmedabad"/>
    <n v="30598.02"/>
    <n v="0.05"/>
    <n v="29068.118999999999"/>
    <n v="1"/>
    <n v="29068.118999999999"/>
    <n v="4360.22"/>
    <d v="2024-01-13T00:00:00"/>
    <x v="5"/>
    <x v="0"/>
    <d v="2024-01-17T00:00:00"/>
    <n v="4"/>
    <x v="2"/>
  </r>
  <r>
    <x v="428"/>
    <s v="Laptop"/>
    <x v="2"/>
    <x v="2"/>
    <x v="1"/>
    <x v="3"/>
    <s v="Ahmedabad"/>
    <n v="63177.04"/>
    <n v="0.1"/>
    <n v="56859.336000000003"/>
    <n v="1"/>
    <n v="56859.336000000003"/>
    <n v="19900.77"/>
    <d v="2024-03-21T00:00:00"/>
    <x v="1"/>
    <x v="0"/>
    <d v="2024-03-28T00:00:00"/>
    <n v="7"/>
    <x v="1"/>
  </r>
  <r>
    <x v="429"/>
    <s v="Laptop"/>
    <x v="2"/>
    <x v="3"/>
    <x v="0"/>
    <x v="1"/>
    <s v="Jaipur"/>
    <n v="51881.59"/>
    <n v="0"/>
    <n v="51881.59"/>
    <n v="1"/>
    <n v="51881.59"/>
    <n v="12970.4"/>
    <d v="2025-03-17T00:00:00"/>
    <x v="1"/>
    <x v="1"/>
    <d v="2025-03-24T00:00:00"/>
    <n v="7"/>
    <x v="1"/>
  </r>
  <r>
    <x v="430"/>
    <s v="Washing Machine"/>
    <x v="4"/>
    <x v="10"/>
    <x v="1"/>
    <x v="0"/>
    <s v="Chennai"/>
    <n v="20431.71"/>
    <n v="0.05"/>
    <n v="19410.124500000002"/>
    <n v="3"/>
    <n v="58230.373500000002"/>
    <n v="20380.63"/>
    <d v="2024-11-13T00:00:00"/>
    <x v="9"/>
    <x v="0"/>
    <d v="2024-11-18T00:00:00"/>
    <n v="5"/>
    <x v="2"/>
  </r>
  <r>
    <x v="431"/>
    <s v="Formal Shoes"/>
    <x v="0"/>
    <x v="11"/>
    <x v="1"/>
    <x v="2"/>
    <s v="Kolkata"/>
    <n v="3914.36"/>
    <n v="0.05"/>
    <n v="3718.6419999999998"/>
    <n v="1"/>
    <n v="3718.6419999999998"/>
    <n v="1301.52"/>
    <d v="2025-01-27T00:00:00"/>
    <x v="5"/>
    <x v="1"/>
    <d v="2025-01-29T00:00:00"/>
    <n v="2"/>
    <x v="2"/>
  </r>
  <r>
    <x v="432"/>
    <s v="Sneakers"/>
    <x v="0"/>
    <x v="6"/>
    <x v="2"/>
    <x v="1"/>
    <s v="Lucknow"/>
    <n v="2315"/>
    <n v="0"/>
    <n v="2315"/>
    <n v="1"/>
    <n v="2315"/>
    <n v="347.25"/>
    <d v="2024-12-10T00:00:00"/>
    <x v="8"/>
    <x v="0"/>
    <d v="2024-12-14T00:00:00"/>
    <n v="4"/>
    <x v="2"/>
  </r>
  <r>
    <x v="433"/>
    <s v="Microwave"/>
    <x v="4"/>
    <x v="10"/>
    <x v="1"/>
    <x v="0"/>
    <s v="Hyderabad"/>
    <n v="9150.51"/>
    <n v="0.15"/>
    <n v="7777.9335000000001"/>
    <n v="2"/>
    <n v="15555.867"/>
    <n v="5444.55"/>
    <d v="2025-06-04T00:00:00"/>
    <x v="6"/>
    <x v="1"/>
    <d v="2025-06-14T00:00:00"/>
    <n v="10"/>
    <x v="0"/>
  </r>
  <r>
    <x v="434"/>
    <s v="Coffee Table"/>
    <x v="1"/>
    <x v="1"/>
    <x v="1"/>
    <x v="2"/>
    <s v="Patna"/>
    <n v="8924.23"/>
    <n v="0.15"/>
    <n v="7585.5954999999994"/>
    <n v="5"/>
    <n v="37927.977499999994"/>
    <n v="13274.79"/>
    <d v="2024-04-28T00:00:00"/>
    <x v="11"/>
    <x v="0"/>
    <d v="2024-05-03T00:00:00"/>
    <n v="5"/>
    <x v="1"/>
  </r>
  <r>
    <x v="435"/>
    <s v="Jacket"/>
    <x v="3"/>
    <x v="5"/>
    <x v="2"/>
    <x v="2"/>
    <s v="Patna"/>
    <n v="2408.5"/>
    <n v="0"/>
    <n v="2408.5"/>
    <n v="1"/>
    <n v="2408.5"/>
    <n v="361.27"/>
    <d v="2024-08-30T00:00:00"/>
    <x v="0"/>
    <x v="0"/>
    <d v="2024-09-08T00:00:00"/>
    <n v="9"/>
    <x v="0"/>
  </r>
  <r>
    <x v="436"/>
    <s v="Refrigerator"/>
    <x v="4"/>
    <x v="2"/>
    <x v="1"/>
    <x v="3"/>
    <s v="Ahmedabad"/>
    <n v="30988.83"/>
    <n v="0.3"/>
    <n v="21692.181"/>
    <n v="2"/>
    <n v="43384.362000000001"/>
    <n v="15184.53"/>
    <d v="2024-08-09T00:00:00"/>
    <x v="0"/>
    <x v="0"/>
    <d v="2024-08-16T00:00:00"/>
    <n v="7"/>
    <x v="0"/>
  </r>
  <r>
    <x v="437"/>
    <s v="Headphones"/>
    <x v="2"/>
    <x v="21"/>
    <x v="2"/>
    <x v="1"/>
    <s v="Delhi"/>
    <n v="1728.43"/>
    <n v="0.2"/>
    <n v="1382.7439999999999"/>
    <n v="4"/>
    <n v="5530.9759999999997"/>
    <n v="829.65"/>
    <d v="2024-08-27T00:00:00"/>
    <x v="0"/>
    <x v="0"/>
    <d v="2024-09-05T00:00:00"/>
    <n v="9"/>
    <x v="0"/>
  </r>
  <r>
    <x v="438"/>
    <s v="Refrigerator"/>
    <x v="4"/>
    <x v="10"/>
    <x v="1"/>
    <x v="2"/>
    <s v="Bhubaneswar"/>
    <n v="27928.91"/>
    <n v="0.25"/>
    <n v="20946.682499999999"/>
    <n v="4"/>
    <n v="83786.73"/>
    <n v="29325.360000000001"/>
    <d v="2024-10-19T00:00:00"/>
    <x v="10"/>
    <x v="0"/>
    <d v="2024-10-25T00:00:00"/>
    <n v="6"/>
    <x v="2"/>
  </r>
  <r>
    <x v="439"/>
    <s v="Laptop"/>
    <x v="2"/>
    <x v="3"/>
    <x v="0"/>
    <x v="0"/>
    <s v="Chennai"/>
    <n v="51003.48"/>
    <n v="0.2"/>
    <n v="40802.784000000007"/>
    <n v="2"/>
    <n v="81605.568000000014"/>
    <n v="20401.39"/>
    <d v="2025-05-09T00:00:00"/>
    <x v="3"/>
    <x v="1"/>
    <d v="2025-05-14T00:00:00"/>
    <n v="5"/>
    <x v="1"/>
  </r>
  <r>
    <x v="440"/>
    <s v="Jeans"/>
    <x v="3"/>
    <x v="5"/>
    <x v="2"/>
    <x v="2"/>
    <s v="Bhubaneswar"/>
    <n v="1199.3399999999999"/>
    <n v="0.15"/>
    <n v="1019.439"/>
    <n v="1"/>
    <n v="1019.439"/>
    <n v="152.91999999999999"/>
    <d v="2025-04-03T00:00:00"/>
    <x v="11"/>
    <x v="1"/>
    <d v="2025-04-10T00:00:00"/>
    <n v="7"/>
    <x v="1"/>
  </r>
  <r>
    <x v="441"/>
    <s v="Laptop"/>
    <x v="2"/>
    <x v="20"/>
    <x v="2"/>
    <x v="1"/>
    <s v="Jaipur"/>
    <n v="44754.879999999997"/>
    <n v="0.1"/>
    <n v="40279.392"/>
    <n v="5"/>
    <n v="201396.96"/>
    <n v="30209.54"/>
    <d v="2025-06-18T00:00:00"/>
    <x v="6"/>
    <x v="1"/>
    <d v="2025-06-27T00:00:00"/>
    <n v="9"/>
    <x v="0"/>
  </r>
  <r>
    <x v="442"/>
    <s v="Smartphone"/>
    <x v="2"/>
    <x v="17"/>
    <x v="0"/>
    <x v="0"/>
    <s v="Chennai"/>
    <n v="14958.38"/>
    <n v="0.15"/>
    <n v="12714.623"/>
    <n v="1"/>
    <n v="12714.623"/>
    <n v="3178.66"/>
    <d v="2024-06-12T00:00:00"/>
    <x v="6"/>
    <x v="0"/>
    <d v="2024-06-17T00:00:00"/>
    <n v="5"/>
    <x v="0"/>
  </r>
  <r>
    <x v="443"/>
    <s v="Refrigerator"/>
    <x v="4"/>
    <x v="12"/>
    <x v="0"/>
    <x v="2"/>
    <s v="Kolkata"/>
    <n v="23386.12"/>
    <n v="0.15"/>
    <n v="19878.202000000001"/>
    <n v="2"/>
    <n v="39756.404000000002"/>
    <n v="9939.1"/>
    <d v="2024-12-31T00:00:00"/>
    <x v="8"/>
    <x v="0"/>
    <d v="2025-01-03T00:00:00"/>
    <n v="3"/>
    <x v="2"/>
  </r>
  <r>
    <x v="444"/>
    <s v="T-Shirt"/>
    <x v="3"/>
    <x v="9"/>
    <x v="1"/>
    <x v="0"/>
    <s v="Bengaluru"/>
    <n v="918.58"/>
    <n v="0.3"/>
    <n v="643.00599999999997"/>
    <n v="5"/>
    <n v="3215.0299999999997"/>
    <n v="1125.26"/>
    <d v="2024-03-27T00:00:00"/>
    <x v="1"/>
    <x v="0"/>
    <d v="2024-04-05T00:00:00"/>
    <n v="9"/>
    <x v="1"/>
  </r>
  <r>
    <x v="445"/>
    <s v="Laptop"/>
    <x v="2"/>
    <x v="20"/>
    <x v="2"/>
    <x v="1"/>
    <s v="Jaipur"/>
    <n v="45923.360000000001"/>
    <n v="0"/>
    <n v="45923.360000000001"/>
    <n v="4"/>
    <n v="183693.44"/>
    <n v="27554.02"/>
    <d v="2025-01-12T00:00:00"/>
    <x v="5"/>
    <x v="1"/>
    <d v="2025-01-14T00:00:00"/>
    <n v="2"/>
    <x v="2"/>
  </r>
  <r>
    <x v="446"/>
    <s v="Coffee Table"/>
    <x v="1"/>
    <x v="18"/>
    <x v="2"/>
    <x v="0"/>
    <s v="Hyderabad"/>
    <n v="6696.38"/>
    <n v="0.2"/>
    <n v="5357.1040000000003"/>
    <n v="3"/>
    <n v="16071.312000000002"/>
    <n v="2410.6999999999998"/>
    <d v="2025-01-20T00:00:00"/>
    <x v="5"/>
    <x v="1"/>
    <d v="2025-01-29T00:00:00"/>
    <n v="9"/>
    <x v="2"/>
  </r>
  <r>
    <x v="447"/>
    <s v="Refrigerator"/>
    <x v="4"/>
    <x v="12"/>
    <x v="0"/>
    <x v="0"/>
    <s v="Hyderabad"/>
    <n v="24205.62"/>
    <n v="0.2"/>
    <n v="19364.495999999999"/>
    <n v="2"/>
    <n v="38728.991999999998"/>
    <n v="9682.25"/>
    <d v="2024-02-02T00:00:00"/>
    <x v="7"/>
    <x v="0"/>
    <d v="2024-02-06T00:00:00"/>
    <n v="4"/>
    <x v="1"/>
  </r>
  <r>
    <x v="448"/>
    <s v="Bed"/>
    <x v="1"/>
    <x v="7"/>
    <x v="0"/>
    <x v="2"/>
    <s v="Kolkata"/>
    <n v="27086.32"/>
    <n v="0.3"/>
    <n v="18960.423999999999"/>
    <n v="3"/>
    <n v="56881.271999999997"/>
    <n v="14220.32"/>
    <d v="2024-07-17T00:00:00"/>
    <x v="2"/>
    <x v="0"/>
    <d v="2024-07-21T00:00:00"/>
    <n v="4"/>
    <x v="0"/>
  </r>
  <r>
    <x v="449"/>
    <s v="Sneakers"/>
    <x v="0"/>
    <x v="0"/>
    <x v="0"/>
    <x v="0"/>
    <s v="Hyderabad"/>
    <n v="2380.6999999999998"/>
    <n v="0.15"/>
    <n v="2023.595"/>
    <n v="2"/>
    <n v="4047.19"/>
    <n v="1011.8"/>
    <d v="2025-05-07T00:00:00"/>
    <x v="3"/>
    <x v="1"/>
    <d v="2025-05-12T00:00:00"/>
    <n v="5"/>
    <x v="1"/>
  </r>
  <r>
    <x v="450"/>
    <s v="Coffee Table"/>
    <x v="1"/>
    <x v="7"/>
    <x v="0"/>
    <x v="1"/>
    <s v="Lucknow"/>
    <n v="8243.2900000000009"/>
    <n v="0.05"/>
    <n v="7831.1255000000001"/>
    <n v="2"/>
    <n v="15662.251"/>
    <n v="3915.56"/>
    <d v="2024-06-15T00:00:00"/>
    <x v="6"/>
    <x v="0"/>
    <d v="2024-06-19T00:00:00"/>
    <n v="4"/>
    <x v="0"/>
  </r>
  <r>
    <x v="451"/>
    <s v="Jacket"/>
    <x v="3"/>
    <x v="5"/>
    <x v="2"/>
    <x v="0"/>
    <s v="Chennai"/>
    <n v="2443.23"/>
    <n v="0.2"/>
    <n v="1954.5840000000001"/>
    <n v="4"/>
    <n v="7818.3360000000002"/>
    <n v="1172.75"/>
    <d v="2025-02-14T00:00:00"/>
    <x v="7"/>
    <x v="1"/>
    <d v="2025-02-20T00:00:00"/>
    <n v="6"/>
    <x v="1"/>
  </r>
  <r>
    <x v="452"/>
    <s v="Coffee Table"/>
    <x v="1"/>
    <x v="4"/>
    <x v="1"/>
    <x v="3"/>
    <s v="Pune"/>
    <n v="9951.23"/>
    <n v="0.1"/>
    <n v="8956.107"/>
    <n v="2"/>
    <n v="17912.214"/>
    <n v="6269.27"/>
    <d v="2024-04-19T00:00:00"/>
    <x v="11"/>
    <x v="0"/>
    <d v="2024-04-21T00:00:00"/>
    <n v="2"/>
    <x v="1"/>
  </r>
  <r>
    <x v="453"/>
    <s v="Microwave"/>
    <x v="4"/>
    <x v="2"/>
    <x v="1"/>
    <x v="3"/>
    <s v="Mumbai"/>
    <n v="10416.67"/>
    <n v="0"/>
    <n v="10416.67"/>
    <n v="3"/>
    <n v="31250.010000000002"/>
    <n v="10937.5"/>
    <d v="2024-01-09T00:00:00"/>
    <x v="5"/>
    <x v="0"/>
    <d v="2024-01-16T00:00:00"/>
    <n v="7"/>
    <x v="2"/>
  </r>
  <r>
    <x v="454"/>
    <s v="Washing Machine"/>
    <x v="4"/>
    <x v="10"/>
    <x v="1"/>
    <x v="0"/>
    <s v="Chennai"/>
    <n v="20591.95"/>
    <n v="0"/>
    <n v="20591.95"/>
    <n v="5"/>
    <n v="102959.75"/>
    <n v="36035.910000000003"/>
    <d v="2024-10-24T00:00:00"/>
    <x v="10"/>
    <x v="0"/>
    <d v="2024-10-26T00:00:00"/>
    <n v="2"/>
    <x v="2"/>
  </r>
  <r>
    <x v="455"/>
    <s v="Sneakers"/>
    <x v="0"/>
    <x v="11"/>
    <x v="1"/>
    <x v="2"/>
    <s v="Patna"/>
    <n v="2738.11"/>
    <n v="0.25"/>
    <n v="2053.5825"/>
    <n v="1"/>
    <n v="2053.5825"/>
    <n v="718.75"/>
    <d v="2024-04-29T00:00:00"/>
    <x v="11"/>
    <x v="0"/>
    <d v="2024-05-01T00:00:00"/>
    <n v="2"/>
    <x v="1"/>
  </r>
  <r>
    <x v="456"/>
    <s v="Jeans"/>
    <x v="3"/>
    <x v="9"/>
    <x v="1"/>
    <x v="0"/>
    <s v="Hyderabad"/>
    <n v="1763.42"/>
    <n v="0.1"/>
    <n v="1587.078"/>
    <n v="8"/>
    <n v="12696.624"/>
    <n v="2777.39"/>
    <d v="2024-01-04T00:00:00"/>
    <x v="5"/>
    <x v="0"/>
    <d v="2024-01-13T00:00:00"/>
    <n v="9"/>
    <x v="2"/>
  </r>
  <r>
    <x v="457"/>
    <s v="Bed"/>
    <x v="1"/>
    <x v="7"/>
    <x v="0"/>
    <x v="2"/>
    <s v="Kolkata"/>
    <n v="28950.2"/>
    <n v="0.15"/>
    <n v="24607.67"/>
    <n v="2"/>
    <n v="49215.34"/>
    <n v="12303.83"/>
    <d v="2024-01-07T00:00:00"/>
    <x v="5"/>
    <x v="0"/>
    <d v="2024-01-09T00:00:00"/>
    <n v="2"/>
    <x v="2"/>
  </r>
  <r>
    <x v="458"/>
    <s v="Sofa Set"/>
    <x v="1"/>
    <x v="18"/>
    <x v="2"/>
    <x v="1"/>
    <s v="Delhi"/>
    <n v="29850.18"/>
    <n v="0.25"/>
    <n v="22387.634999999998"/>
    <n v="3"/>
    <n v="67162.904999999999"/>
    <n v="10074.43"/>
    <d v="2024-05-20T00:00:00"/>
    <x v="3"/>
    <x v="0"/>
    <d v="2024-05-23T00:00:00"/>
    <n v="3"/>
    <x v="1"/>
  </r>
  <r>
    <x v="459"/>
    <s v="Smartphone"/>
    <x v="2"/>
    <x v="2"/>
    <x v="1"/>
    <x v="1"/>
    <s v="Lucknow"/>
    <n v="19152.419999999998"/>
    <n v="0"/>
    <n v="19152.419999999998"/>
    <n v="4"/>
    <n v="76609.679999999993"/>
    <n v="26813.39"/>
    <d v="2024-04-03T00:00:00"/>
    <x v="11"/>
    <x v="0"/>
    <d v="2024-04-05T00:00:00"/>
    <n v="2"/>
    <x v="1"/>
  </r>
  <r>
    <x v="460"/>
    <s v="Coffee Table"/>
    <x v="1"/>
    <x v="1"/>
    <x v="1"/>
    <x v="3"/>
    <s v="Ahmedabad"/>
    <n v="10756.58"/>
    <n v="0.25"/>
    <n v="8067.4349999999986"/>
    <n v="2"/>
    <n v="16134.869999999997"/>
    <n v="5647.2"/>
    <d v="2024-09-18T00:00:00"/>
    <x v="4"/>
    <x v="0"/>
    <d v="2024-09-22T00:00:00"/>
    <n v="4"/>
    <x v="0"/>
  </r>
  <r>
    <x v="461"/>
    <s v="Laptop"/>
    <x v="2"/>
    <x v="2"/>
    <x v="1"/>
    <x v="1"/>
    <s v="Lucknow"/>
    <n v="62349.61"/>
    <n v="0.05"/>
    <n v="59232.129500000003"/>
    <n v="4"/>
    <n v="236928.51800000001"/>
    <n v="82924.98"/>
    <d v="2025-02-01T00:00:00"/>
    <x v="7"/>
    <x v="1"/>
    <d v="2025-02-06T00:00:00"/>
    <n v="5"/>
    <x v="1"/>
  </r>
  <r>
    <x v="462"/>
    <s v="Jeans"/>
    <x v="3"/>
    <x v="15"/>
    <x v="1"/>
    <x v="1"/>
    <s v="Lucknow"/>
    <n v="1961.47"/>
    <n v="0.1"/>
    <n v="1765.3230000000001"/>
    <n v="2"/>
    <n v="3530.6460000000002"/>
    <n v="1235.73"/>
    <d v="2025-02-26T00:00:00"/>
    <x v="7"/>
    <x v="1"/>
    <d v="2025-03-08T00:00:00"/>
    <n v="10"/>
    <x v="1"/>
  </r>
  <r>
    <x v="463"/>
    <s v="Dining Table"/>
    <x v="1"/>
    <x v="4"/>
    <x v="1"/>
    <x v="0"/>
    <s v="Bengaluru"/>
    <n v="29602.71"/>
    <n v="0.15"/>
    <n v="25162.303500000002"/>
    <n v="2"/>
    <n v="50324.607000000004"/>
    <n v="17613.61"/>
    <d v="2024-12-22T00:00:00"/>
    <x v="8"/>
    <x v="0"/>
    <d v="2024-12-29T00:00:00"/>
    <n v="7"/>
    <x v="2"/>
  </r>
  <r>
    <x v="464"/>
    <s v="Jacket"/>
    <x v="3"/>
    <x v="9"/>
    <x v="1"/>
    <x v="0"/>
    <s v="Hyderabad"/>
    <n v="3645.69"/>
    <n v="0.2"/>
    <n v="2916.5520000000001"/>
    <n v="1"/>
    <n v="2916.5520000000001"/>
    <n v="1020.79"/>
    <d v="2024-04-28T00:00:00"/>
    <x v="11"/>
    <x v="0"/>
    <d v="2024-05-02T00:00:00"/>
    <n v="4"/>
    <x v="1"/>
  </r>
  <r>
    <x v="465"/>
    <s v="Sneakers"/>
    <x v="0"/>
    <x v="11"/>
    <x v="1"/>
    <x v="2"/>
    <s v="Kolkata"/>
    <n v="2854.27"/>
    <n v="0.15"/>
    <n v="2426.1295"/>
    <n v="5"/>
    <n v="12130.647499999999"/>
    <n v="4245.7299999999996"/>
    <d v="2025-01-16T00:00:00"/>
    <x v="5"/>
    <x v="1"/>
    <d v="2025-01-26T00:00:00"/>
    <n v="10"/>
    <x v="2"/>
  </r>
  <r>
    <x v="466"/>
    <s v="Sneakers"/>
    <x v="0"/>
    <x v="0"/>
    <x v="0"/>
    <x v="1"/>
    <s v="Delhi"/>
    <n v="2471.13"/>
    <n v="0.05"/>
    <n v="2347.5735"/>
    <n v="3"/>
    <n v="7042.7204999999994"/>
    <n v="1760.68"/>
    <d v="2024-12-10T00:00:00"/>
    <x v="8"/>
    <x v="0"/>
    <d v="2024-12-16T00:00:00"/>
    <n v="6"/>
    <x v="2"/>
  </r>
  <r>
    <x v="467"/>
    <s v="T-Shirt"/>
    <x v="3"/>
    <x v="9"/>
    <x v="1"/>
    <x v="3"/>
    <s v="Mumbai"/>
    <n v="1044.76"/>
    <n v="0.25"/>
    <n v="783.56999999999994"/>
    <n v="1"/>
    <n v="783.56999999999994"/>
    <n v="274.25"/>
    <d v="2024-06-17T00:00:00"/>
    <x v="6"/>
    <x v="0"/>
    <d v="2024-06-25T00:00:00"/>
    <n v="8"/>
    <x v="0"/>
  </r>
  <r>
    <x v="468"/>
    <s v="Bed"/>
    <x v="1"/>
    <x v="4"/>
    <x v="1"/>
    <x v="3"/>
    <s v="Ahmedabad"/>
    <n v="37728.92"/>
    <n v="0.05"/>
    <n v="35842.473999999987"/>
    <n v="1"/>
    <n v="35842.473999999987"/>
    <n v="12544.86"/>
    <d v="2025-04-18T00:00:00"/>
    <x v="11"/>
    <x v="1"/>
    <d v="2025-04-23T00:00:00"/>
    <n v="5"/>
    <x v="1"/>
  </r>
  <r>
    <x v="469"/>
    <s v="Coffee Table"/>
    <x v="1"/>
    <x v="4"/>
    <x v="1"/>
    <x v="1"/>
    <s v="Jaipur"/>
    <n v="10209.85"/>
    <n v="0.05"/>
    <n v="9699.3575000000001"/>
    <n v="1"/>
    <n v="9699.3575000000001"/>
    <n v="3394.78"/>
    <d v="2024-11-01T00:00:00"/>
    <x v="9"/>
    <x v="0"/>
    <d v="2024-11-09T00:00:00"/>
    <n v="8"/>
    <x v="2"/>
  </r>
  <r>
    <x v="470"/>
    <s v="Microwave"/>
    <x v="4"/>
    <x v="8"/>
    <x v="2"/>
    <x v="0"/>
    <s v="Hyderabad"/>
    <n v="6332.81"/>
    <n v="0.3"/>
    <n v="4432.9669999999996"/>
    <n v="5"/>
    <n v="22164.834999999999"/>
    <n v="3324.72"/>
    <d v="2024-06-17T00:00:00"/>
    <x v="6"/>
    <x v="0"/>
    <d v="2024-06-24T00:00:00"/>
    <n v="7"/>
    <x v="0"/>
  </r>
  <r>
    <x v="471"/>
    <s v="Refrigerator"/>
    <x v="4"/>
    <x v="8"/>
    <x v="2"/>
    <x v="2"/>
    <s v="Patna"/>
    <n v="19538.5"/>
    <n v="0.2"/>
    <n v="15630.8"/>
    <n v="1"/>
    <n v="15630.8"/>
    <n v="2344.62"/>
    <d v="2024-09-28T00:00:00"/>
    <x v="4"/>
    <x v="0"/>
    <d v="2024-10-04T00:00:00"/>
    <n v="6"/>
    <x v="0"/>
  </r>
  <r>
    <x v="472"/>
    <s v="T-Shirt"/>
    <x v="3"/>
    <x v="5"/>
    <x v="2"/>
    <x v="3"/>
    <s v="Pune"/>
    <n v="749.32"/>
    <n v="0.15"/>
    <n v="636.92200000000003"/>
    <n v="2"/>
    <n v="1273.8440000000001"/>
    <n v="191.08"/>
    <d v="2025-07-13T00:00:00"/>
    <x v="2"/>
    <x v="1"/>
    <d v="2025-07-21T00:00:00"/>
    <n v="8"/>
    <x v="0"/>
  </r>
  <r>
    <x v="473"/>
    <s v="Refrigerator"/>
    <x v="4"/>
    <x v="2"/>
    <x v="1"/>
    <x v="2"/>
    <s v="Bhubaneswar"/>
    <n v="29538.01"/>
    <n v="0.3"/>
    <n v="20676.607"/>
    <n v="1"/>
    <n v="20676.607"/>
    <n v="7236.81"/>
    <d v="2024-12-02T00:00:00"/>
    <x v="8"/>
    <x v="0"/>
    <d v="2024-12-07T00:00:00"/>
    <n v="5"/>
    <x v="2"/>
  </r>
  <r>
    <x v="474"/>
    <s v="Dining Table"/>
    <x v="1"/>
    <x v="1"/>
    <x v="1"/>
    <x v="2"/>
    <s v="Bhubaneswar"/>
    <n v="29006.18"/>
    <n v="0.3"/>
    <n v="20304.326000000001"/>
    <n v="4"/>
    <n v="81217.304000000004"/>
    <n v="28426.06"/>
    <d v="2024-07-02T00:00:00"/>
    <x v="2"/>
    <x v="0"/>
    <d v="2024-07-08T00:00:00"/>
    <n v="6"/>
    <x v="0"/>
  </r>
  <r>
    <x v="475"/>
    <s v="Jeans"/>
    <x v="3"/>
    <x v="9"/>
    <x v="1"/>
    <x v="2"/>
    <s v="Bhubaneswar"/>
    <n v="1670.11"/>
    <n v="0.15"/>
    <n v="1419.5934999999999"/>
    <n v="5"/>
    <n v="7097.9674999999997"/>
    <n v="2484.29"/>
    <d v="2025-04-28T00:00:00"/>
    <x v="11"/>
    <x v="1"/>
    <d v="2025-04-30T00:00:00"/>
    <n v="2"/>
    <x v="1"/>
  </r>
  <r>
    <x v="476"/>
    <s v="Laptop"/>
    <x v="2"/>
    <x v="2"/>
    <x v="1"/>
    <x v="0"/>
    <s v="Bengaluru"/>
    <n v="59338.43"/>
    <n v="0.25"/>
    <n v="44503.822500000002"/>
    <n v="2"/>
    <n v="89007.645000000004"/>
    <n v="31152.68"/>
    <d v="2025-03-06T00:00:00"/>
    <x v="1"/>
    <x v="1"/>
    <d v="2025-03-13T00:00:00"/>
    <n v="7"/>
    <x v="1"/>
  </r>
  <r>
    <x v="477"/>
    <s v="Washing Machine"/>
    <x v="4"/>
    <x v="10"/>
    <x v="1"/>
    <x v="1"/>
    <s v="Jaipur"/>
    <n v="22509.3"/>
    <n v="0"/>
    <n v="22509.3"/>
    <n v="5"/>
    <n v="112546.5"/>
    <n v="39391.269999999997"/>
    <d v="2024-04-16T00:00:00"/>
    <x v="11"/>
    <x v="0"/>
    <d v="2024-04-23T00:00:00"/>
    <n v="7"/>
    <x v="1"/>
  </r>
  <r>
    <x v="478"/>
    <s v="Dining Table"/>
    <x v="1"/>
    <x v="4"/>
    <x v="1"/>
    <x v="3"/>
    <s v="Mumbai"/>
    <n v="31891.54"/>
    <n v="0.2"/>
    <n v="25513.232"/>
    <n v="1"/>
    <n v="25513.232"/>
    <n v="8929.6299999999992"/>
    <d v="2024-06-26T00:00:00"/>
    <x v="6"/>
    <x v="0"/>
    <d v="2024-07-06T00:00:00"/>
    <n v="10"/>
    <x v="0"/>
  </r>
  <r>
    <x v="479"/>
    <s v="Bed"/>
    <x v="1"/>
    <x v="18"/>
    <x v="2"/>
    <x v="0"/>
    <s v="Chennai"/>
    <n v="24927.919999999998"/>
    <n v="0.25"/>
    <n v="18695.939999999999"/>
    <n v="5"/>
    <n v="93479.7"/>
    <n v="14021.95"/>
    <d v="2024-07-16T00:00:00"/>
    <x v="2"/>
    <x v="0"/>
    <d v="2024-07-25T00:00:00"/>
    <n v="9"/>
    <x v="0"/>
  </r>
  <r>
    <x v="480"/>
    <s v="Jacket"/>
    <x v="3"/>
    <x v="16"/>
    <x v="2"/>
    <x v="3"/>
    <s v="Ahmedabad"/>
    <n v="2890.18"/>
    <n v="0.2"/>
    <n v="2312.1439999999998"/>
    <n v="3"/>
    <n v="6936.4319999999989"/>
    <n v="1040.46"/>
    <d v="2024-07-12T00:00:00"/>
    <x v="2"/>
    <x v="0"/>
    <d v="2024-07-14T00:00:00"/>
    <n v="2"/>
    <x v="0"/>
  </r>
  <r>
    <x v="481"/>
    <s v="Sofa Set"/>
    <x v="1"/>
    <x v="7"/>
    <x v="0"/>
    <x v="1"/>
    <s v="Lucknow"/>
    <n v="34620.81"/>
    <n v="0.3"/>
    <n v="24234.566999999999"/>
    <n v="5"/>
    <n v="121172.83499999999"/>
    <n v="30293.21"/>
    <d v="2024-08-04T00:00:00"/>
    <x v="0"/>
    <x v="0"/>
    <d v="2024-08-09T00:00:00"/>
    <n v="5"/>
    <x v="0"/>
  </r>
  <r>
    <x v="482"/>
    <s v="Dining Table"/>
    <x v="1"/>
    <x v="4"/>
    <x v="1"/>
    <x v="0"/>
    <s v="Bengaluru"/>
    <n v="29888.59"/>
    <n v="0.25"/>
    <n v="22416.442500000001"/>
    <n v="1"/>
    <n v="22416.442500000001"/>
    <n v="7845.75"/>
    <d v="2024-12-13T00:00:00"/>
    <x v="8"/>
    <x v="0"/>
    <d v="2024-12-15T00:00:00"/>
    <n v="2"/>
    <x v="2"/>
  </r>
  <r>
    <x v="483"/>
    <s v="Formal Shoes"/>
    <x v="0"/>
    <x v="6"/>
    <x v="2"/>
    <x v="3"/>
    <s v="Ahmedabad"/>
    <n v="3102.1"/>
    <n v="0.05"/>
    <n v="2946.9949999999999"/>
    <n v="2"/>
    <n v="5893.99"/>
    <n v="884.1"/>
    <d v="2024-10-31T00:00:00"/>
    <x v="10"/>
    <x v="0"/>
    <d v="2024-11-10T00:00:00"/>
    <n v="10"/>
    <x v="2"/>
  </r>
  <r>
    <x v="484"/>
    <s v="Smartphone"/>
    <x v="2"/>
    <x v="14"/>
    <x v="1"/>
    <x v="2"/>
    <s v="Kolkata"/>
    <n v="17791.61"/>
    <n v="0.1"/>
    <n v="16012.449000000001"/>
    <n v="2"/>
    <n v="32024.898000000001"/>
    <n v="11208.72"/>
    <d v="2024-08-14T00:00:00"/>
    <x v="0"/>
    <x v="0"/>
    <d v="2024-08-22T00:00:00"/>
    <n v="8"/>
    <x v="0"/>
  </r>
  <r>
    <x v="485"/>
    <s v="Sofa Set"/>
    <x v="1"/>
    <x v="7"/>
    <x v="0"/>
    <x v="0"/>
    <s v="Hyderabad"/>
    <n v="32785.53"/>
    <n v="0.15"/>
    <n v="27867.700499999999"/>
    <n v="5"/>
    <n v="139338.5025"/>
    <n v="34834.620000000003"/>
    <d v="2025-07-23T00:00:00"/>
    <x v="2"/>
    <x v="1"/>
    <d v="2025-07-26T00:00:00"/>
    <n v="3"/>
    <x v="0"/>
  </r>
  <r>
    <x v="486"/>
    <s v="Jacket"/>
    <x v="3"/>
    <x v="13"/>
    <x v="1"/>
    <x v="0"/>
    <s v="Bengaluru"/>
    <n v="3502.93"/>
    <n v="0.15"/>
    <n v="2977.4904999999999"/>
    <n v="1"/>
    <n v="2977.4904999999999"/>
    <n v="1042.1199999999999"/>
    <d v="2024-04-09T00:00:00"/>
    <x v="11"/>
    <x v="0"/>
    <d v="2024-04-14T00:00:00"/>
    <n v="5"/>
    <x v="1"/>
  </r>
  <r>
    <x v="487"/>
    <s v="Sneakers"/>
    <x v="0"/>
    <x v="0"/>
    <x v="0"/>
    <x v="3"/>
    <s v="Pune"/>
    <n v="2767.53"/>
    <n v="0"/>
    <n v="2767.53"/>
    <n v="3"/>
    <n v="8302.59"/>
    <n v="2075.65"/>
    <d v="2024-02-14T00:00:00"/>
    <x v="7"/>
    <x v="0"/>
    <d v="2024-02-17T00:00:00"/>
    <n v="3"/>
    <x v="1"/>
  </r>
  <r>
    <x v="488"/>
    <s v="Washing Machine"/>
    <x v="4"/>
    <x v="12"/>
    <x v="0"/>
    <x v="3"/>
    <s v="Mumbai"/>
    <n v="18771.8"/>
    <n v="0.3"/>
    <n v="13140.26"/>
    <n v="1"/>
    <n v="13140.26"/>
    <n v="3285.07"/>
    <d v="2024-01-26T00:00:00"/>
    <x v="5"/>
    <x v="0"/>
    <d v="2024-01-28T00:00:00"/>
    <n v="2"/>
    <x v="2"/>
  </r>
  <r>
    <x v="489"/>
    <s v="Smartphone"/>
    <x v="2"/>
    <x v="2"/>
    <x v="1"/>
    <x v="1"/>
    <s v="Delhi"/>
    <n v="19434.48"/>
    <n v="0.15"/>
    <n v="16519.308000000001"/>
    <n v="1"/>
    <n v="16519.308000000001"/>
    <n v="5781.76"/>
    <d v="2024-10-11T00:00:00"/>
    <x v="10"/>
    <x v="0"/>
    <d v="2024-10-18T00:00:00"/>
    <n v="7"/>
    <x v="2"/>
  </r>
  <r>
    <x v="490"/>
    <s v="Smartphone"/>
    <x v="2"/>
    <x v="3"/>
    <x v="0"/>
    <x v="0"/>
    <s v="Hyderabad"/>
    <n v="14252.97"/>
    <n v="0.3"/>
    <n v="9977.0789999999997"/>
    <n v="4"/>
    <n v="39908.315999999999"/>
    <n v="9977.08"/>
    <d v="2024-03-05T00:00:00"/>
    <x v="1"/>
    <x v="0"/>
    <d v="2024-03-15T00:00:00"/>
    <n v="10"/>
    <x v="1"/>
  </r>
  <r>
    <x v="491"/>
    <s v="Sofa Set"/>
    <x v="1"/>
    <x v="18"/>
    <x v="2"/>
    <x v="0"/>
    <s v="Hyderabad"/>
    <n v="27697.87"/>
    <n v="0.2"/>
    <n v="22158.295999999998"/>
    <n v="5"/>
    <n v="110791.48"/>
    <n v="16618.72"/>
    <d v="2024-06-15T00:00:00"/>
    <x v="6"/>
    <x v="0"/>
    <d v="2024-06-22T00:00:00"/>
    <n v="7"/>
    <x v="0"/>
  </r>
  <r>
    <x v="492"/>
    <s v="Jeans"/>
    <x v="3"/>
    <x v="15"/>
    <x v="1"/>
    <x v="3"/>
    <s v="Mumbai"/>
    <n v="1869.54"/>
    <n v="0"/>
    <n v="1869.54"/>
    <n v="2"/>
    <n v="3739.08"/>
    <n v="1308.68"/>
    <d v="2025-02-17T00:00:00"/>
    <x v="7"/>
    <x v="1"/>
    <d v="2025-02-22T00:00:00"/>
    <n v="5"/>
    <x v="1"/>
  </r>
  <r>
    <x v="493"/>
    <s v="Laptop"/>
    <x v="2"/>
    <x v="21"/>
    <x v="2"/>
    <x v="0"/>
    <s v="Hyderabad"/>
    <n v="41982.99"/>
    <n v="0.1"/>
    <n v="37784.690999999999"/>
    <n v="1"/>
    <n v="37784.690999999999"/>
    <n v="5667.7"/>
    <d v="2024-06-15T00:00:00"/>
    <x v="6"/>
    <x v="0"/>
    <d v="2024-06-22T00:00:00"/>
    <n v="7"/>
    <x v="0"/>
  </r>
  <r>
    <x v="494"/>
    <s v="Washing Machine"/>
    <x v="4"/>
    <x v="8"/>
    <x v="2"/>
    <x v="0"/>
    <s v="Chennai"/>
    <n v="14798.41"/>
    <n v="0.3"/>
    <n v="10358.887000000001"/>
    <n v="5"/>
    <n v="51794.435000000005"/>
    <n v="7769.16"/>
    <d v="2024-05-07T00:00:00"/>
    <x v="3"/>
    <x v="0"/>
    <d v="2024-05-13T00:00:00"/>
    <n v="6"/>
    <x v="1"/>
  </r>
  <r>
    <x v="495"/>
    <s v="Washing Machine"/>
    <x v="4"/>
    <x v="10"/>
    <x v="1"/>
    <x v="3"/>
    <s v="Mumbai"/>
    <n v="23491.83"/>
    <n v="0"/>
    <n v="23491.83"/>
    <n v="5"/>
    <n v="117459.15000000001"/>
    <n v="41110.699999999997"/>
    <d v="2025-06-14T00:00:00"/>
    <x v="6"/>
    <x v="1"/>
    <d v="2025-06-17T00:00:00"/>
    <n v="3"/>
    <x v="0"/>
  </r>
  <r>
    <x v="496"/>
    <s v="Coffee Table"/>
    <x v="1"/>
    <x v="1"/>
    <x v="1"/>
    <x v="3"/>
    <s v="Ahmedabad"/>
    <n v="10861.16"/>
    <n v="0.25"/>
    <n v="8145.87"/>
    <n v="3"/>
    <n v="24437.61"/>
    <n v="8553.16"/>
    <d v="2024-09-24T00:00:00"/>
    <x v="4"/>
    <x v="0"/>
    <d v="2024-10-02T00:00:00"/>
    <n v="8"/>
    <x v="0"/>
  </r>
  <r>
    <x v="497"/>
    <s v="Jeans"/>
    <x v="3"/>
    <x v="15"/>
    <x v="1"/>
    <x v="3"/>
    <s v="Mumbai"/>
    <n v="1929.87"/>
    <n v="0.15"/>
    <n v="1640.3895"/>
    <n v="2"/>
    <n v="3280.779"/>
    <n v="1148.27"/>
    <d v="2024-07-10T00:00:00"/>
    <x v="2"/>
    <x v="0"/>
    <d v="2024-07-16T00:00:00"/>
    <n v="6"/>
    <x v="0"/>
  </r>
  <r>
    <x v="498"/>
    <s v="Coffee Table"/>
    <x v="1"/>
    <x v="1"/>
    <x v="1"/>
    <x v="3"/>
    <s v="Pune"/>
    <n v="10682.09"/>
    <n v="0.3"/>
    <n v="7477.4629999999997"/>
    <n v="4"/>
    <n v="29909.851999999999"/>
    <n v="10468.450000000001"/>
    <d v="2024-05-28T00:00:00"/>
    <x v="3"/>
    <x v="0"/>
    <d v="2024-06-02T00:00:00"/>
    <n v="5"/>
    <x v="1"/>
  </r>
  <r>
    <x v="499"/>
    <s v="Bed"/>
    <x v="1"/>
    <x v="1"/>
    <x v="1"/>
    <x v="0"/>
    <s v="Bengaluru"/>
    <n v="36816.54"/>
    <n v="0.05"/>
    <n v="34975.713000000003"/>
    <n v="4"/>
    <n v="139902.85200000001"/>
    <n v="48966"/>
    <d v="2024-03-28T00:00:00"/>
    <x v="1"/>
    <x v="0"/>
    <d v="2024-04-02T00:00:00"/>
    <n v="5"/>
    <x v="1"/>
  </r>
  <r>
    <x v="500"/>
    <s v="Sneakers"/>
    <x v="0"/>
    <x v="0"/>
    <x v="0"/>
    <x v="0"/>
    <s v="Hyderabad"/>
    <n v="2432.85"/>
    <n v="0.2"/>
    <n v="1946.28"/>
    <n v="14"/>
    <n v="27247.919999999998"/>
    <n v="486.57"/>
    <d v="2024-08-09T00:00:00"/>
    <x v="0"/>
    <x v="0"/>
    <d v="2024-08-11T00:00:00"/>
    <n v="2"/>
    <x v="0"/>
  </r>
  <r>
    <x v="501"/>
    <s v="Headphones"/>
    <x v="2"/>
    <x v="17"/>
    <x v="0"/>
    <x v="0"/>
    <s v="Bengaluru"/>
    <n v="2011.43"/>
    <n v="0.3"/>
    <n v="1408.001"/>
    <n v="1"/>
    <n v="1408.001"/>
    <n v="352"/>
    <d v="2024-09-01T00:00:00"/>
    <x v="4"/>
    <x v="0"/>
    <d v="2024-09-08T00:00:00"/>
    <n v="7"/>
    <x v="0"/>
  </r>
  <r>
    <x v="502"/>
    <s v="Jeans"/>
    <x v="3"/>
    <x v="5"/>
    <x v="2"/>
    <x v="3"/>
    <s v="Pune"/>
    <n v="1311.26"/>
    <n v="0.3"/>
    <n v="917.88199999999995"/>
    <n v="4"/>
    <n v="3671.5279999999998"/>
    <n v="550.73"/>
    <d v="2024-08-07T00:00:00"/>
    <x v="0"/>
    <x v="0"/>
    <d v="2024-08-13T00:00:00"/>
    <n v="6"/>
    <x v="0"/>
  </r>
  <r>
    <x v="503"/>
    <s v="Laptop"/>
    <x v="2"/>
    <x v="2"/>
    <x v="1"/>
    <x v="2"/>
    <s v="Bhubaneswar"/>
    <n v="55932.75"/>
    <n v="0.3"/>
    <n v="39152.925000000003"/>
    <n v="3"/>
    <n v="117458.77500000001"/>
    <n v="41110.57"/>
    <d v="2024-02-03T00:00:00"/>
    <x v="7"/>
    <x v="0"/>
    <d v="2024-02-10T00:00:00"/>
    <n v="7"/>
    <x v="1"/>
  </r>
  <r>
    <x v="504"/>
    <s v="Dining Table"/>
    <x v="1"/>
    <x v="18"/>
    <x v="2"/>
    <x v="3"/>
    <s v="Pune"/>
    <n v="22040.62"/>
    <n v="0"/>
    <n v="22040.62"/>
    <n v="4"/>
    <n v="88162.48"/>
    <n v="13224.37"/>
    <d v="2025-01-24T00:00:00"/>
    <x v="5"/>
    <x v="1"/>
    <d v="2025-02-02T00:00:00"/>
    <n v="9"/>
    <x v="2"/>
  </r>
  <r>
    <x v="505"/>
    <s v="Microwave"/>
    <x v="4"/>
    <x v="12"/>
    <x v="0"/>
    <x v="3"/>
    <s v="Pune"/>
    <n v="8932.34"/>
    <n v="0.1"/>
    <n v="8039.1060000000007"/>
    <n v="1"/>
    <n v="8039.1060000000007"/>
    <n v="2009.78"/>
    <d v="2025-03-28T00:00:00"/>
    <x v="1"/>
    <x v="1"/>
    <d v="2025-04-01T00:00:00"/>
    <n v="4"/>
    <x v="1"/>
  </r>
  <r>
    <x v="506"/>
    <s v="Jacket"/>
    <x v="3"/>
    <x v="19"/>
    <x v="0"/>
    <x v="3"/>
    <s v="Pune"/>
    <n v="3368.87"/>
    <n v="0.25"/>
    <n v="2526.6525000000001"/>
    <n v="2"/>
    <n v="5053.3050000000003"/>
    <n v="1263.33"/>
    <d v="2024-03-15T00:00:00"/>
    <x v="1"/>
    <x v="0"/>
    <d v="2024-03-21T00:00:00"/>
    <n v="6"/>
    <x v="1"/>
  </r>
  <r>
    <x v="507"/>
    <s v="T-Shirt"/>
    <x v="3"/>
    <x v="16"/>
    <x v="2"/>
    <x v="1"/>
    <s v="Delhi"/>
    <n v="689"/>
    <n v="0.2"/>
    <n v="551.20000000000005"/>
    <n v="1"/>
    <n v="551.20000000000005"/>
    <n v="82.68"/>
    <d v="2025-03-22T00:00:00"/>
    <x v="1"/>
    <x v="1"/>
    <d v="2025-03-28T00:00:00"/>
    <n v="6"/>
    <x v="1"/>
  </r>
  <r>
    <x v="508"/>
    <s v="Bed"/>
    <x v="1"/>
    <x v="7"/>
    <x v="0"/>
    <x v="3"/>
    <s v="Ahmedabad"/>
    <n v="32503.66"/>
    <n v="0.3"/>
    <n v="22752.562000000002"/>
    <n v="3"/>
    <n v="68257.686000000002"/>
    <n v="17064.419999999998"/>
    <d v="2025-02-13T00:00:00"/>
    <x v="7"/>
    <x v="1"/>
    <d v="2025-02-22T00:00:00"/>
    <n v="9"/>
    <x v="1"/>
  </r>
  <r>
    <x v="509"/>
    <s v="Headphones"/>
    <x v="2"/>
    <x v="14"/>
    <x v="1"/>
    <x v="3"/>
    <s v="Ahmedabad"/>
    <n v="2623.71"/>
    <n v="0.15"/>
    <n v="2230.1534999999999"/>
    <n v="1"/>
    <n v="2230.1534999999999"/>
    <n v="780.55"/>
    <d v="2025-06-23T00:00:00"/>
    <x v="6"/>
    <x v="1"/>
    <d v="2025-06-28T00:00:00"/>
    <n v="5"/>
    <x v="0"/>
  </r>
  <r>
    <x v="510"/>
    <s v="Formal Shoes"/>
    <x v="0"/>
    <x v="11"/>
    <x v="1"/>
    <x v="2"/>
    <s v="Patna"/>
    <n v="3865.4"/>
    <n v="0.1"/>
    <n v="3478.86"/>
    <n v="5"/>
    <n v="17394.3"/>
    <n v="6088"/>
    <d v="2024-09-19T00:00:00"/>
    <x v="4"/>
    <x v="0"/>
    <d v="2024-09-27T00:00:00"/>
    <n v="8"/>
    <x v="0"/>
  </r>
  <r>
    <x v="511"/>
    <s v="Coffee Table"/>
    <x v="1"/>
    <x v="4"/>
    <x v="1"/>
    <x v="1"/>
    <s v="Lucknow"/>
    <n v="9924.07"/>
    <n v="0.3"/>
    <n v="6946.8489999999993"/>
    <n v="4"/>
    <n v="27787.395999999997"/>
    <n v="9725.59"/>
    <d v="2024-12-21T00:00:00"/>
    <x v="8"/>
    <x v="0"/>
    <d v="2024-12-25T00:00:00"/>
    <n v="4"/>
    <x v="2"/>
  </r>
  <r>
    <x v="512"/>
    <s v="Sneakers"/>
    <x v="0"/>
    <x v="11"/>
    <x v="1"/>
    <x v="1"/>
    <s v="Delhi"/>
    <n v="3033.79"/>
    <n v="0.3"/>
    <n v="2123.6529999999998"/>
    <n v="3"/>
    <n v="6370.9589999999989"/>
    <n v="2229.84"/>
    <d v="2025-04-13T00:00:00"/>
    <x v="11"/>
    <x v="1"/>
    <d v="2025-04-21T00:00:00"/>
    <n v="8"/>
    <x v="1"/>
  </r>
  <r>
    <x v="513"/>
    <s v="Microwave"/>
    <x v="4"/>
    <x v="2"/>
    <x v="1"/>
    <x v="0"/>
    <s v="Bengaluru"/>
    <n v="9217.4599999999991"/>
    <n v="0.3"/>
    <n v="6452.2219999999988"/>
    <n v="1"/>
    <n v="6452.2219999999988"/>
    <n v="2258.2800000000002"/>
    <d v="2025-03-28T00:00:00"/>
    <x v="1"/>
    <x v="1"/>
    <d v="2025-04-01T00:00:00"/>
    <n v="4"/>
    <x v="1"/>
  </r>
  <r>
    <x v="514"/>
    <s v="Coffee Table"/>
    <x v="1"/>
    <x v="1"/>
    <x v="1"/>
    <x v="1"/>
    <s v="Lucknow"/>
    <n v="10474.99"/>
    <n v="0.15"/>
    <n v="8903.7415000000001"/>
    <n v="2"/>
    <n v="17807.483"/>
    <n v="6232.62"/>
    <d v="2025-06-27T00:00:00"/>
    <x v="6"/>
    <x v="1"/>
    <d v="2025-07-06T00:00:00"/>
    <n v="9"/>
    <x v="0"/>
  </r>
  <r>
    <x v="515"/>
    <s v="Sofa Set"/>
    <x v="1"/>
    <x v="4"/>
    <x v="1"/>
    <x v="0"/>
    <s v="Hyderabad"/>
    <n v="41846.58"/>
    <n v="0.05"/>
    <n v="39754.250999999997"/>
    <n v="3"/>
    <n v="119262.753"/>
    <n v="41741.96"/>
    <d v="2025-03-31T00:00:00"/>
    <x v="1"/>
    <x v="1"/>
    <d v="2025-04-05T00:00:00"/>
    <n v="5"/>
    <x v="1"/>
  </r>
  <r>
    <x v="516"/>
    <s v="Headphones"/>
    <x v="2"/>
    <x v="20"/>
    <x v="2"/>
    <x v="3"/>
    <s v="Mumbai"/>
    <n v="1804.9"/>
    <n v="0.2"/>
    <n v="1443.92"/>
    <n v="5"/>
    <n v="7219.6"/>
    <n v="1082.94"/>
    <d v="2024-06-03T00:00:00"/>
    <x v="6"/>
    <x v="0"/>
    <d v="2024-06-13T00:00:00"/>
    <n v="10"/>
    <x v="0"/>
  </r>
  <r>
    <x v="517"/>
    <s v="Formal Shoes"/>
    <x v="0"/>
    <x v="11"/>
    <x v="1"/>
    <x v="2"/>
    <s v="Bhubaneswar"/>
    <n v="4105.08"/>
    <n v="0.05"/>
    <n v="3899.826"/>
    <n v="4"/>
    <n v="15599.304"/>
    <n v="5459.75"/>
    <d v="2024-12-20T00:00:00"/>
    <x v="8"/>
    <x v="0"/>
    <d v="2024-12-24T00:00:00"/>
    <n v="4"/>
    <x v="2"/>
  </r>
  <r>
    <x v="518"/>
    <s v="Laptop"/>
    <x v="2"/>
    <x v="20"/>
    <x v="2"/>
    <x v="1"/>
    <s v="Delhi"/>
    <n v="42799.02"/>
    <n v="0.15"/>
    <n v="36379.166999999987"/>
    <n v="3"/>
    <n v="109137.50099999996"/>
    <n v="16370.62"/>
    <d v="2024-04-22T00:00:00"/>
    <x v="11"/>
    <x v="0"/>
    <d v="2024-04-25T00:00:00"/>
    <n v="3"/>
    <x v="1"/>
  </r>
  <r>
    <x v="519"/>
    <s v="Coffee Table"/>
    <x v="1"/>
    <x v="1"/>
    <x v="1"/>
    <x v="0"/>
    <s v="Chennai"/>
    <n v="9692.86"/>
    <n v="0.2"/>
    <n v="7754.2879999999996"/>
    <n v="2"/>
    <n v="15508.575999999999"/>
    <n v="5428"/>
    <d v="2024-09-17T00:00:00"/>
    <x v="4"/>
    <x v="0"/>
    <d v="2024-09-25T00:00:00"/>
    <n v="8"/>
    <x v="0"/>
  </r>
  <r>
    <x v="520"/>
    <s v="T-Shirt"/>
    <x v="3"/>
    <x v="5"/>
    <x v="2"/>
    <x v="0"/>
    <s v="Chennai"/>
    <n v="697.42"/>
    <n v="0.1"/>
    <n v="627.678"/>
    <n v="2"/>
    <n v="1255.356"/>
    <n v="188.3"/>
    <d v="2024-03-02T00:00:00"/>
    <x v="1"/>
    <x v="0"/>
    <d v="2024-03-12T00:00:00"/>
    <n v="10"/>
    <x v="1"/>
  </r>
  <r>
    <x v="521"/>
    <s v="Headphones"/>
    <x v="2"/>
    <x v="14"/>
    <x v="1"/>
    <x v="2"/>
    <s v="Kolkata"/>
    <n v="2168.37"/>
    <n v="0"/>
    <n v="2168.37"/>
    <n v="5"/>
    <n v="10841.849999999999"/>
    <n v="3794.65"/>
    <d v="2024-05-03T00:00:00"/>
    <x v="3"/>
    <x v="0"/>
    <d v="2024-05-08T00:00:00"/>
    <n v="5"/>
    <x v="1"/>
  </r>
  <r>
    <x v="522"/>
    <s v="Coffee Table"/>
    <x v="1"/>
    <x v="7"/>
    <x v="0"/>
    <x v="2"/>
    <s v="Kolkata"/>
    <n v="7811.99"/>
    <n v="0.25"/>
    <n v="5858.9925000000003"/>
    <n v="3"/>
    <n v="17576.977500000001"/>
    <n v="4394.24"/>
    <d v="2024-07-12T00:00:00"/>
    <x v="2"/>
    <x v="0"/>
    <d v="2024-07-17T00:00:00"/>
    <n v="5"/>
    <x v="0"/>
  </r>
  <r>
    <x v="523"/>
    <s v="Sofa Set"/>
    <x v="1"/>
    <x v="7"/>
    <x v="0"/>
    <x v="3"/>
    <s v="Ahmedabad"/>
    <n v="37782.29"/>
    <n v="0.1"/>
    <n v="34004.061000000002"/>
    <n v="1"/>
    <n v="34004.061000000002"/>
    <n v="8501.01"/>
    <d v="2024-08-25T00:00:00"/>
    <x v="0"/>
    <x v="0"/>
    <d v="2024-09-04T00:00:00"/>
    <n v="10"/>
    <x v="0"/>
  </r>
  <r>
    <x v="524"/>
    <s v="Washing Machine"/>
    <x v="4"/>
    <x v="2"/>
    <x v="1"/>
    <x v="2"/>
    <s v="Bhubaneswar"/>
    <n v="20144.38"/>
    <n v="0.1"/>
    <n v="18129.941999999999"/>
    <n v="5"/>
    <n v="90649.709999999992"/>
    <n v="31727.4"/>
    <d v="2025-04-11T00:00:00"/>
    <x v="11"/>
    <x v="1"/>
    <d v="2025-04-19T00:00:00"/>
    <n v="8"/>
    <x v="1"/>
  </r>
  <r>
    <x v="525"/>
    <s v="Sofa Set"/>
    <x v="1"/>
    <x v="4"/>
    <x v="1"/>
    <x v="3"/>
    <s v="Pune"/>
    <n v="43837.56"/>
    <n v="0.2"/>
    <n v="35070.048000000003"/>
    <n v="3"/>
    <n v="105210.144"/>
    <n v="36823.550000000003"/>
    <d v="2024-06-25T00:00:00"/>
    <x v="6"/>
    <x v="0"/>
    <d v="2024-07-04T00:00:00"/>
    <n v="9"/>
    <x v="0"/>
  </r>
  <r>
    <x v="526"/>
    <s v="Sneakers"/>
    <x v="0"/>
    <x v="11"/>
    <x v="1"/>
    <x v="2"/>
    <s v="Kolkata"/>
    <n v="2749.66"/>
    <n v="0.25"/>
    <n v="2062.2449999999999"/>
    <n v="1"/>
    <n v="2062.2449999999999"/>
    <n v="721.78"/>
    <d v="2024-05-06T00:00:00"/>
    <x v="3"/>
    <x v="0"/>
    <d v="2024-05-10T00:00:00"/>
    <n v="4"/>
    <x v="1"/>
  </r>
  <r>
    <x v="527"/>
    <s v="Washing Machine"/>
    <x v="4"/>
    <x v="2"/>
    <x v="1"/>
    <x v="3"/>
    <s v="Ahmedabad"/>
    <n v="23053.24"/>
    <n v="0.1"/>
    <n v="20747.916000000001"/>
    <n v="4"/>
    <n v="82991.664000000004"/>
    <n v="29047.08"/>
    <d v="2024-08-19T00:00:00"/>
    <x v="0"/>
    <x v="0"/>
    <d v="2024-08-28T00:00:00"/>
    <n v="9"/>
    <x v="0"/>
  </r>
  <r>
    <x v="528"/>
    <s v="Sneakers"/>
    <x v="0"/>
    <x v="11"/>
    <x v="1"/>
    <x v="3"/>
    <s v="Pune"/>
    <n v="3260.34"/>
    <n v="0.25"/>
    <n v="2445.2550000000001"/>
    <n v="4"/>
    <n v="9781.02"/>
    <n v="3423.36"/>
    <d v="2025-03-12T00:00:00"/>
    <x v="1"/>
    <x v="1"/>
    <d v="2025-03-19T00:00:00"/>
    <n v="7"/>
    <x v="1"/>
  </r>
  <r>
    <x v="529"/>
    <s v="Sofa Set"/>
    <x v="1"/>
    <x v="4"/>
    <x v="1"/>
    <x v="2"/>
    <s v="Patna"/>
    <n v="39220.519999999997"/>
    <n v="0.15"/>
    <n v="33337.442000000003"/>
    <n v="2"/>
    <n v="66674.884000000005"/>
    <n v="23336.21"/>
    <d v="2024-12-13T00:00:00"/>
    <x v="8"/>
    <x v="0"/>
    <d v="2024-12-22T00:00:00"/>
    <n v="9"/>
    <x v="2"/>
  </r>
  <r>
    <x v="530"/>
    <s v="Laptop"/>
    <x v="2"/>
    <x v="14"/>
    <x v="1"/>
    <x v="2"/>
    <s v="Kolkata"/>
    <n v="58766.87"/>
    <n v="0.05"/>
    <n v="55828.5265"/>
    <n v="4"/>
    <n v="223314.106"/>
    <n v="78159.94"/>
    <d v="2025-04-25T00:00:00"/>
    <x v="11"/>
    <x v="1"/>
    <d v="2025-04-28T00:00:00"/>
    <n v="3"/>
    <x v="1"/>
  </r>
  <r>
    <x v="531"/>
    <s v="Bed"/>
    <x v="1"/>
    <x v="1"/>
    <x v="1"/>
    <x v="3"/>
    <s v="Pune"/>
    <n v="39852.699999999997"/>
    <n v="0.2"/>
    <n v="31882.16"/>
    <n v="2"/>
    <n v="63764.32"/>
    <n v="22317.51"/>
    <d v="2024-12-29T00:00:00"/>
    <x v="8"/>
    <x v="0"/>
    <d v="2025-01-04T00:00:00"/>
    <n v="6"/>
    <x v="2"/>
  </r>
  <r>
    <x v="532"/>
    <s v="Bed"/>
    <x v="1"/>
    <x v="4"/>
    <x v="1"/>
    <x v="0"/>
    <s v="Hyderabad"/>
    <n v="34040.92"/>
    <n v="0.05"/>
    <n v="32338.874"/>
    <n v="3"/>
    <n v="97016.622000000003"/>
    <n v="33955.82"/>
    <d v="2024-05-27T00:00:00"/>
    <x v="3"/>
    <x v="0"/>
    <d v="2024-06-04T00:00:00"/>
    <n v="8"/>
    <x v="1"/>
  </r>
  <r>
    <x v="533"/>
    <s v="T-Shirt"/>
    <x v="3"/>
    <x v="5"/>
    <x v="2"/>
    <x v="3"/>
    <s v="Pune"/>
    <n v="741.61"/>
    <n v="0.2"/>
    <n v="593.28800000000001"/>
    <n v="2"/>
    <n v="1186.576"/>
    <n v="177.99"/>
    <d v="2024-06-04T00:00:00"/>
    <x v="6"/>
    <x v="0"/>
    <d v="2024-06-07T00:00:00"/>
    <n v="3"/>
    <x v="0"/>
  </r>
  <r>
    <x v="534"/>
    <s v="Refrigerator"/>
    <x v="4"/>
    <x v="8"/>
    <x v="2"/>
    <x v="2"/>
    <s v="Bhubaneswar"/>
    <n v="19744.13"/>
    <n v="0.25"/>
    <n v="14808.0975"/>
    <n v="5"/>
    <n v="74040.487500000003"/>
    <n v="11106.07"/>
    <d v="2024-03-02T00:00:00"/>
    <x v="1"/>
    <x v="0"/>
    <d v="2024-03-05T00:00:00"/>
    <n v="3"/>
    <x v="1"/>
  </r>
  <r>
    <x v="535"/>
    <s v="Formal Shoes"/>
    <x v="0"/>
    <x v="0"/>
    <x v="0"/>
    <x v="3"/>
    <s v="Ahmedabad"/>
    <n v="3612.53"/>
    <n v="0.2"/>
    <n v="2890.0239999999999"/>
    <n v="5"/>
    <n v="14450.119999999999"/>
    <n v="3612.53"/>
    <d v="2024-01-15T00:00:00"/>
    <x v="5"/>
    <x v="0"/>
    <d v="2024-01-17T00:00:00"/>
    <n v="2"/>
    <x v="2"/>
  </r>
  <r>
    <x v="536"/>
    <s v="Headphones"/>
    <x v="2"/>
    <x v="2"/>
    <x v="1"/>
    <x v="1"/>
    <s v="Delhi"/>
    <n v="2414.5500000000002"/>
    <n v="0"/>
    <n v="2414.5500000000002"/>
    <n v="4"/>
    <n v="9658.2000000000007"/>
    <n v="3380.37"/>
    <d v="2024-07-30T00:00:00"/>
    <x v="2"/>
    <x v="0"/>
    <d v="2024-08-04T00:00:00"/>
    <n v="5"/>
    <x v="0"/>
  </r>
  <r>
    <x v="537"/>
    <s v="Refrigerator"/>
    <x v="4"/>
    <x v="12"/>
    <x v="0"/>
    <x v="3"/>
    <s v="Mumbai"/>
    <n v="27309.58"/>
    <n v="0.25"/>
    <n v="20482.185000000001"/>
    <n v="3"/>
    <n v="61446.555000000008"/>
    <n v="15361.64"/>
    <d v="2024-03-21T00:00:00"/>
    <x v="1"/>
    <x v="0"/>
    <d v="2024-03-28T00:00:00"/>
    <n v="7"/>
    <x v="1"/>
  </r>
  <r>
    <x v="538"/>
    <s v="Formal Shoes"/>
    <x v="0"/>
    <x v="0"/>
    <x v="0"/>
    <x v="2"/>
    <s v="Patna"/>
    <n v="3370.43"/>
    <n v="0.15"/>
    <n v="2864.8654999999999"/>
    <n v="2"/>
    <n v="5729.7309999999998"/>
    <n v="1432.43"/>
    <d v="2024-09-28T00:00:00"/>
    <x v="4"/>
    <x v="0"/>
    <d v="2024-09-30T00:00:00"/>
    <n v="2"/>
    <x v="0"/>
  </r>
  <r>
    <x v="539"/>
    <s v="Sofa Set"/>
    <x v="1"/>
    <x v="7"/>
    <x v="0"/>
    <x v="2"/>
    <s v="Patna"/>
    <n v="33947.56"/>
    <n v="0.1"/>
    <n v="30552.804"/>
    <n v="2"/>
    <n v="61105.608"/>
    <n v="15276.4"/>
    <d v="2024-03-16T00:00:00"/>
    <x v="1"/>
    <x v="0"/>
    <d v="2024-03-26T00:00:00"/>
    <n v="10"/>
    <x v="1"/>
  </r>
  <r>
    <x v="540"/>
    <s v="Sneakers"/>
    <x v="0"/>
    <x v="0"/>
    <x v="0"/>
    <x v="2"/>
    <s v="Kolkata"/>
    <n v="2468.91"/>
    <n v="0.3"/>
    <n v="1728.2370000000001"/>
    <n v="2"/>
    <n v="3456.4740000000002"/>
    <n v="432.06"/>
    <d v="2025-06-04T00:00:00"/>
    <x v="6"/>
    <x v="1"/>
    <d v="2025-06-09T00:00:00"/>
    <n v="5"/>
    <x v="0"/>
  </r>
  <r>
    <x v="541"/>
    <s v="Refrigerator"/>
    <x v="4"/>
    <x v="10"/>
    <x v="1"/>
    <x v="1"/>
    <s v="Delhi"/>
    <n v="30852.84"/>
    <n v="0.05"/>
    <n v="29310.198"/>
    <n v="1"/>
    <n v="29310.198"/>
    <n v="10258.57"/>
    <d v="2025-07-11T00:00:00"/>
    <x v="2"/>
    <x v="1"/>
    <d v="2025-07-19T00:00:00"/>
    <n v="8"/>
    <x v="0"/>
  </r>
  <r>
    <x v="542"/>
    <s v="Sofa Set"/>
    <x v="1"/>
    <x v="4"/>
    <x v="1"/>
    <x v="3"/>
    <s v="Mumbai"/>
    <n v="45564.42"/>
    <n v="0.15"/>
    <n v="38729.756999999998"/>
    <n v="5"/>
    <n v="193648.78499999997"/>
    <n v="67777.070000000007"/>
    <d v="2024-05-01T00:00:00"/>
    <x v="3"/>
    <x v="0"/>
    <d v="2024-05-08T00:00:00"/>
    <n v="7"/>
    <x v="1"/>
  </r>
  <r>
    <x v="543"/>
    <s v="Sneakers"/>
    <x v="0"/>
    <x v="11"/>
    <x v="1"/>
    <x v="1"/>
    <s v="Jaipur"/>
    <n v="3021"/>
    <n v="0.25"/>
    <n v="2265.75"/>
    <n v="3"/>
    <n v="6797.25"/>
    <n v="2379.04"/>
    <d v="2025-05-19T00:00:00"/>
    <x v="3"/>
    <x v="1"/>
    <d v="2025-05-25T00:00:00"/>
    <n v="6"/>
    <x v="1"/>
  </r>
  <r>
    <x v="544"/>
    <s v="Formal Shoes"/>
    <x v="0"/>
    <x v="6"/>
    <x v="2"/>
    <x v="3"/>
    <s v="Pune"/>
    <n v="3304.26"/>
    <n v="0.2"/>
    <n v="2643.4079999999999"/>
    <n v="1"/>
    <n v="2643.4079999999999"/>
    <n v="396.51"/>
    <d v="2024-02-02T00:00:00"/>
    <x v="7"/>
    <x v="0"/>
    <d v="2024-02-09T00:00:00"/>
    <n v="7"/>
    <x v="1"/>
  </r>
  <r>
    <x v="545"/>
    <s v="Bed"/>
    <x v="1"/>
    <x v="7"/>
    <x v="0"/>
    <x v="2"/>
    <s v="Patna"/>
    <n v="27218.59"/>
    <n v="0.05"/>
    <n v="25857.660500000002"/>
    <n v="1"/>
    <n v="25857.660500000002"/>
    <n v="6464.41"/>
    <d v="2024-08-10T00:00:00"/>
    <x v="0"/>
    <x v="0"/>
    <d v="2024-08-17T00:00:00"/>
    <n v="7"/>
    <x v="0"/>
  </r>
  <r>
    <x v="546"/>
    <s v="Washing Machine"/>
    <x v="4"/>
    <x v="2"/>
    <x v="1"/>
    <x v="3"/>
    <s v="Pune"/>
    <n v="24100.400000000001"/>
    <n v="0.15"/>
    <n v="20485.34"/>
    <n v="5"/>
    <n v="102426.7"/>
    <n v="35849.339999999997"/>
    <d v="2024-01-16T00:00:00"/>
    <x v="5"/>
    <x v="0"/>
    <d v="2024-01-21T00:00:00"/>
    <n v="5"/>
    <x v="2"/>
  </r>
  <r>
    <x v="547"/>
    <s v="Formal Shoes"/>
    <x v="0"/>
    <x v="11"/>
    <x v="1"/>
    <x v="3"/>
    <s v="Mumbai"/>
    <n v="4756.07"/>
    <n v="0.3"/>
    <n v="3329.2489999999998"/>
    <n v="1"/>
    <n v="3329.2489999999998"/>
    <n v="1165.24"/>
    <d v="2024-02-27T00:00:00"/>
    <x v="7"/>
    <x v="0"/>
    <d v="2024-03-04T00:00:00"/>
    <n v="6"/>
    <x v="1"/>
  </r>
  <r>
    <x v="548"/>
    <s v="Refrigerator"/>
    <x v="4"/>
    <x v="2"/>
    <x v="1"/>
    <x v="0"/>
    <s v="Bengaluru"/>
    <n v="29705.96"/>
    <n v="0.3"/>
    <n v="20794.171999999999"/>
    <n v="3"/>
    <n v="62382.515999999996"/>
    <n v="21833.88"/>
    <d v="2024-05-04T00:00:00"/>
    <x v="3"/>
    <x v="0"/>
    <d v="2024-05-08T00:00:00"/>
    <n v="4"/>
    <x v="1"/>
  </r>
  <r>
    <x v="549"/>
    <s v="Smartphone"/>
    <x v="2"/>
    <x v="14"/>
    <x v="1"/>
    <x v="2"/>
    <s v="Bhubaneswar"/>
    <n v="17330.97"/>
    <n v="0.3"/>
    <n v="12131.679"/>
    <n v="1"/>
    <n v="12131.679"/>
    <n v="4246.09"/>
    <d v="2024-06-27T00:00:00"/>
    <x v="6"/>
    <x v="0"/>
    <d v="2024-07-05T00:00:00"/>
    <n v="8"/>
    <x v="0"/>
  </r>
  <r>
    <x v="550"/>
    <s v="Sneakers"/>
    <x v="0"/>
    <x v="6"/>
    <x v="2"/>
    <x v="0"/>
    <s v="Chennai"/>
    <n v="2003.27"/>
    <n v="0.15"/>
    <n v="1702.7795000000001"/>
    <n v="2"/>
    <n v="3405.5590000000002"/>
    <n v="510.83"/>
    <d v="2025-07-03T00:00:00"/>
    <x v="2"/>
    <x v="1"/>
    <d v="2025-07-09T00:00:00"/>
    <n v="6"/>
    <x v="0"/>
  </r>
  <r>
    <x v="551"/>
    <s v="Smartphone"/>
    <x v="2"/>
    <x v="3"/>
    <x v="0"/>
    <x v="3"/>
    <s v="Mumbai"/>
    <n v="16783.41"/>
    <n v="0.1"/>
    <n v="15105.069"/>
    <n v="1"/>
    <n v="15105.069"/>
    <n v="3776.27"/>
    <d v="2024-02-20T00:00:00"/>
    <x v="7"/>
    <x v="0"/>
    <d v="2024-02-28T00:00:00"/>
    <n v="8"/>
    <x v="1"/>
  </r>
  <r>
    <x v="552"/>
    <s v="Bed"/>
    <x v="1"/>
    <x v="4"/>
    <x v="1"/>
    <x v="3"/>
    <s v="Ahmedabad"/>
    <n v="38712.31"/>
    <n v="0.1"/>
    <n v="34841.078999999998"/>
    <n v="4"/>
    <n v="139364.31599999999"/>
    <n v="48777.51"/>
    <d v="2024-10-26T00:00:00"/>
    <x v="10"/>
    <x v="0"/>
    <d v="2024-11-05T00:00:00"/>
    <n v="10"/>
    <x v="2"/>
  </r>
  <r>
    <x v="553"/>
    <s v="T-Shirt"/>
    <x v="3"/>
    <x v="5"/>
    <x v="2"/>
    <x v="2"/>
    <s v="Patna"/>
    <n v="627.07000000000005"/>
    <n v="0"/>
    <n v="627.07000000000005"/>
    <n v="5"/>
    <n v="3135.3500000000004"/>
    <n v="470.3"/>
    <d v="2025-06-24T00:00:00"/>
    <x v="6"/>
    <x v="1"/>
    <d v="2025-06-30T00:00:00"/>
    <n v="6"/>
    <x v="0"/>
  </r>
  <r>
    <x v="554"/>
    <s v="Refrigerator"/>
    <x v="4"/>
    <x v="2"/>
    <x v="1"/>
    <x v="2"/>
    <s v="Bhubaneswar"/>
    <n v="27496.91"/>
    <n v="0.05"/>
    <n v="26122.0645"/>
    <n v="1"/>
    <n v="26122.0645"/>
    <n v="9142.7199999999993"/>
    <d v="2025-02-12T00:00:00"/>
    <x v="7"/>
    <x v="1"/>
    <d v="2025-02-14T00:00:00"/>
    <n v="2"/>
    <x v="1"/>
  </r>
  <r>
    <x v="555"/>
    <s v="Washing Machine"/>
    <x v="4"/>
    <x v="8"/>
    <x v="2"/>
    <x v="3"/>
    <s v="Mumbai"/>
    <n v="16966.18"/>
    <n v="0.1"/>
    <n v="15269.562"/>
    <n v="2"/>
    <n v="30539.124"/>
    <n v="4580.87"/>
    <d v="2025-04-27T00:00:00"/>
    <x v="11"/>
    <x v="1"/>
    <d v="2025-05-04T00:00:00"/>
    <n v="7"/>
    <x v="1"/>
  </r>
  <r>
    <x v="556"/>
    <s v="Sneakers"/>
    <x v="0"/>
    <x v="11"/>
    <x v="1"/>
    <x v="1"/>
    <s v="Jaipur"/>
    <n v="3082.65"/>
    <n v="0.1"/>
    <n v="2774.3850000000002"/>
    <n v="3"/>
    <n v="8323.1550000000007"/>
    <n v="2913.11"/>
    <d v="2024-11-30T00:00:00"/>
    <x v="9"/>
    <x v="0"/>
    <d v="2024-12-09T00:00:00"/>
    <n v="9"/>
    <x v="2"/>
  </r>
  <r>
    <x v="557"/>
    <s v="Sofa Set"/>
    <x v="1"/>
    <x v="4"/>
    <x v="1"/>
    <x v="2"/>
    <s v="Bhubaneswar"/>
    <n v="39923.08"/>
    <n v="0.15"/>
    <n v="33934.618000000002"/>
    <n v="5"/>
    <n v="169673.09000000003"/>
    <n v="59385.58"/>
    <d v="2025-06-05T00:00:00"/>
    <x v="6"/>
    <x v="1"/>
    <d v="2025-06-12T00:00:00"/>
    <n v="7"/>
    <x v="0"/>
  </r>
  <r>
    <x v="558"/>
    <s v="Sofa Set"/>
    <x v="1"/>
    <x v="18"/>
    <x v="2"/>
    <x v="0"/>
    <s v="Bengaluru"/>
    <n v="28418.32"/>
    <n v="0"/>
    <n v="28418.32"/>
    <n v="4"/>
    <n v="113673.28"/>
    <n v="17050.990000000002"/>
    <d v="2024-07-02T00:00:00"/>
    <x v="2"/>
    <x v="0"/>
    <d v="2024-07-08T00:00:00"/>
    <n v="6"/>
    <x v="0"/>
  </r>
  <r>
    <x v="559"/>
    <s v="Coffee Table"/>
    <x v="1"/>
    <x v="18"/>
    <x v="2"/>
    <x v="1"/>
    <s v="Lucknow"/>
    <n v="6914.96"/>
    <n v="0.2"/>
    <n v="5531.9680000000008"/>
    <n v="5"/>
    <n v="27659.840000000004"/>
    <n v="4148.9799999999996"/>
    <d v="2024-09-19T00:00:00"/>
    <x v="4"/>
    <x v="0"/>
    <d v="2024-09-22T00:00:00"/>
    <n v="3"/>
    <x v="0"/>
  </r>
  <r>
    <x v="560"/>
    <s v="Dining Table"/>
    <x v="1"/>
    <x v="18"/>
    <x v="2"/>
    <x v="1"/>
    <s v="Jaipur"/>
    <n v="22645.17"/>
    <n v="0.15"/>
    <n v="19248.394499999999"/>
    <n v="1"/>
    <n v="19248.394499999999"/>
    <n v="2887.26"/>
    <d v="2024-06-18T00:00:00"/>
    <x v="6"/>
    <x v="0"/>
    <d v="2024-06-22T00:00:00"/>
    <n v="4"/>
    <x v="0"/>
  </r>
  <r>
    <x v="561"/>
    <s v="Coffee Table"/>
    <x v="1"/>
    <x v="1"/>
    <x v="1"/>
    <x v="2"/>
    <s v="Patna"/>
    <n v="9108.09"/>
    <n v="0.3"/>
    <n v="6375.6629999999996"/>
    <n v="5"/>
    <n v="31878.314999999999"/>
    <n v="11157.41"/>
    <d v="2025-02-16T00:00:00"/>
    <x v="7"/>
    <x v="1"/>
    <d v="2025-02-21T00:00:00"/>
    <n v="5"/>
    <x v="1"/>
  </r>
  <r>
    <x v="562"/>
    <s v="T-Shirt"/>
    <x v="3"/>
    <x v="9"/>
    <x v="1"/>
    <x v="1"/>
    <s v="Jaipur"/>
    <n v="976.07"/>
    <n v="0.05"/>
    <n v="927.26649999999995"/>
    <n v="3"/>
    <n v="2781.7995000000001"/>
    <n v="973.63"/>
    <d v="2025-07-07T00:00:00"/>
    <x v="2"/>
    <x v="1"/>
    <d v="2025-07-15T00:00:00"/>
    <n v="8"/>
    <x v="0"/>
  </r>
  <r>
    <x v="563"/>
    <s v="T-Shirt"/>
    <x v="3"/>
    <x v="15"/>
    <x v="1"/>
    <x v="0"/>
    <s v="Chennai"/>
    <n v="983.89"/>
    <n v="0.3"/>
    <n v="688.72299999999996"/>
    <n v="3"/>
    <n v="2066.1689999999999"/>
    <n v="723.16"/>
    <d v="2024-09-06T00:00:00"/>
    <x v="4"/>
    <x v="0"/>
    <d v="2024-09-14T00:00:00"/>
    <n v="8"/>
    <x v="0"/>
  </r>
  <r>
    <x v="564"/>
    <s v="Jeans"/>
    <x v="3"/>
    <x v="15"/>
    <x v="1"/>
    <x v="1"/>
    <s v="Jaipur"/>
    <n v="1928.84"/>
    <n v="0.25"/>
    <n v="1446.63"/>
    <n v="5"/>
    <n v="7233.1500000000005"/>
    <n v="2025.28"/>
    <d v="2024-12-21T00:00:00"/>
    <x v="8"/>
    <x v="0"/>
    <d v="2024-12-23T00:00:00"/>
    <n v="2"/>
    <x v="2"/>
  </r>
  <r>
    <x v="565"/>
    <s v="Sneakers"/>
    <x v="0"/>
    <x v="11"/>
    <x v="1"/>
    <x v="1"/>
    <s v="Delhi"/>
    <n v="3067.43"/>
    <n v="0.2"/>
    <n v="2453.944"/>
    <n v="3"/>
    <n v="7361.8320000000003"/>
    <n v="2576.64"/>
    <d v="2024-02-15T00:00:00"/>
    <x v="7"/>
    <x v="0"/>
    <d v="2024-02-17T00:00:00"/>
    <n v="2"/>
    <x v="1"/>
  </r>
  <r>
    <x v="566"/>
    <s v="Formal Shoes"/>
    <x v="0"/>
    <x v="6"/>
    <x v="2"/>
    <x v="0"/>
    <s v="Hyderabad"/>
    <n v="2968.22"/>
    <n v="0.15"/>
    <n v="2522.9870000000001"/>
    <n v="1"/>
    <n v="2522.9870000000001"/>
    <n v="378.45"/>
    <d v="2025-03-31T00:00:00"/>
    <x v="1"/>
    <x v="1"/>
    <d v="2025-04-10T00:00:00"/>
    <n v="10"/>
    <x v="1"/>
  </r>
  <r>
    <x v="567"/>
    <s v="Microwave"/>
    <x v="4"/>
    <x v="8"/>
    <x v="2"/>
    <x v="0"/>
    <s v="Chennai"/>
    <n v="6541.07"/>
    <n v="0.25"/>
    <n v="4905.8024999999998"/>
    <n v="3"/>
    <n v="14717.407499999999"/>
    <n v="2207.61"/>
    <d v="2025-06-07T00:00:00"/>
    <x v="6"/>
    <x v="1"/>
    <d v="2025-06-10T00:00:00"/>
    <n v="3"/>
    <x v="0"/>
  </r>
  <r>
    <x v="568"/>
    <s v="Microwave"/>
    <x v="4"/>
    <x v="2"/>
    <x v="1"/>
    <x v="0"/>
    <s v="Bengaluru"/>
    <n v="9708.2099999999991"/>
    <n v="0.15"/>
    <n v="8251.9784999999993"/>
    <n v="3"/>
    <n v="24755.9355"/>
    <n v="8664.58"/>
    <d v="2024-11-16T00:00:00"/>
    <x v="9"/>
    <x v="0"/>
    <d v="2024-11-19T00:00:00"/>
    <n v="3"/>
    <x v="2"/>
  </r>
  <r>
    <x v="569"/>
    <s v="Microwave"/>
    <x v="4"/>
    <x v="10"/>
    <x v="1"/>
    <x v="1"/>
    <s v="Jaipur"/>
    <n v="9601.94"/>
    <n v="0.05"/>
    <n v="9121.8430000000008"/>
    <n v="4"/>
    <n v="36487.372000000003"/>
    <n v="12770.58"/>
    <d v="2024-07-28T00:00:00"/>
    <x v="2"/>
    <x v="0"/>
    <d v="2024-08-03T00:00:00"/>
    <n v="6"/>
    <x v="0"/>
  </r>
  <r>
    <x v="570"/>
    <s v="Formal Shoes"/>
    <x v="0"/>
    <x v="6"/>
    <x v="2"/>
    <x v="1"/>
    <s v="Jaipur"/>
    <n v="3064.87"/>
    <n v="0"/>
    <n v="3064.87"/>
    <n v="4"/>
    <n v="12259.48"/>
    <n v="1838.92"/>
    <d v="2024-04-18T00:00:00"/>
    <x v="11"/>
    <x v="0"/>
    <d v="2024-04-23T00:00:00"/>
    <n v="5"/>
    <x v="1"/>
  </r>
  <r>
    <x v="571"/>
    <s v="Headphones"/>
    <x v="2"/>
    <x v="20"/>
    <x v="2"/>
    <x v="3"/>
    <s v="Mumbai"/>
    <n v="1830.55"/>
    <n v="0.2"/>
    <n v="1464.44"/>
    <n v="5"/>
    <n v="7322.2000000000007"/>
    <n v="1098.33"/>
    <d v="2024-08-20T00:00:00"/>
    <x v="0"/>
    <x v="0"/>
    <d v="2024-08-24T00:00:00"/>
    <n v="4"/>
    <x v="0"/>
  </r>
  <r>
    <x v="572"/>
    <s v="Coffee Table"/>
    <x v="1"/>
    <x v="7"/>
    <x v="0"/>
    <x v="2"/>
    <s v="Kolkata"/>
    <n v="7853.87"/>
    <n v="0"/>
    <n v="7853.87"/>
    <n v="5"/>
    <n v="39269.35"/>
    <n v="9817.34"/>
    <d v="2024-11-19T00:00:00"/>
    <x v="9"/>
    <x v="0"/>
    <d v="2024-11-21T00:00:00"/>
    <n v="2"/>
    <x v="2"/>
  </r>
  <r>
    <x v="573"/>
    <s v="Laptop"/>
    <x v="2"/>
    <x v="20"/>
    <x v="2"/>
    <x v="3"/>
    <s v="Pune"/>
    <n v="46253.2"/>
    <n v="0.3"/>
    <n v="32377.239999999991"/>
    <n v="5"/>
    <n v="161886.19999999995"/>
    <n v="24282.93"/>
    <d v="2024-06-28T00:00:00"/>
    <x v="6"/>
    <x v="0"/>
    <d v="2024-07-08T00:00:00"/>
    <n v="10"/>
    <x v="0"/>
  </r>
  <r>
    <x v="574"/>
    <s v="Sofa Set"/>
    <x v="1"/>
    <x v="7"/>
    <x v="0"/>
    <x v="3"/>
    <s v="Pune"/>
    <n v="36834.910000000003"/>
    <n v="0.2"/>
    <n v="29467.928"/>
    <n v="4"/>
    <n v="117871.712"/>
    <n v="29467.93"/>
    <d v="2025-04-24T00:00:00"/>
    <x v="11"/>
    <x v="1"/>
    <d v="2025-04-30T00:00:00"/>
    <n v="6"/>
    <x v="1"/>
  </r>
  <r>
    <x v="575"/>
    <s v="Refrigerator"/>
    <x v="4"/>
    <x v="10"/>
    <x v="1"/>
    <x v="2"/>
    <s v="Patna"/>
    <n v="29190.560000000001"/>
    <n v="0.3"/>
    <n v="20433.392"/>
    <n v="5"/>
    <n v="102166.95999999999"/>
    <n v="35758.44"/>
    <d v="2024-03-27T00:00:00"/>
    <x v="1"/>
    <x v="0"/>
    <d v="2024-03-30T00:00:00"/>
    <n v="3"/>
    <x v="1"/>
  </r>
  <r>
    <x v="576"/>
    <s v="Formal Shoes"/>
    <x v="0"/>
    <x v="0"/>
    <x v="0"/>
    <x v="2"/>
    <s v="Bhubaneswar"/>
    <n v="3185.45"/>
    <n v="0.2"/>
    <n v="2548.36"/>
    <n v="2"/>
    <n v="5096.72"/>
    <n v="1274.18"/>
    <d v="2025-05-12T00:00:00"/>
    <x v="3"/>
    <x v="1"/>
    <d v="2025-05-21T00:00:00"/>
    <n v="9"/>
    <x v="1"/>
  </r>
  <r>
    <x v="577"/>
    <s v="Smartphone"/>
    <x v="2"/>
    <x v="17"/>
    <x v="0"/>
    <x v="2"/>
    <s v="Patna"/>
    <n v="13812.68"/>
    <n v="0"/>
    <n v="13812.68"/>
    <n v="5"/>
    <n v="69063.399999999994"/>
    <n v="17265.849999999999"/>
    <d v="2024-05-14T00:00:00"/>
    <x v="3"/>
    <x v="0"/>
    <d v="2024-05-21T00:00:00"/>
    <n v="7"/>
    <x v="1"/>
  </r>
  <r>
    <x v="578"/>
    <s v="Washing Machine"/>
    <x v="4"/>
    <x v="2"/>
    <x v="1"/>
    <x v="2"/>
    <s v="Bhubaneswar"/>
    <n v="21094.48"/>
    <n v="0.05"/>
    <n v="20039.756000000001"/>
    <n v="2"/>
    <n v="40079.512000000002"/>
    <n v="14027.83"/>
    <d v="2024-03-18T00:00:00"/>
    <x v="1"/>
    <x v="0"/>
    <d v="2024-03-26T00:00:00"/>
    <n v="8"/>
    <x v="1"/>
  </r>
  <r>
    <x v="579"/>
    <s v="Washing Machine"/>
    <x v="4"/>
    <x v="2"/>
    <x v="1"/>
    <x v="2"/>
    <s v="Kolkata"/>
    <n v="20975.13"/>
    <n v="0.15"/>
    <n v="17828.860499999999"/>
    <n v="5"/>
    <n v="89144.302499999991"/>
    <n v="31200.5"/>
    <d v="2024-09-12T00:00:00"/>
    <x v="4"/>
    <x v="0"/>
    <d v="2024-09-21T00:00:00"/>
    <n v="9"/>
    <x v="0"/>
  </r>
  <r>
    <x v="580"/>
    <s v="Microwave"/>
    <x v="4"/>
    <x v="8"/>
    <x v="2"/>
    <x v="3"/>
    <s v="Ahmedabad"/>
    <n v="7001.03"/>
    <n v="0"/>
    <n v="7001.03"/>
    <n v="5"/>
    <n v="35005.15"/>
    <n v="5250.77"/>
    <d v="2025-01-20T00:00:00"/>
    <x v="5"/>
    <x v="1"/>
    <d v="2025-01-29T00:00:00"/>
    <n v="9"/>
    <x v="2"/>
  </r>
  <r>
    <x v="581"/>
    <s v="Laptop"/>
    <x v="2"/>
    <x v="21"/>
    <x v="2"/>
    <x v="0"/>
    <s v="Bengaluru"/>
    <n v="41536.76"/>
    <n v="0.2"/>
    <n v="33229.408000000003"/>
    <n v="4"/>
    <n v="132917.63200000001"/>
    <n v="19937.64"/>
    <d v="2024-08-26T00:00:00"/>
    <x v="0"/>
    <x v="0"/>
    <d v="2024-08-30T00:00:00"/>
    <n v="4"/>
    <x v="0"/>
  </r>
  <r>
    <x v="582"/>
    <s v="Coffee Table"/>
    <x v="1"/>
    <x v="7"/>
    <x v="0"/>
    <x v="3"/>
    <s v="Mumbai"/>
    <n v="8339.91"/>
    <n v="0.1"/>
    <n v="7505.9189999999999"/>
    <n v="4"/>
    <n v="30023.675999999999"/>
    <n v="7505.92"/>
    <d v="2024-03-08T00:00:00"/>
    <x v="1"/>
    <x v="0"/>
    <d v="2024-03-14T00:00:00"/>
    <n v="6"/>
    <x v="1"/>
  </r>
  <r>
    <x v="583"/>
    <s v="Washing Machine"/>
    <x v="4"/>
    <x v="2"/>
    <x v="1"/>
    <x v="1"/>
    <s v="Lucknow"/>
    <n v="22219.08"/>
    <n v="0.25"/>
    <n v="16664.310000000001"/>
    <n v="4"/>
    <n v="66657.240000000005"/>
    <n v="23330.03"/>
    <d v="2024-06-20T00:00:00"/>
    <x v="6"/>
    <x v="0"/>
    <d v="2024-06-23T00:00:00"/>
    <n v="3"/>
    <x v="0"/>
  </r>
  <r>
    <x v="584"/>
    <s v="Sofa Set"/>
    <x v="1"/>
    <x v="1"/>
    <x v="1"/>
    <x v="3"/>
    <s v="Pune"/>
    <n v="44882.8"/>
    <n v="0"/>
    <n v="44882.8"/>
    <n v="1"/>
    <n v="44882.8"/>
    <n v="15708.98"/>
    <d v="2025-07-19T00:00:00"/>
    <x v="2"/>
    <x v="1"/>
    <d v="2025-07-28T00:00:00"/>
    <n v="9"/>
    <x v="0"/>
  </r>
  <r>
    <x v="585"/>
    <s v="T-Shirt"/>
    <x v="3"/>
    <x v="16"/>
    <x v="2"/>
    <x v="0"/>
    <s v="Chennai"/>
    <n v="672.18"/>
    <n v="0.15"/>
    <n v="571.35299999999995"/>
    <n v="6"/>
    <n v="3428.1179999999995"/>
    <n v="257.11"/>
    <d v="2024-10-19T00:00:00"/>
    <x v="10"/>
    <x v="0"/>
    <d v="2024-10-28T00:00:00"/>
    <n v="9"/>
    <x v="2"/>
  </r>
  <r>
    <x v="586"/>
    <s v="Dining Table"/>
    <x v="1"/>
    <x v="7"/>
    <x v="0"/>
    <x v="1"/>
    <s v="Delhi"/>
    <n v="26595.81"/>
    <n v="0.2"/>
    <n v="21276.648000000001"/>
    <n v="1"/>
    <n v="21276.648000000001"/>
    <n v="5319.16"/>
    <d v="2025-03-17T00:00:00"/>
    <x v="1"/>
    <x v="1"/>
    <d v="2025-03-23T00:00:00"/>
    <n v="6"/>
    <x v="1"/>
  </r>
  <r>
    <x v="587"/>
    <s v="Microwave"/>
    <x v="4"/>
    <x v="10"/>
    <x v="1"/>
    <x v="2"/>
    <s v="Kolkata"/>
    <n v="9045.32"/>
    <n v="0.2"/>
    <n v="7236.2560000000003"/>
    <n v="4"/>
    <n v="28945.024000000001"/>
    <n v="10130.76"/>
    <d v="2025-06-29T00:00:00"/>
    <x v="6"/>
    <x v="1"/>
    <d v="2025-07-07T00:00:00"/>
    <n v="8"/>
    <x v="0"/>
  </r>
  <r>
    <x v="588"/>
    <s v="Coffee Table"/>
    <x v="1"/>
    <x v="18"/>
    <x v="2"/>
    <x v="3"/>
    <s v="Pune"/>
    <n v="7286.46"/>
    <n v="0"/>
    <n v="7286.46"/>
    <n v="2"/>
    <n v="14572.92"/>
    <n v="2185.94"/>
    <d v="2024-10-27T00:00:00"/>
    <x v="10"/>
    <x v="0"/>
    <d v="2024-11-03T00:00:00"/>
    <n v="7"/>
    <x v="2"/>
  </r>
  <r>
    <x v="589"/>
    <s v="Formal Shoes"/>
    <x v="0"/>
    <x v="0"/>
    <x v="0"/>
    <x v="0"/>
    <s v="Chennai"/>
    <n v="3331.2"/>
    <n v="0.2"/>
    <n v="2664.96"/>
    <n v="2"/>
    <n v="5329.92"/>
    <n v="1332.48"/>
    <d v="2025-06-17T00:00:00"/>
    <x v="6"/>
    <x v="1"/>
    <d v="2025-06-26T00:00:00"/>
    <n v="9"/>
    <x v="0"/>
  </r>
  <r>
    <x v="590"/>
    <s v="Coffee Table"/>
    <x v="1"/>
    <x v="7"/>
    <x v="0"/>
    <x v="2"/>
    <s v="Patna"/>
    <n v="7626.35"/>
    <n v="0"/>
    <n v="7626.35"/>
    <n v="1"/>
    <n v="7626.35"/>
    <n v="1906.59"/>
    <d v="2024-07-23T00:00:00"/>
    <x v="2"/>
    <x v="0"/>
    <d v="2024-07-28T00:00:00"/>
    <n v="5"/>
    <x v="0"/>
  </r>
  <r>
    <x v="591"/>
    <s v="Washing Machine"/>
    <x v="4"/>
    <x v="10"/>
    <x v="1"/>
    <x v="1"/>
    <s v="Jaipur"/>
    <n v="22040.32"/>
    <n v="0.05"/>
    <n v="20938.304"/>
    <n v="2"/>
    <n v="41876.608"/>
    <n v="14656.81"/>
    <d v="2024-10-21T00:00:00"/>
    <x v="10"/>
    <x v="0"/>
    <d v="2024-10-25T00:00:00"/>
    <n v="4"/>
    <x v="2"/>
  </r>
  <r>
    <x v="592"/>
    <s v="Dining Table"/>
    <x v="1"/>
    <x v="18"/>
    <x v="2"/>
    <x v="3"/>
    <s v="Ahmedabad"/>
    <n v="22050.84"/>
    <n v="0.25"/>
    <n v="16538.13"/>
    <n v="5"/>
    <n v="82690.650000000009"/>
    <n v="12403.6"/>
    <d v="2024-07-16T00:00:00"/>
    <x v="2"/>
    <x v="0"/>
    <d v="2024-07-22T00:00:00"/>
    <n v="6"/>
    <x v="0"/>
  </r>
  <r>
    <x v="593"/>
    <s v="Smartphone"/>
    <x v="2"/>
    <x v="21"/>
    <x v="2"/>
    <x v="3"/>
    <s v="Pune"/>
    <n v="13633"/>
    <n v="0"/>
    <n v="13633"/>
    <n v="5"/>
    <n v="68165"/>
    <n v="10224.75"/>
    <d v="2025-05-19T00:00:00"/>
    <x v="3"/>
    <x v="1"/>
    <d v="2025-05-22T00:00:00"/>
    <n v="3"/>
    <x v="1"/>
  </r>
  <r>
    <x v="594"/>
    <s v="Coffee Table"/>
    <x v="1"/>
    <x v="1"/>
    <x v="1"/>
    <x v="2"/>
    <s v="Patna"/>
    <n v="9433.6299999999992"/>
    <n v="0.2"/>
    <n v="7546.9040000000005"/>
    <n v="4"/>
    <n v="30187.616000000002"/>
    <n v="10565.67"/>
    <d v="2025-01-09T00:00:00"/>
    <x v="5"/>
    <x v="1"/>
    <d v="2025-01-18T00:00:00"/>
    <n v="9"/>
    <x v="2"/>
  </r>
  <r>
    <x v="595"/>
    <s v="Sneakers"/>
    <x v="0"/>
    <x v="0"/>
    <x v="0"/>
    <x v="3"/>
    <s v="Ahmedabad"/>
    <n v="2770.56"/>
    <n v="0"/>
    <n v="2770.56"/>
    <n v="2"/>
    <n v="5541.12"/>
    <n v="1385.28"/>
    <d v="2025-04-08T00:00:00"/>
    <x v="11"/>
    <x v="1"/>
    <d v="2025-04-12T00:00:00"/>
    <n v="4"/>
    <x v="1"/>
  </r>
  <r>
    <x v="596"/>
    <s v="Jeans"/>
    <x v="3"/>
    <x v="15"/>
    <x v="1"/>
    <x v="3"/>
    <s v="Pune"/>
    <n v="1971.41"/>
    <n v="0"/>
    <n v="1971.41"/>
    <n v="4"/>
    <n v="7885.64"/>
    <n v="2759.97"/>
    <d v="2025-04-24T00:00:00"/>
    <x v="11"/>
    <x v="1"/>
    <d v="2025-05-04T00:00:00"/>
    <n v="10"/>
    <x v="1"/>
  </r>
  <r>
    <x v="597"/>
    <s v="Bed"/>
    <x v="1"/>
    <x v="7"/>
    <x v="0"/>
    <x v="1"/>
    <s v="Lucknow"/>
    <n v="32467.41"/>
    <n v="0.15"/>
    <n v="27597.298500000001"/>
    <n v="2"/>
    <n v="55194.597000000002"/>
    <n v="13798.65"/>
    <d v="2025-05-01T00:00:00"/>
    <x v="3"/>
    <x v="1"/>
    <d v="2025-05-05T00:00:00"/>
    <n v="4"/>
    <x v="1"/>
  </r>
  <r>
    <x v="598"/>
    <s v="Headphones"/>
    <x v="2"/>
    <x v="14"/>
    <x v="1"/>
    <x v="1"/>
    <s v="Jaipur"/>
    <n v="2408.5300000000002"/>
    <n v="0.3"/>
    <n v="1685.971"/>
    <n v="1"/>
    <n v="1685.971"/>
    <n v="590.09"/>
    <d v="2025-01-21T00:00:00"/>
    <x v="5"/>
    <x v="1"/>
    <d v="2025-01-29T00:00:00"/>
    <n v="8"/>
    <x v="2"/>
  </r>
  <r>
    <x v="599"/>
    <s v="Washing Machine"/>
    <x v="4"/>
    <x v="10"/>
    <x v="1"/>
    <x v="3"/>
    <s v="Mumbai"/>
    <n v="24354.13"/>
    <n v="0.2"/>
    <n v="19483.304"/>
    <n v="1"/>
    <n v="19483.304"/>
    <n v="6819.15"/>
    <d v="2024-03-20T00:00:00"/>
    <x v="1"/>
    <x v="0"/>
    <d v="2024-03-25T00:00:00"/>
    <n v="5"/>
    <x v="1"/>
  </r>
  <r>
    <x v="600"/>
    <s v="Laptop"/>
    <x v="2"/>
    <x v="17"/>
    <x v="0"/>
    <x v="3"/>
    <s v="Pune"/>
    <n v="56323.99"/>
    <n v="0.25"/>
    <n v="42242.9925"/>
    <n v="2"/>
    <n v="84485.985000000001"/>
    <n v="21121.5"/>
    <d v="2025-07-29T00:00:00"/>
    <x v="2"/>
    <x v="1"/>
    <d v="2025-07-31T00:00:00"/>
    <n v="2"/>
    <x v="0"/>
  </r>
  <r>
    <x v="601"/>
    <s v="T-Shirt"/>
    <x v="3"/>
    <x v="9"/>
    <x v="1"/>
    <x v="2"/>
    <s v="Kolkata"/>
    <n v="870.42"/>
    <n v="0"/>
    <n v="870.42"/>
    <n v="2"/>
    <n v="1740.84"/>
    <n v="609.29"/>
    <d v="2024-09-20T00:00:00"/>
    <x v="4"/>
    <x v="0"/>
    <d v="2024-09-23T00:00:00"/>
    <n v="3"/>
    <x v="0"/>
  </r>
  <r>
    <x v="602"/>
    <s v="Jeans"/>
    <x v="3"/>
    <x v="5"/>
    <x v="2"/>
    <x v="1"/>
    <s v="Jaipur"/>
    <n v="1390.28"/>
    <n v="0.1"/>
    <n v="1251.252"/>
    <n v="4"/>
    <n v="5005.0079999999998"/>
    <n v="750.75"/>
    <d v="2025-06-03T00:00:00"/>
    <x v="6"/>
    <x v="1"/>
    <d v="2025-06-08T00:00:00"/>
    <n v="5"/>
    <x v="0"/>
  </r>
  <r>
    <x v="603"/>
    <s v="Formal Shoes"/>
    <x v="0"/>
    <x v="0"/>
    <x v="0"/>
    <x v="3"/>
    <s v="Pune"/>
    <n v="3943.85"/>
    <n v="0.2"/>
    <n v="3155.08"/>
    <n v="2"/>
    <n v="6310.16"/>
    <n v="1577.54"/>
    <d v="2024-06-24T00:00:00"/>
    <x v="6"/>
    <x v="0"/>
    <d v="2024-06-29T00:00:00"/>
    <n v="5"/>
    <x v="0"/>
  </r>
  <r>
    <x v="604"/>
    <s v="Microwave"/>
    <x v="4"/>
    <x v="8"/>
    <x v="2"/>
    <x v="0"/>
    <s v="Bengaluru"/>
    <n v="6600.14"/>
    <n v="0.25"/>
    <n v="4950.1049999999996"/>
    <n v="3"/>
    <n v="14850.314999999999"/>
    <n v="2227.5500000000002"/>
    <d v="2025-03-09T00:00:00"/>
    <x v="1"/>
    <x v="1"/>
    <d v="2025-03-13T00:00:00"/>
    <n v="4"/>
    <x v="1"/>
  </r>
  <r>
    <x v="605"/>
    <s v="Formal Shoes"/>
    <x v="0"/>
    <x v="6"/>
    <x v="2"/>
    <x v="1"/>
    <s v="Delhi"/>
    <n v="2964.63"/>
    <n v="0"/>
    <n v="2964.63"/>
    <n v="4"/>
    <n v="11858.52"/>
    <n v="1778.78"/>
    <d v="2025-01-14T00:00:00"/>
    <x v="5"/>
    <x v="1"/>
    <d v="2025-01-21T00:00:00"/>
    <n v="7"/>
    <x v="2"/>
  </r>
  <r>
    <x v="606"/>
    <s v="Headphones"/>
    <x v="2"/>
    <x v="2"/>
    <x v="1"/>
    <x v="2"/>
    <s v="Kolkata"/>
    <n v="2351.89"/>
    <n v="0.25"/>
    <n v="1763.9175"/>
    <n v="1"/>
    <n v="1763.9175"/>
    <n v="617.37"/>
    <d v="2024-10-11T00:00:00"/>
    <x v="10"/>
    <x v="0"/>
    <d v="2024-10-13T00:00:00"/>
    <n v="2"/>
    <x v="2"/>
  </r>
  <r>
    <x v="607"/>
    <s v="Sneakers"/>
    <x v="0"/>
    <x v="11"/>
    <x v="1"/>
    <x v="1"/>
    <s v="Jaipur"/>
    <n v="2963.75"/>
    <n v="0"/>
    <n v="2963.75"/>
    <n v="4"/>
    <n v="11855"/>
    <n v="4149.25"/>
    <d v="2024-05-12T00:00:00"/>
    <x v="3"/>
    <x v="0"/>
    <d v="2024-05-17T00:00:00"/>
    <n v="5"/>
    <x v="1"/>
  </r>
  <r>
    <x v="608"/>
    <s v="Jeans"/>
    <x v="3"/>
    <x v="13"/>
    <x v="1"/>
    <x v="0"/>
    <s v="Hyderabad"/>
    <n v="1827.19"/>
    <n v="0"/>
    <n v="1827.19"/>
    <n v="5"/>
    <n v="9135.9500000000007"/>
    <n v="3197.58"/>
    <d v="2024-03-13T00:00:00"/>
    <x v="1"/>
    <x v="0"/>
    <d v="2024-03-22T00:00:00"/>
    <n v="9"/>
    <x v="1"/>
  </r>
  <r>
    <x v="609"/>
    <s v="Laptop"/>
    <x v="2"/>
    <x v="20"/>
    <x v="2"/>
    <x v="3"/>
    <s v="Mumbai"/>
    <n v="46808.27"/>
    <n v="0.25"/>
    <n v="35106.202499999999"/>
    <n v="4"/>
    <n v="140424.81"/>
    <n v="21063.72"/>
    <d v="2024-07-06T00:00:00"/>
    <x v="2"/>
    <x v="0"/>
    <d v="2024-07-08T00:00:00"/>
    <n v="2"/>
    <x v="0"/>
  </r>
  <r>
    <x v="610"/>
    <s v="Formal Shoes"/>
    <x v="0"/>
    <x v="11"/>
    <x v="1"/>
    <x v="3"/>
    <s v="Pune"/>
    <n v="4407.78"/>
    <n v="0.2"/>
    <n v="3526.2240000000002"/>
    <n v="1"/>
    <n v="3526.2240000000002"/>
    <n v="1234.18"/>
    <d v="2024-09-24T00:00:00"/>
    <x v="4"/>
    <x v="0"/>
    <d v="2024-10-01T00:00:00"/>
    <n v="7"/>
    <x v="0"/>
  </r>
  <r>
    <x v="611"/>
    <s v="Jeans"/>
    <x v="3"/>
    <x v="9"/>
    <x v="1"/>
    <x v="1"/>
    <s v="Delhi"/>
    <n v="1939.43"/>
    <n v="0.1"/>
    <n v="1745.4870000000001"/>
    <n v="4"/>
    <n v="6981.9480000000003"/>
    <n v="2443.6799999999998"/>
    <d v="2024-04-24T00:00:00"/>
    <x v="11"/>
    <x v="0"/>
    <d v="2024-04-30T00:00:00"/>
    <n v="6"/>
    <x v="1"/>
  </r>
  <r>
    <x v="612"/>
    <s v="Formal Shoes"/>
    <x v="0"/>
    <x v="0"/>
    <x v="0"/>
    <x v="3"/>
    <s v="Pune"/>
    <n v="3956.73"/>
    <n v="0.25"/>
    <n v="2967.5475000000001"/>
    <n v="4"/>
    <n v="11870.19"/>
    <n v="2967.55"/>
    <d v="2024-09-18T00:00:00"/>
    <x v="4"/>
    <x v="0"/>
    <d v="2024-09-22T00:00:00"/>
    <n v="4"/>
    <x v="0"/>
  </r>
  <r>
    <x v="613"/>
    <s v="Formal Shoes"/>
    <x v="0"/>
    <x v="11"/>
    <x v="1"/>
    <x v="0"/>
    <s v="Chennai"/>
    <n v="4066.28"/>
    <n v="0"/>
    <n v="4066.28"/>
    <n v="2"/>
    <n v="8132.56"/>
    <n v="2846.4"/>
    <d v="2025-03-10T00:00:00"/>
    <x v="1"/>
    <x v="1"/>
    <d v="2025-03-14T00:00:00"/>
    <n v="4"/>
    <x v="1"/>
  </r>
  <r>
    <x v="614"/>
    <s v="Sofa Set"/>
    <x v="1"/>
    <x v="1"/>
    <x v="1"/>
    <x v="3"/>
    <s v="Mumbai"/>
    <n v="46286.91"/>
    <n v="0.05"/>
    <n v="43972.5645"/>
    <n v="2"/>
    <n v="87945.129000000001"/>
    <n v="30780.799999999999"/>
    <d v="2024-02-28T00:00:00"/>
    <x v="7"/>
    <x v="0"/>
    <d v="2024-03-05T00:00:00"/>
    <n v="6"/>
    <x v="1"/>
  </r>
  <r>
    <x v="615"/>
    <s v="Jeans"/>
    <x v="3"/>
    <x v="15"/>
    <x v="1"/>
    <x v="1"/>
    <s v="Jaipur"/>
    <n v="1912.84"/>
    <n v="0.25"/>
    <n v="1434.63"/>
    <n v="2"/>
    <n v="2869.26"/>
    <n v="1004.24"/>
    <d v="2025-02-20T00:00:00"/>
    <x v="7"/>
    <x v="1"/>
    <d v="2025-02-23T00:00:00"/>
    <n v="3"/>
    <x v="1"/>
  </r>
  <r>
    <x v="616"/>
    <s v="T-Shirt"/>
    <x v="3"/>
    <x v="19"/>
    <x v="0"/>
    <x v="3"/>
    <s v="Ahmedabad"/>
    <n v="890.85"/>
    <n v="0.3"/>
    <n v="623.59500000000003"/>
    <n v="2"/>
    <n v="1247.19"/>
    <n v="311.8"/>
    <d v="2024-08-26T00:00:00"/>
    <x v="0"/>
    <x v="0"/>
    <d v="2024-09-05T00:00:00"/>
    <n v="10"/>
    <x v="0"/>
  </r>
  <r>
    <x v="617"/>
    <s v="Headphones"/>
    <x v="2"/>
    <x v="14"/>
    <x v="1"/>
    <x v="2"/>
    <s v="Bhubaneswar"/>
    <n v="2198.81"/>
    <n v="0.15"/>
    <n v="1868.9884999999999"/>
    <n v="4"/>
    <n v="7475.9539999999997"/>
    <n v="2616.58"/>
    <d v="2024-12-15T00:00:00"/>
    <x v="8"/>
    <x v="0"/>
    <d v="2024-12-22T00:00:00"/>
    <n v="7"/>
    <x v="2"/>
  </r>
  <r>
    <x v="618"/>
    <s v="Sofa Set"/>
    <x v="1"/>
    <x v="1"/>
    <x v="1"/>
    <x v="1"/>
    <s v="Lucknow"/>
    <n v="43667.64"/>
    <n v="0.25"/>
    <n v="32750.73"/>
    <n v="3"/>
    <n v="98252.19"/>
    <n v="34388.269999999997"/>
    <d v="2024-06-26T00:00:00"/>
    <x v="6"/>
    <x v="0"/>
    <d v="2024-07-04T00:00:00"/>
    <n v="8"/>
    <x v="0"/>
  </r>
  <r>
    <x v="619"/>
    <s v="Coffee Table"/>
    <x v="1"/>
    <x v="7"/>
    <x v="0"/>
    <x v="3"/>
    <s v="Pune"/>
    <n v="8352.9699999999993"/>
    <n v="0.3"/>
    <n v="5847.0789999999988"/>
    <n v="4"/>
    <n v="23388.315999999995"/>
    <n v="5847.08"/>
    <d v="2024-09-08T00:00:00"/>
    <x v="4"/>
    <x v="0"/>
    <d v="2024-09-17T00:00:00"/>
    <n v="9"/>
    <x v="0"/>
  </r>
  <r>
    <x v="620"/>
    <s v="Smartphone"/>
    <x v="2"/>
    <x v="14"/>
    <x v="1"/>
    <x v="2"/>
    <s v="Bhubaneswar"/>
    <n v="17090.89"/>
    <n v="0.1"/>
    <n v="15381.800999999999"/>
    <n v="5"/>
    <n v="76909.005000000005"/>
    <n v="26918.15"/>
    <d v="2024-06-30T00:00:00"/>
    <x v="6"/>
    <x v="0"/>
    <d v="2024-07-04T00:00:00"/>
    <n v="4"/>
    <x v="0"/>
  </r>
  <r>
    <x v="621"/>
    <s v="Headphones"/>
    <x v="2"/>
    <x v="2"/>
    <x v="1"/>
    <x v="1"/>
    <s v="Jaipur"/>
    <n v="2576.35"/>
    <n v="0.3"/>
    <n v="1803.4449999999999"/>
    <n v="1"/>
    <n v="1803.4449999999999"/>
    <n v="631.20000000000005"/>
    <d v="2024-10-20T00:00:00"/>
    <x v="10"/>
    <x v="0"/>
    <d v="2024-10-28T00:00:00"/>
    <n v="8"/>
    <x v="2"/>
  </r>
  <r>
    <x v="622"/>
    <s v="Laptop"/>
    <x v="2"/>
    <x v="21"/>
    <x v="2"/>
    <x v="2"/>
    <s v="Patna"/>
    <n v="40148.639999999999"/>
    <n v="0.15"/>
    <n v="34126.343999999997"/>
    <n v="1"/>
    <n v="34126.343999999997"/>
    <n v="5118.95"/>
    <d v="2024-06-20T00:00:00"/>
    <x v="6"/>
    <x v="0"/>
    <d v="2024-06-30T00:00:00"/>
    <n v="10"/>
    <x v="0"/>
  </r>
  <r>
    <x v="623"/>
    <s v="Jeans"/>
    <x v="3"/>
    <x v="19"/>
    <x v="0"/>
    <x v="0"/>
    <s v="Chennai"/>
    <n v="1482.32"/>
    <n v="0.15"/>
    <n v="1259.972"/>
    <n v="2"/>
    <n v="2519.944"/>
    <n v="629.99"/>
    <d v="2025-03-11T00:00:00"/>
    <x v="1"/>
    <x v="1"/>
    <d v="2025-03-20T00:00:00"/>
    <n v="9"/>
    <x v="1"/>
  </r>
  <r>
    <x v="624"/>
    <s v="Sofa Set"/>
    <x v="1"/>
    <x v="18"/>
    <x v="2"/>
    <x v="2"/>
    <s v="Bhubaneswar"/>
    <n v="28486.77"/>
    <n v="0"/>
    <n v="28486.77"/>
    <n v="4"/>
    <n v="113947.08"/>
    <n v="17092.060000000001"/>
    <d v="2025-01-20T00:00:00"/>
    <x v="5"/>
    <x v="1"/>
    <d v="2025-01-30T00:00:00"/>
    <n v="10"/>
    <x v="2"/>
  </r>
  <r>
    <x v="625"/>
    <s v="Dining Table"/>
    <x v="1"/>
    <x v="7"/>
    <x v="0"/>
    <x v="1"/>
    <s v="Delhi"/>
    <n v="25404.54"/>
    <n v="0.05"/>
    <n v="24134.312999999998"/>
    <n v="5"/>
    <n v="120671.56499999999"/>
    <n v="30167.89"/>
    <d v="2024-11-30T00:00:00"/>
    <x v="9"/>
    <x v="0"/>
    <d v="2024-12-10T00:00:00"/>
    <n v="10"/>
    <x v="2"/>
  </r>
  <r>
    <x v="626"/>
    <s v="Jacket"/>
    <x v="3"/>
    <x v="13"/>
    <x v="1"/>
    <x v="2"/>
    <s v="Bhubaneswar"/>
    <n v="3358.94"/>
    <n v="0.2"/>
    <n v="2687.152"/>
    <n v="2"/>
    <n v="5374.3040000000001"/>
    <n v="1881"/>
    <d v="2024-04-15T00:00:00"/>
    <x v="11"/>
    <x v="0"/>
    <d v="2024-04-25T00:00:00"/>
    <n v="10"/>
    <x v="1"/>
  </r>
  <r>
    <x v="627"/>
    <s v="Bed"/>
    <x v="1"/>
    <x v="1"/>
    <x v="1"/>
    <x v="3"/>
    <s v="Pune"/>
    <n v="38457.35"/>
    <n v="0.05"/>
    <n v="36534.482499999998"/>
    <n v="1"/>
    <n v="36534.482499999998"/>
    <n v="12787.07"/>
    <d v="2025-05-10T00:00:00"/>
    <x v="3"/>
    <x v="1"/>
    <d v="2025-05-18T00:00:00"/>
    <n v="8"/>
    <x v="1"/>
  </r>
  <r>
    <x v="628"/>
    <s v="Washing Machine"/>
    <x v="4"/>
    <x v="12"/>
    <x v="0"/>
    <x v="2"/>
    <s v="Kolkata"/>
    <n v="16674.41"/>
    <n v="0.1"/>
    <n v="15006.968999999999"/>
    <n v="1"/>
    <n v="15006.968999999999"/>
    <n v="3751.74"/>
    <d v="2025-07-21T00:00:00"/>
    <x v="2"/>
    <x v="1"/>
    <d v="2025-07-24T00:00:00"/>
    <n v="3"/>
    <x v="0"/>
  </r>
  <r>
    <x v="629"/>
    <s v="Refrigerator"/>
    <x v="4"/>
    <x v="10"/>
    <x v="1"/>
    <x v="3"/>
    <s v="Pune"/>
    <n v="33201.39"/>
    <n v="0"/>
    <n v="33201.39"/>
    <n v="2"/>
    <n v="66402.78"/>
    <n v="23240.97"/>
    <d v="2024-02-10T00:00:00"/>
    <x v="7"/>
    <x v="0"/>
    <d v="2024-02-15T00:00:00"/>
    <n v="5"/>
    <x v="1"/>
  </r>
  <r>
    <x v="630"/>
    <s v="Smartphone"/>
    <x v="2"/>
    <x v="20"/>
    <x v="2"/>
    <x v="3"/>
    <s v="Mumbai"/>
    <n v="14230.83"/>
    <n v="0.3"/>
    <n v="9961.5810000000001"/>
    <n v="5"/>
    <n v="49807.904999999999"/>
    <n v="7471.18"/>
    <d v="2025-03-19T00:00:00"/>
    <x v="1"/>
    <x v="1"/>
    <d v="2025-03-26T00:00:00"/>
    <n v="7"/>
    <x v="1"/>
  </r>
  <r>
    <x v="631"/>
    <s v="Sneakers"/>
    <x v="0"/>
    <x v="6"/>
    <x v="2"/>
    <x v="1"/>
    <s v="Delhi"/>
    <n v="2141.73"/>
    <n v="0.05"/>
    <n v="2034.6434999999999"/>
    <n v="5"/>
    <n v="10173.217499999999"/>
    <n v="1525.98"/>
    <d v="2024-10-28T00:00:00"/>
    <x v="10"/>
    <x v="0"/>
    <d v="2024-11-05T00:00:00"/>
    <n v="8"/>
    <x v="2"/>
  </r>
  <r>
    <x v="632"/>
    <s v="Jacket"/>
    <x v="3"/>
    <x v="19"/>
    <x v="0"/>
    <x v="1"/>
    <s v="Delhi"/>
    <n v="3274.49"/>
    <n v="0.15"/>
    <n v="2783.3164999999999"/>
    <n v="8"/>
    <n v="22266.531999999999"/>
    <n v="1391.66"/>
    <d v="2024-01-07T00:00:00"/>
    <x v="5"/>
    <x v="0"/>
    <d v="2024-01-09T00:00:00"/>
    <n v="2"/>
    <x v="2"/>
  </r>
  <r>
    <x v="633"/>
    <s v="Washing Machine"/>
    <x v="4"/>
    <x v="12"/>
    <x v="0"/>
    <x v="1"/>
    <s v="Delhi"/>
    <n v="17923.62"/>
    <n v="0"/>
    <n v="17923.62"/>
    <n v="5"/>
    <n v="89618.099999999991"/>
    <n v="22404.53"/>
    <d v="2024-07-11T00:00:00"/>
    <x v="2"/>
    <x v="0"/>
    <d v="2024-07-18T00:00:00"/>
    <n v="7"/>
    <x v="0"/>
  </r>
  <r>
    <x v="634"/>
    <s v="Smartphone"/>
    <x v="2"/>
    <x v="21"/>
    <x v="2"/>
    <x v="1"/>
    <s v="Jaipur"/>
    <n v="12893.77"/>
    <n v="0.3"/>
    <n v="9025.6389999999992"/>
    <n v="1"/>
    <n v="9025.6389999999992"/>
    <n v="1353.85"/>
    <d v="2025-03-09T00:00:00"/>
    <x v="1"/>
    <x v="1"/>
    <d v="2025-03-14T00:00:00"/>
    <n v="5"/>
    <x v="1"/>
  </r>
  <r>
    <x v="635"/>
    <s v="Dining Table"/>
    <x v="1"/>
    <x v="18"/>
    <x v="2"/>
    <x v="3"/>
    <s v="Pune"/>
    <n v="21923.39"/>
    <n v="0.2"/>
    <n v="17538.712"/>
    <n v="3"/>
    <n v="52616.135999999999"/>
    <n v="7892.42"/>
    <d v="2024-12-31T00:00:00"/>
    <x v="8"/>
    <x v="0"/>
    <d v="2025-01-02T00:00:00"/>
    <n v="2"/>
    <x v="2"/>
  </r>
  <r>
    <x v="636"/>
    <s v="Jacket"/>
    <x v="3"/>
    <x v="15"/>
    <x v="1"/>
    <x v="1"/>
    <s v="Lucknow"/>
    <n v="3826.68"/>
    <n v="0.25"/>
    <n v="2870.01"/>
    <n v="8"/>
    <n v="22960.080000000002"/>
    <n v="1004.5"/>
    <d v="2024-11-23T00:00:00"/>
    <x v="9"/>
    <x v="0"/>
    <d v="2024-12-03T00:00:00"/>
    <n v="10"/>
    <x v="2"/>
  </r>
  <r>
    <x v="637"/>
    <s v="Sofa Set"/>
    <x v="1"/>
    <x v="1"/>
    <x v="1"/>
    <x v="0"/>
    <s v="Chennai"/>
    <n v="42744.52"/>
    <n v="0"/>
    <n v="42744.52"/>
    <n v="5"/>
    <n v="213722.59999999998"/>
    <n v="74802.91"/>
    <d v="2025-03-13T00:00:00"/>
    <x v="1"/>
    <x v="1"/>
    <d v="2025-03-17T00:00:00"/>
    <n v="4"/>
    <x v="1"/>
  </r>
  <r>
    <x v="638"/>
    <s v="Smartphone"/>
    <x v="2"/>
    <x v="20"/>
    <x v="2"/>
    <x v="0"/>
    <s v="Bengaluru"/>
    <n v="12624.98"/>
    <n v="0.1"/>
    <n v="11362.482"/>
    <n v="5"/>
    <n v="56812.41"/>
    <n v="8521.86"/>
    <d v="2025-04-14T00:00:00"/>
    <x v="11"/>
    <x v="1"/>
    <d v="2025-04-16T00:00:00"/>
    <n v="2"/>
    <x v="1"/>
  </r>
  <r>
    <x v="639"/>
    <s v="Refrigerator"/>
    <x v="4"/>
    <x v="2"/>
    <x v="1"/>
    <x v="0"/>
    <s v="Hyderabad"/>
    <n v="30279.69"/>
    <n v="0.2"/>
    <n v="24223.752"/>
    <n v="2"/>
    <n v="48447.504000000001"/>
    <n v="16956.62"/>
    <d v="2024-06-19T00:00:00"/>
    <x v="6"/>
    <x v="0"/>
    <d v="2024-06-26T00:00:00"/>
    <n v="7"/>
    <x v="0"/>
  </r>
  <r>
    <x v="640"/>
    <s v="Formal Shoes"/>
    <x v="0"/>
    <x v="11"/>
    <x v="1"/>
    <x v="1"/>
    <s v="Jaipur"/>
    <n v="4231.91"/>
    <n v="0.2"/>
    <n v="3385.5279999999998"/>
    <n v="5"/>
    <n v="16927.64"/>
    <n v="5924.67"/>
    <d v="2025-06-10T00:00:00"/>
    <x v="6"/>
    <x v="1"/>
    <d v="2025-06-16T00:00:00"/>
    <n v="6"/>
    <x v="0"/>
  </r>
  <r>
    <x v="641"/>
    <s v="Jeans"/>
    <x v="3"/>
    <x v="9"/>
    <x v="1"/>
    <x v="2"/>
    <s v="Kolkata"/>
    <n v="1659.99"/>
    <n v="0.05"/>
    <n v="1576.9905000000001"/>
    <n v="2"/>
    <n v="3153.9810000000002"/>
    <n v="1103.8900000000001"/>
    <d v="2024-05-01T00:00:00"/>
    <x v="3"/>
    <x v="0"/>
    <d v="2024-05-11T00:00:00"/>
    <n v="10"/>
    <x v="1"/>
  </r>
  <r>
    <x v="642"/>
    <s v="Jacket"/>
    <x v="3"/>
    <x v="13"/>
    <x v="1"/>
    <x v="3"/>
    <s v="Ahmedabad"/>
    <n v="3709.9"/>
    <n v="0.1"/>
    <n v="3338.91"/>
    <n v="2"/>
    <n v="6677.82"/>
    <n v="2337.2399999999998"/>
    <d v="2024-08-17T00:00:00"/>
    <x v="0"/>
    <x v="0"/>
    <d v="2024-08-19T00:00:00"/>
    <n v="2"/>
    <x v="0"/>
  </r>
  <r>
    <x v="643"/>
    <s v="Microwave"/>
    <x v="4"/>
    <x v="2"/>
    <x v="1"/>
    <x v="3"/>
    <s v="Mumbai"/>
    <n v="10798"/>
    <n v="0.2"/>
    <n v="8638.4"/>
    <n v="2"/>
    <n v="17276.8"/>
    <n v="6046.88"/>
    <d v="2024-06-03T00:00:00"/>
    <x v="6"/>
    <x v="0"/>
    <d v="2024-06-06T00:00:00"/>
    <n v="3"/>
    <x v="0"/>
  </r>
  <r>
    <x v="644"/>
    <s v="Washing Machine"/>
    <x v="4"/>
    <x v="12"/>
    <x v="0"/>
    <x v="2"/>
    <s v="Kolkata"/>
    <n v="16581.64"/>
    <n v="0"/>
    <n v="16581.64"/>
    <n v="2"/>
    <n v="33163.279999999999"/>
    <n v="8290.82"/>
    <d v="2025-05-16T00:00:00"/>
    <x v="3"/>
    <x v="1"/>
    <d v="2025-05-24T00:00:00"/>
    <n v="8"/>
    <x v="1"/>
  </r>
  <r>
    <x v="645"/>
    <s v="Bed"/>
    <x v="1"/>
    <x v="18"/>
    <x v="2"/>
    <x v="1"/>
    <s v="Delhi"/>
    <n v="25732.240000000002"/>
    <n v="0.2"/>
    <n v="20585.792000000001"/>
    <n v="3"/>
    <n v="61757.376000000004"/>
    <n v="9263.61"/>
    <d v="2024-10-21T00:00:00"/>
    <x v="10"/>
    <x v="0"/>
    <d v="2024-10-24T00:00:00"/>
    <n v="3"/>
    <x v="2"/>
  </r>
  <r>
    <x v="646"/>
    <s v="Bed"/>
    <x v="1"/>
    <x v="1"/>
    <x v="1"/>
    <x v="0"/>
    <s v="Chennai"/>
    <n v="33718.18"/>
    <n v="0.15"/>
    <n v="28660.453000000001"/>
    <n v="3"/>
    <n v="85981.358999999997"/>
    <n v="30093.48"/>
    <d v="2024-08-29T00:00:00"/>
    <x v="0"/>
    <x v="0"/>
    <d v="2024-09-08T00:00:00"/>
    <n v="10"/>
    <x v="0"/>
  </r>
  <r>
    <x v="647"/>
    <s v="Dining Table"/>
    <x v="1"/>
    <x v="18"/>
    <x v="2"/>
    <x v="0"/>
    <s v="Chennai"/>
    <n v="20277.25"/>
    <n v="0.3"/>
    <n v="14194.075000000001"/>
    <n v="1"/>
    <n v="14194.075000000001"/>
    <n v="2129.11"/>
    <d v="2024-07-10T00:00:00"/>
    <x v="2"/>
    <x v="0"/>
    <d v="2024-07-12T00:00:00"/>
    <n v="2"/>
    <x v="0"/>
  </r>
  <r>
    <x v="648"/>
    <s v="Smartphone"/>
    <x v="2"/>
    <x v="2"/>
    <x v="1"/>
    <x v="3"/>
    <s v="Ahmedabad"/>
    <n v="19766.05"/>
    <n v="0"/>
    <n v="19766.05"/>
    <n v="1"/>
    <n v="19766.05"/>
    <n v="6918.12"/>
    <d v="2024-05-19T00:00:00"/>
    <x v="3"/>
    <x v="0"/>
    <d v="2024-05-22T00:00:00"/>
    <n v="3"/>
    <x v="1"/>
  </r>
  <r>
    <x v="649"/>
    <s v="Jeans"/>
    <x v="3"/>
    <x v="13"/>
    <x v="1"/>
    <x v="0"/>
    <s v="Chennai"/>
    <n v="1831.6"/>
    <n v="0.05"/>
    <n v="1740.02"/>
    <n v="1"/>
    <n v="1740.02"/>
    <n v="609.01"/>
    <d v="2025-02-25T00:00:00"/>
    <x v="7"/>
    <x v="1"/>
    <d v="2025-02-27T00:00:00"/>
    <n v="2"/>
    <x v="1"/>
  </r>
  <r>
    <x v="650"/>
    <s v="Coffee Table"/>
    <x v="1"/>
    <x v="1"/>
    <x v="1"/>
    <x v="1"/>
    <s v="Lucknow"/>
    <n v="10256.59"/>
    <n v="0.2"/>
    <n v="8205.2720000000008"/>
    <n v="1"/>
    <n v="8205.2720000000008"/>
    <n v="2871.84"/>
    <d v="2024-11-11T00:00:00"/>
    <x v="9"/>
    <x v="0"/>
    <d v="2024-11-16T00:00:00"/>
    <n v="5"/>
    <x v="2"/>
  </r>
  <r>
    <x v="651"/>
    <s v="Formal Shoes"/>
    <x v="0"/>
    <x v="6"/>
    <x v="2"/>
    <x v="1"/>
    <s v="Lucknow"/>
    <n v="3024.07"/>
    <n v="0.05"/>
    <n v="2872.8665000000001"/>
    <n v="2"/>
    <n v="5745.7330000000002"/>
    <n v="861.86"/>
    <d v="2024-06-14T00:00:00"/>
    <x v="6"/>
    <x v="0"/>
    <d v="2024-06-21T00:00:00"/>
    <n v="7"/>
    <x v="0"/>
  </r>
  <r>
    <x v="652"/>
    <s v="Microwave"/>
    <x v="4"/>
    <x v="8"/>
    <x v="2"/>
    <x v="3"/>
    <s v="Mumbai"/>
    <n v="7268.7"/>
    <n v="0.2"/>
    <n v="5814.96"/>
    <n v="1"/>
    <n v="5814.96"/>
    <n v="872.24"/>
    <d v="2024-02-10T00:00:00"/>
    <x v="7"/>
    <x v="0"/>
    <d v="2024-02-13T00:00:00"/>
    <n v="3"/>
    <x v="1"/>
  </r>
  <r>
    <x v="653"/>
    <s v="Sofa Set"/>
    <x v="1"/>
    <x v="7"/>
    <x v="0"/>
    <x v="0"/>
    <s v="Hyderabad"/>
    <n v="34279.96"/>
    <n v="0.2"/>
    <n v="27423.968000000001"/>
    <n v="3"/>
    <n v="82271.90400000001"/>
    <n v="20567.97"/>
    <d v="2025-02-28T00:00:00"/>
    <x v="7"/>
    <x v="1"/>
    <d v="2025-03-09T00:00:00"/>
    <n v="9"/>
    <x v="1"/>
  </r>
  <r>
    <x v="654"/>
    <s v="Coffee Table"/>
    <x v="1"/>
    <x v="18"/>
    <x v="2"/>
    <x v="0"/>
    <s v="Hyderabad"/>
    <n v="6988.32"/>
    <n v="0.05"/>
    <n v="6638.9040000000005"/>
    <n v="5"/>
    <n v="33194.520000000004"/>
    <n v="4979.18"/>
    <d v="2025-06-03T00:00:00"/>
    <x v="6"/>
    <x v="1"/>
    <d v="2025-06-07T00:00:00"/>
    <n v="4"/>
    <x v="0"/>
  </r>
  <r>
    <x v="655"/>
    <s v="Headphones"/>
    <x v="2"/>
    <x v="2"/>
    <x v="1"/>
    <x v="1"/>
    <s v="Jaipur"/>
    <n v="2460.91"/>
    <n v="0.1"/>
    <n v="2214.819"/>
    <n v="1"/>
    <n v="2214.819"/>
    <n v="775.19"/>
    <d v="2025-01-17T00:00:00"/>
    <x v="5"/>
    <x v="1"/>
    <d v="2025-01-24T00:00:00"/>
    <n v="7"/>
    <x v="2"/>
  </r>
  <r>
    <x v="656"/>
    <s v="Jeans"/>
    <x v="3"/>
    <x v="15"/>
    <x v="1"/>
    <x v="2"/>
    <s v="Kolkata"/>
    <n v="1772.54"/>
    <n v="0.2"/>
    <n v="1418.0319999999999"/>
    <n v="4"/>
    <n v="5672.1279999999997"/>
    <n v="1985.25"/>
    <d v="2024-08-19T00:00:00"/>
    <x v="0"/>
    <x v="0"/>
    <d v="2024-08-26T00:00:00"/>
    <n v="7"/>
    <x v="0"/>
  </r>
  <r>
    <x v="657"/>
    <s v="Jeans"/>
    <x v="3"/>
    <x v="15"/>
    <x v="1"/>
    <x v="1"/>
    <s v="Lucknow"/>
    <n v="1875.01"/>
    <n v="0.3"/>
    <n v="1312.5070000000001"/>
    <n v="6"/>
    <n v="7875.0420000000004"/>
    <n v="459.38"/>
    <d v="2024-12-19T00:00:00"/>
    <x v="8"/>
    <x v="0"/>
    <d v="2024-12-24T00:00:00"/>
    <n v="5"/>
    <x v="2"/>
  </r>
  <r>
    <x v="658"/>
    <s v="Washing Machine"/>
    <x v="4"/>
    <x v="12"/>
    <x v="0"/>
    <x v="2"/>
    <s v="Bhubaneswar"/>
    <n v="17168.05"/>
    <n v="0.05"/>
    <n v="16309.647499999999"/>
    <n v="3"/>
    <n v="48928.942499999997"/>
    <n v="12232.24"/>
    <d v="2025-01-27T00:00:00"/>
    <x v="5"/>
    <x v="1"/>
    <d v="2025-01-31T00:00:00"/>
    <n v="4"/>
    <x v="2"/>
  </r>
  <r>
    <x v="659"/>
    <s v="Refrigerator"/>
    <x v="4"/>
    <x v="8"/>
    <x v="2"/>
    <x v="0"/>
    <s v="Hyderabad"/>
    <n v="21549.52"/>
    <n v="0.3"/>
    <n v="15084.664000000001"/>
    <n v="2"/>
    <n v="30169.328000000001"/>
    <n v="4525.3999999999996"/>
    <d v="2024-06-11T00:00:00"/>
    <x v="6"/>
    <x v="0"/>
    <d v="2024-06-16T00:00:00"/>
    <n v="5"/>
    <x v="0"/>
  </r>
  <r>
    <x v="660"/>
    <s v="Washing Machine"/>
    <x v="4"/>
    <x v="12"/>
    <x v="0"/>
    <x v="0"/>
    <s v="Chennai"/>
    <n v="17104.27"/>
    <n v="0.2"/>
    <n v="13683.415999999999"/>
    <n v="4"/>
    <n v="54733.663999999997"/>
    <n v="13683.42"/>
    <d v="2025-07-09T00:00:00"/>
    <x v="2"/>
    <x v="1"/>
    <d v="2025-07-16T00:00:00"/>
    <n v="7"/>
    <x v="0"/>
  </r>
  <r>
    <x v="661"/>
    <s v="Microwave"/>
    <x v="4"/>
    <x v="2"/>
    <x v="1"/>
    <x v="2"/>
    <s v="Patna"/>
    <n v="8720.5400000000009"/>
    <n v="0.25"/>
    <n v="6540.4050000000007"/>
    <n v="3"/>
    <n v="19621.215000000004"/>
    <n v="6867.43"/>
    <d v="2025-01-04T00:00:00"/>
    <x v="5"/>
    <x v="1"/>
    <d v="2025-01-09T00:00:00"/>
    <n v="5"/>
    <x v="2"/>
  </r>
  <r>
    <x v="662"/>
    <s v="Smartphone"/>
    <x v="2"/>
    <x v="2"/>
    <x v="1"/>
    <x v="0"/>
    <s v="Chennai"/>
    <n v="16989.16"/>
    <n v="0.3"/>
    <n v="11892.412"/>
    <n v="3"/>
    <n v="35677.236000000004"/>
    <n v="12487.03"/>
    <d v="2024-01-23T00:00:00"/>
    <x v="5"/>
    <x v="0"/>
    <d v="2024-02-02T00:00:00"/>
    <n v="10"/>
    <x v="2"/>
  </r>
  <r>
    <x v="663"/>
    <s v="Jacket"/>
    <x v="3"/>
    <x v="13"/>
    <x v="1"/>
    <x v="1"/>
    <s v="Lucknow"/>
    <n v="3826.4"/>
    <n v="0"/>
    <n v="3826.4"/>
    <n v="1"/>
    <n v="3826.4"/>
    <n v="1339.24"/>
    <d v="2025-05-16T00:00:00"/>
    <x v="3"/>
    <x v="1"/>
    <d v="2025-05-24T00:00:00"/>
    <n v="8"/>
    <x v="1"/>
  </r>
  <r>
    <x v="664"/>
    <s v="Formal Shoes"/>
    <x v="0"/>
    <x v="0"/>
    <x v="0"/>
    <x v="0"/>
    <s v="Hyderabad"/>
    <n v="3306.26"/>
    <n v="0"/>
    <n v="3306.26"/>
    <n v="5"/>
    <n v="16531.300000000003"/>
    <n v="4132.82"/>
    <d v="2025-06-25T00:00:00"/>
    <x v="6"/>
    <x v="1"/>
    <d v="2025-06-30T00:00:00"/>
    <n v="5"/>
    <x v="0"/>
  </r>
  <r>
    <x v="665"/>
    <s v="T-Shirt"/>
    <x v="3"/>
    <x v="9"/>
    <x v="1"/>
    <x v="2"/>
    <s v="Patna"/>
    <n v="879.44"/>
    <n v="0"/>
    <n v="879.44"/>
    <n v="3"/>
    <n v="2638.32"/>
    <n v="923.41"/>
    <d v="2024-05-08T00:00:00"/>
    <x v="3"/>
    <x v="0"/>
    <d v="2024-05-12T00:00:00"/>
    <n v="4"/>
    <x v="1"/>
  </r>
  <r>
    <x v="666"/>
    <s v="Coffee Table"/>
    <x v="1"/>
    <x v="1"/>
    <x v="1"/>
    <x v="3"/>
    <s v="Ahmedabad"/>
    <n v="10536.13"/>
    <n v="0.3"/>
    <n v="7375.2909999999993"/>
    <n v="5"/>
    <n v="36876.454999999994"/>
    <n v="12906.76"/>
    <d v="2024-02-28T00:00:00"/>
    <x v="7"/>
    <x v="0"/>
    <d v="2024-03-09T00:00:00"/>
    <n v="10"/>
    <x v="1"/>
  </r>
  <r>
    <x v="667"/>
    <s v="Jacket"/>
    <x v="3"/>
    <x v="16"/>
    <x v="2"/>
    <x v="0"/>
    <s v="Chennai"/>
    <n v="2575.9499999999998"/>
    <n v="0.05"/>
    <n v="2447.1525000000001"/>
    <n v="5"/>
    <n v="12235.762500000001"/>
    <n v="1835.36"/>
    <d v="2024-01-11T00:00:00"/>
    <x v="5"/>
    <x v="0"/>
    <d v="2024-01-18T00:00:00"/>
    <n v="7"/>
    <x v="2"/>
  </r>
  <r>
    <x v="668"/>
    <s v="Headphones"/>
    <x v="2"/>
    <x v="2"/>
    <x v="1"/>
    <x v="2"/>
    <s v="Kolkata"/>
    <n v="2276"/>
    <n v="0.2"/>
    <n v="1820.8"/>
    <n v="5"/>
    <n v="9104"/>
    <n v="3186.4"/>
    <d v="2024-12-06T00:00:00"/>
    <x v="8"/>
    <x v="0"/>
    <d v="2024-12-09T00:00:00"/>
    <n v="3"/>
    <x v="2"/>
  </r>
  <r>
    <x v="669"/>
    <s v="Laptop"/>
    <x v="2"/>
    <x v="14"/>
    <x v="1"/>
    <x v="1"/>
    <s v="Lucknow"/>
    <n v="63264.76"/>
    <n v="0"/>
    <n v="63264.76"/>
    <n v="4"/>
    <n v="253059.04"/>
    <n v="88570.66"/>
    <d v="2025-05-13T00:00:00"/>
    <x v="3"/>
    <x v="1"/>
    <d v="2025-05-16T00:00:00"/>
    <n v="3"/>
    <x v="1"/>
  </r>
  <r>
    <x v="670"/>
    <s v="Formal Shoes"/>
    <x v="0"/>
    <x v="0"/>
    <x v="0"/>
    <x v="1"/>
    <s v="Lucknow"/>
    <n v="3807.07"/>
    <n v="0.3"/>
    <n v="2664.9490000000001"/>
    <n v="4"/>
    <n v="10659.796"/>
    <n v="2664.95"/>
    <d v="2025-01-06T00:00:00"/>
    <x v="5"/>
    <x v="1"/>
    <d v="2025-01-14T00:00:00"/>
    <n v="8"/>
    <x v="2"/>
  </r>
  <r>
    <x v="671"/>
    <s v="Smartphone"/>
    <x v="2"/>
    <x v="14"/>
    <x v="1"/>
    <x v="1"/>
    <s v="Delhi"/>
    <n v="19265.060000000001"/>
    <n v="0.3"/>
    <n v="13485.541999999999"/>
    <n v="3"/>
    <n v="40456.625999999997"/>
    <n v="14159.82"/>
    <d v="2024-12-13T00:00:00"/>
    <x v="8"/>
    <x v="0"/>
    <d v="2024-12-22T00:00:00"/>
    <n v="9"/>
    <x v="2"/>
  </r>
  <r>
    <x v="672"/>
    <s v="Jeans"/>
    <x v="3"/>
    <x v="15"/>
    <x v="1"/>
    <x v="3"/>
    <s v="Mumbai"/>
    <n v="2000.83"/>
    <n v="0.1"/>
    <n v="1800.7470000000001"/>
    <n v="5"/>
    <n v="9003.7350000000006"/>
    <n v="3151.31"/>
    <d v="2024-09-28T00:00:00"/>
    <x v="4"/>
    <x v="0"/>
    <d v="2024-10-05T00:00:00"/>
    <n v="7"/>
    <x v="0"/>
  </r>
  <r>
    <x v="673"/>
    <s v="Laptop"/>
    <x v="2"/>
    <x v="14"/>
    <x v="1"/>
    <x v="1"/>
    <s v="Delhi"/>
    <n v="62414.02"/>
    <n v="0.2"/>
    <n v="49931.216"/>
    <n v="3"/>
    <n v="149793.64799999999"/>
    <n v="52427.78"/>
    <d v="2024-11-01T00:00:00"/>
    <x v="9"/>
    <x v="0"/>
    <d v="2024-11-05T00:00:00"/>
    <n v="4"/>
    <x v="2"/>
  </r>
  <r>
    <x v="674"/>
    <s v="Sofa Set"/>
    <x v="1"/>
    <x v="4"/>
    <x v="1"/>
    <x v="3"/>
    <s v="Pune"/>
    <n v="45996.82"/>
    <n v="0"/>
    <n v="45996.82"/>
    <n v="5"/>
    <n v="229984.1"/>
    <n v="80494.429999999993"/>
    <d v="2024-11-18T00:00:00"/>
    <x v="9"/>
    <x v="0"/>
    <d v="2024-11-22T00:00:00"/>
    <n v="4"/>
    <x v="2"/>
  </r>
  <r>
    <x v="675"/>
    <s v="Sneakers"/>
    <x v="0"/>
    <x v="6"/>
    <x v="2"/>
    <x v="3"/>
    <s v="Mumbai"/>
    <n v="2340.79"/>
    <n v="0.1"/>
    <n v="2106.7109999999998"/>
    <n v="1"/>
    <n v="2106.7109999999998"/>
    <n v="316.01"/>
    <d v="2025-01-20T00:00:00"/>
    <x v="5"/>
    <x v="1"/>
    <d v="2025-01-22T00:00:00"/>
    <n v="2"/>
    <x v="2"/>
  </r>
  <r>
    <x v="676"/>
    <s v="Headphones"/>
    <x v="2"/>
    <x v="3"/>
    <x v="0"/>
    <x v="3"/>
    <s v="Ahmedabad"/>
    <n v="2158.9899999999998"/>
    <n v="0.05"/>
    <n v="2051.0405000000001"/>
    <n v="3"/>
    <n v="6153.1215000000002"/>
    <n v="1538.28"/>
    <d v="2024-12-16T00:00:00"/>
    <x v="8"/>
    <x v="0"/>
    <d v="2024-12-25T00:00:00"/>
    <n v="9"/>
    <x v="2"/>
  </r>
  <r>
    <x v="677"/>
    <s v="T-Shirt"/>
    <x v="3"/>
    <x v="5"/>
    <x v="2"/>
    <x v="1"/>
    <s v="Delhi"/>
    <n v="718.64"/>
    <n v="0"/>
    <n v="718.64"/>
    <n v="8"/>
    <n v="5749.12"/>
    <n v="431.18"/>
    <d v="2024-11-21T00:00:00"/>
    <x v="9"/>
    <x v="0"/>
    <d v="2024-11-25T00:00:00"/>
    <n v="4"/>
    <x v="2"/>
  </r>
  <r>
    <x v="678"/>
    <s v="Washing Machine"/>
    <x v="4"/>
    <x v="2"/>
    <x v="1"/>
    <x v="1"/>
    <s v="Jaipur"/>
    <n v="21590.03"/>
    <n v="0.15"/>
    <n v="18351.5255"/>
    <n v="4"/>
    <n v="73406.101999999999"/>
    <n v="25692.14"/>
    <d v="2025-06-04T00:00:00"/>
    <x v="6"/>
    <x v="1"/>
    <d v="2025-06-12T00:00:00"/>
    <n v="8"/>
    <x v="0"/>
  </r>
  <r>
    <x v="679"/>
    <s v="Formal Shoes"/>
    <x v="0"/>
    <x v="6"/>
    <x v="2"/>
    <x v="0"/>
    <s v="Hyderabad"/>
    <n v="2834.68"/>
    <n v="0.15"/>
    <n v="2409.4780000000001"/>
    <n v="5"/>
    <n v="12047.39"/>
    <n v="1807.11"/>
    <d v="2024-01-21T00:00:00"/>
    <x v="5"/>
    <x v="0"/>
    <d v="2024-01-25T00:00:00"/>
    <n v="4"/>
    <x v="2"/>
  </r>
  <r>
    <x v="680"/>
    <s v="Sofa Set"/>
    <x v="1"/>
    <x v="7"/>
    <x v="0"/>
    <x v="1"/>
    <s v="Jaipur"/>
    <n v="36198.18"/>
    <n v="0.25"/>
    <n v="27148.634999999998"/>
    <n v="5"/>
    <n v="135743.17499999999"/>
    <n v="33935.79"/>
    <d v="2024-09-11T00:00:00"/>
    <x v="4"/>
    <x v="0"/>
    <d v="2024-09-17T00:00:00"/>
    <n v="6"/>
    <x v="0"/>
  </r>
  <r>
    <x v="681"/>
    <s v="Smartphone"/>
    <x v="2"/>
    <x v="21"/>
    <x v="2"/>
    <x v="2"/>
    <s v="Kolkata"/>
    <n v="12431.49"/>
    <n v="0.05"/>
    <n v="11809.915499999999"/>
    <n v="1"/>
    <n v="11809.915499999999"/>
    <n v="1771.49"/>
    <d v="2024-05-08T00:00:00"/>
    <x v="3"/>
    <x v="0"/>
    <d v="2024-05-18T00:00:00"/>
    <n v="10"/>
    <x v="1"/>
  </r>
  <r>
    <x v="682"/>
    <s v="Washing Machine"/>
    <x v="4"/>
    <x v="2"/>
    <x v="1"/>
    <x v="1"/>
    <s v="Lucknow"/>
    <n v="23367.54"/>
    <n v="0.25"/>
    <n v="17525.654999999999"/>
    <n v="2"/>
    <n v="35051.31"/>
    <n v="12267.96"/>
    <d v="2024-06-25T00:00:00"/>
    <x v="6"/>
    <x v="0"/>
    <d v="2024-07-02T00:00:00"/>
    <n v="7"/>
    <x v="0"/>
  </r>
  <r>
    <x v="683"/>
    <s v="Jeans"/>
    <x v="3"/>
    <x v="19"/>
    <x v="0"/>
    <x v="0"/>
    <s v="Hyderabad"/>
    <n v="1498.45"/>
    <n v="0.15"/>
    <n v="1273.6824999999999"/>
    <n v="2"/>
    <n v="2547.3649999999998"/>
    <n v="636.84"/>
    <d v="2024-08-16T00:00:00"/>
    <x v="0"/>
    <x v="0"/>
    <d v="2024-08-25T00:00:00"/>
    <n v="9"/>
    <x v="0"/>
  </r>
  <r>
    <x v="684"/>
    <s v="Laptop"/>
    <x v="2"/>
    <x v="14"/>
    <x v="1"/>
    <x v="0"/>
    <s v="Chennai"/>
    <n v="58318.57"/>
    <n v="0"/>
    <n v="58318.57"/>
    <n v="5"/>
    <n v="291592.84999999998"/>
    <n v="102057.5"/>
    <d v="2024-10-04T00:00:00"/>
    <x v="10"/>
    <x v="0"/>
    <d v="2024-10-13T00:00:00"/>
    <n v="9"/>
    <x v="2"/>
  </r>
  <r>
    <x v="685"/>
    <s v="Formal Shoes"/>
    <x v="0"/>
    <x v="0"/>
    <x v="0"/>
    <x v="2"/>
    <s v="Patna"/>
    <n v="3172.92"/>
    <n v="0.2"/>
    <n v="2538.3359999999998"/>
    <n v="2"/>
    <n v="5076.6719999999996"/>
    <n v="1269.17"/>
    <d v="2025-04-24T00:00:00"/>
    <x v="11"/>
    <x v="1"/>
    <d v="2025-04-29T00:00:00"/>
    <n v="5"/>
    <x v="1"/>
  </r>
  <r>
    <x v="686"/>
    <s v="Microwave"/>
    <x v="4"/>
    <x v="2"/>
    <x v="1"/>
    <x v="2"/>
    <s v="Bhubaneswar"/>
    <n v="9305.23"/>
    <n v="0.1"/>
    <n v="8374.7070000000003"/>
    <n v="4"/>
    <n v="33498.828000000001"/>
    <n v="11724.59"/>
    <d v="2024-02-13T00:00:00"/>
    <x v="7"/>
    <x v="0"/>
    <d v="2024-02-17T00:00:00"/>
    <n v="4"/>
    <x v="1"/>
  </r>
  <r>
    <x v="687"/>
    <s v="Formal Shoes"/>
    <x v="0"/>
    <x v="0"/>
    <x v="0"/>
    <x v="2"/>
    <s v="Bhubaneswar"/>
    <n v="3319.23"/>
    <n v="0.15"/>
    <n v="2821.3454999999999"/>
    <n v="3"/>
    <n v="8464.0365000000002"/>
    <n v="2116.0100000000002"/>
    <d v="2024-08-19T00:00:00"/>
    <x v="0"/>
    <x v="0"/>
    <d v="2024-08-24T00:00:00"/>
    <n v="5"/>
    <x v="0"/>
  </r>
  <r>
    <x v="688"/>
    <s v="Laptop"/>
    <x v="2"/>
    <x v="3"/>
    <x v="0"/>
    <x v="0"/>
    <s v="Hyderabad"/>
    <n v="48287.32"/>
    <n v="0.25"/>
    <n v="36215.49"/>
    <n v="4"/>
    <n v="144861.96"/>
    <n v="36215.49"/>
    <d v="2024-02-15T00:00:00"/>
    <x v="7"/>
    <x v="0"/>
    <d v="2024-02-22T00:00:00"/>
    <n v="7"/>
    <x v="1"/>
  </r>
  <r>
    <x v="689"/>
    <s v="Jacket"/>
    <x v="3"/>
    <x v="19"/>
    <x v="0"/>
    <x v="2"/>
    <s v="Bhubaneswar"/>
    <n v="2990.52"/>
    <n v="0.1"/>
    <n v="2691.4679999999998"/>
    <n v="9"/>
    <n v="24223.212"/>
    <n v="3364.34"/>
    <d v="2024-11-19T00:00:00"/>
    <x v="9"/>
    <x v="0"/>
    <d v="2024-11-26T00:00:00"/>
    <n v="7"/>
    <x v="2"/>
  </r>
  <r>
    <x v="690"/>
    <s v="Sofa Set"/>
    <x v="1"/>
    <x v="18"/>
    <x v="2"/>
    <x v="3"/>
    <s v="Ahmedabad"/>
    <n v="31028.54"/>
    <n v="0.25"/>
    <n v="23271.404999999999"/>
    <n v="3"/>
    <n v="69814.214999999997"/>
    <n v="10472.129999999999"/>
    <d v="2024-03-06T00:00:00"/>
    <x v="1"/>
    <x v="0"/>
    <d v="2024-03-10T00:00:00"/>
    <n v="4"/>
    <x v="1"/>
  </r>
  <r>
    <x v="691"/>
    <s v="Jeans"/>
    <x v="3"/>
    <x v="15"/>
    <x v="1"/>
    <x v="1"/>
    <s v="Lucknow"/>
    <n v="1872.02"/>
    <n v="0.05"/>
    <n v="1778.4190000000001"/>
    <n v="8"/>
    <n v="14227.352000000001"/>
    <n v="622.45000000000005"/>
    <d v="2024-10-20T00:00:00"/>
    <x v="10"/>
    <x v="0"/>
    <d v="2024-10-25T00:00:00"/>
    <n v="5"/>
    <x v="2"/>
  </r>
  <r>
    <x v="692"/>
    <s v="Smartphone"/>
    <x v="2"/>
    <x v="3"/>
    <x v="0"/>
    <x v="2"/>
    <s v="Patna"/>
    <n v="13954.31"/>
    <n v="0"/>
    <n v="13954.31"/>
    <n v="3"/>
    <n v="41862.93"/>
    <n v="10465.73"/>
    <d v="2024-12-13T00:00:00"/>
    <x v="8"/>
    <x v="0"/>
    <d v="2024-12-23T00:00:00"/>
    <n v="10"/>
    <x v="2"/>
  </r>
  <r>
    <x v="693"/>
    <s v="Dining Table"/>
    <x v="1"/>
    <x v="4"/>
    <x v="1"/>
    <x v="2"/>
    <s v="Kolkata"/>
    <n v="29530.27"/>
    <n v="0.1"/>
    <n v="26577.242999999999"/>
    <n v="5"/>
    <n v="132886.215"/>
    <n v="46510.18"/>
    <d v="2025-05-05T00:00:00"/>
    <x v="3"/>
    <x v="1"/>
    <d v="2025-05-09T00:00:00"/>
    <n v="4"/>
    <x v="1"/>
  </r>
  <r>
    <x v="694"/>
    <s v="Formal Shoes"/>
    <x v="0"/>
    <x v="11"/>
    <x v="1"/>
    <x v="3"/>
    <s v="Ahmedabad"/>
    <n v="4429.3599999999997"/>
    <n v="0.05"/>
    <n v="4207.8919999999998"/>
    <n v="4"/>
    <n v="16831.567999999999"/>
    <n v="5891.05"/>
    <d v="2025-05-26T00:00:00"/>
    <x v="3"/>
    <x v="1"/>
    <d v="2025-06-01T00:00:00"/>
    <n v="6"/>
    <x v="1"/>
  </r>
  <r>
    <x v="695"/>
    <s v="Sneakers"/>
    <x v="0"/>
    <x v="11"/>
    <x v="1"/>
    <x v="3"/>
    <s v="Mumbai"/>
    <n v="3156.14"/>
    <n v="0.15"/>
    <n v="2682.7190000000001"/>
    <n v="5"/>
    <n v="13413.595000000001"/>
    <n v="2816.86"/>
    <d v="2024-09-10T00:00:00"/>
    <x v="4"/>
    <x v="0"/>
    <d v="2024-09-12T00:00:00"/>
    <n v="2"/>
    <x v="0"/>
  </r>
  <r>
    <x v="696"/>
    <s v="Sofa Set"/>
    <x v="1"/>
    <x v="1"/>
    <x v="1"/>
    <x v="3"/>
    <s v="Pune"/>
    <n v="46618.66"/>
    <n v="0.2"/>
    <n v="37294.928000000007"/>
    <n v="2"/>
    <n v="74589.856000000014"/>
    <n v="26106.45"/>
    <d v="2024-01-07T00:00:00"/>
    <x v="5"/>
    <x v="0"/>
    <d v="2024-01-15T00:00:00"/>
    <n v="8"/>
    <x v="2"/>
  </r>
  <r>
    <x v="697"/>
    <s v="Sneakers"/>
    <x v="0"/>
    <x v="6"/>
    <x v="2"/>
    <x v="2"/>
    <s v="Bhubaneswar"/>
    <n v="2090.37"/>
    <n v="0.05"/>
    <n v="1985.8515"/>
    <n v="8"/>
    <n v="15886.812"/>
    <n v="1191.51"/>
    <d v="2024-06-21T00:00:00"/>
    <x v="6"/>
    <x v="0"/>
    <d v="2024-06-27T00:00:00"/>
    <n v="6"/>
    <x v="0"/>
  </r>
  <r>
    <x v="698"/>
    <s v="T-Shirt"/>
    <x v="3"/>
    <x v="15"/>
    <x v="1"/>
    <x v="0"/>
    <s v="Hyderabad"/>
    <n v="943.53"/>
    <n v="0.05"/>
    <n v="896.35349999999994"/>
    <n v="2"/>
    <n v="1792.7069999999999"/>
    <n v="627.45000000000005"/>
    <d v="2025-02-13T00:00:00"/>
    <x v="7"/>
    <x v="1"/>
    <d v="2025-02-23T00:00:00"/>
    <n v="10"/>
    <x v="1"/>
  </r>
  <r>
    <x v="699"/>
    <s v="Microwave"/>
    <x v="4"/>
    <x v="12"/>
    <x v="0"/>
    <x v="0"/>
    <s v="Chennai"/>
    <n v="8018.33"/>
    <n v="0.05"/>
    <n v="7617.4134999999997"/>
    <n v="1"/>
    <n v="7617.4134999999997"/>
    <n v="1904.35"/>
    <d v="2024-02-05T00:00:00"/>
    <x v="7"/>
    <x v="0"/>
    <d v="2024-02-09T00:00:00"/>
    <n v="4"/>
    <x v="1"/>
  </r>
  <r>
    <x v="700"/>
    <s v="Washing Machine"/>
    <x v="4"/>
    <x v="12"/>
    <x v="0"/>
    <x v="2"/>
    <s v="Kolkata"/>
    <n v="17022.14"/>
    <n v="0.25"/>
    <n v="12766.605"/>
    <n v="2"/>
    <n v="25533.21"/>
    <n v="6383.3"/>
    <d v="2024-02-14T00:00:00"/>
    <x v="7"/>
    <x v="0"/>
    <d v="2024-02-18T00:00:00"/>
    <n v="4"/>
    <x v="1"/>
  </r>
  <r>
    <x v="701"/>
    <s v="Bed"/>
    <x v="1"/>
    <x v="18"/>
    <x v="2"/>
    <x v="1"/>
    <s v="Jaipur"/>
    <n v="27370.98"/>
    <n v="0.05"/>
    <n v="26002.431"/>
    <n v="3"/>
    <n v="78007.293000000005"/>
    <n v="11701.09"/>
    <d v="2024-12-14T00:00:00"/>
    <x v="8"/>
    <x v="0"/>
    <d v="2024-12-22T00:00:00"/>
    <n v="8"/>
    <x v="2"/>
  </r>
  <r>
    <x v="702"/>
    <s v="Dining Table"/>
    <x v="1"/>
    <x v="18"/>
    <x v="2"/>
    <x v="3"/>
    <s v="Mumbai"/>
    <n v="23069.06"/>
    <n v="0.05"/>
    <n v="21915.607"/>
    <n v="4"/>
    <n v="87662.428"/>
    <n v="13149.36"/>
    <d v="2024-11-28T00:00:00"/>
    <x v="9"/>
    <x v="0"/>
    <d v="2024-12-04T00:00:00"/>
    <n v="6"/>
    <x v="2"/>
  </r>
  <r>
    <x v="703"/>
    <s v="Headphones"/>
    <x v="2"/>
    <x v="3"/>
    <x v="0"/>
    <x v="1"/>
    <s v="Lucknow"/>
    <n v="2006.33"/>
    <n v="0.3"/>
    <n v="1404.431"/>
    <n v="2"/>
    <n v="2808.8620000000001"/>
    <n v="702.22"/>
    <d v="2025-05-08T00:00:00"/>
    <x v="3"/>
    <x v="1"/>
    <d v="2025-05-16T00:00:00"/>
    <n v="8"/>
    <x v="1"/>
  </r>
  <r>
    <x v="704"/>
    <s v="Refrigerator"/>
    <x v="4"/>
    <x v="10"/>
    <x v="1"/>
    <x v="0"/>
    <s v="Chennai"/>
    <n v="28839.599999999999"/>
    <n v="0.2"/>
    <n v="23071.68"/>
    <n v="5"/>
    <n v="115358.39999999999"/>
    <n v="40375.440000000002"/>
    <d v="2024-06-30T00:00:00"/>
    <x v="6"/>
    <x v="0"/>
    <d v="2024-07-09T00:00:00"/>
    <n v="9"/>
    <x v="0"/>
  </r>
  <r>
    <x v="705"/>
    <s v="Bed"/>
    <x v="1"/>
    <x v="18"/>
    <x v="2"/>
    <x v="0"/>
    <s v="Chennai"/>
    <n v="24141.19"/>
    <n v="0.15"/>
    <n v="20520.011500000001"/>
    <n v="3"/>
    <n v="61560.034500000002"/>
    <n v="9234"/>
    <d v="2025-02-28T00:00:00"/>
    <x v="7"/>
    <x v="1"/>
    <d v="2025-03-06T00:00:00"/>
    <n v="6"/>
    <x v="1"/>
  </r>
  <r>
    <x v="706"/>
    <s v="Formal Shoes"/>
    <x v="0"/>
    <x v="6"/>
    <x v="2"/>
    <x v="1"/>
    <s v="Delhi"/>
    <n v="3095.67"/>
    <n v="0.1"/>
    <n v="2786.1030000000001"/>
    <n v="1"/>
    <n v="2786.1030000000001"/>
    <n v="417.91"/>
    <d v="2024-08-15T00:00:00"/>
    <x v="0"/>
    <x v="0"/>
    <d v="2024-08-22T00:00:00"/>
    <n v="7"/>
    <x v="0"/>
  </r>
  <r>
    <x v="707"/>
    <s v="Jeans"/>
    <x v="3"/>
    <x v="19"/>
    <x v="0"/>
    <x v="3"/>
    <s v="Ahmedabad"/>
    <n v="1587.92"/>
    <n v="0.25"/>
    <n v="1190.94"/>
    <n v="4"/>
    <n v="4763.76"/>
    <n v="1190.94"/>
    <d v="2025-02-07T00:00:00"/>
    <x v="7"/>
    <x v="1"/>
    <d v="2025-02-10T00:00:00"/>
    <n v="3"/>
    <x v="1"/>
  </r>
  <r>
    <x v="708"/>
    <s v="Headphones"/>
    <x v="2"/>
    <x v="20"/>
    <x v="2"/>
    <x v="2"/>
    <s v="Patna"/>
    <n v="1587.89"/>
    <n v="0.3"/>
    <n v="1111.5229999999999"/>
    <n v="4"/>
    <n v="4446.0919999999996"/>
    <n v="666.91"/>
    <d v="2024-11-19T00:00:00"/>
    <x v="9"/>
    <x v="0"/>
    <d v="2024-11-27T00:00:00"/>
    <n v="8"/>
    <x v="2"/>
  </r>
  <r>
    <x v="709"/>
    <s v="Sneakers"/>
    <x v="0"/>
    <x v="0"/>
    <x v="0"/>
    <x v="1"/>
    <s v="Delhi"/>
    <n v="2527.73"/>
    <n v="0.3"/>
    <n v="1769.4110000000001"/>
    <n v="6"/>
    <n v="10616.466"/>
    <n v="884.71"/>
    <d v="2024-07-16T00:00:00"/>
    <x v="2"/>
    <x v="0"/>
    <d v="2024-07-20T00:00:00"/>
    <n v="4"/>
    <x v="0"/>
  </r>
  <r>
    <x v="710"/>
    <s v="Laptop"/>
    <x v="2"/>
    <x v="2"/>
    <x v="1"/>
    <x v="2"/>
    <s v="Kolkata"/>
    <n v="57212.49"/>
    <n v="0.3"/>
    <n v="40048.742999999988"/>
    <n v="4"/>
    <n v="160194.97199999995"/>
    <n v="56068.24"/>
    <d v="2025-07-07T00:00:00"/>
    <x v="2"/>
    <x v="1"/>
    <d v="2025-07-17T00:00:00"/>
    <n v="10"/>
    <x v="0"/>
  </r>
  <r>
    <x v="711"/>
    <s v="Washing Machine"/>
    <x v="4"/>
    <x v="8"/>
    <x v="2"/>
    <x v="3"/>
    <s v="Ahmedabad"/>
    <n v="16059.24"/>
    <n v="0.15"/>
    <n v="13650.353999999999"/>
    <n v="3"/>
    <n v="40951.061999999998"/>
    <n v="6142.66"/>
    <d v="2025-04-23T00:00:00"/>
    <x v="11"/>
    <x v="1"/>
    <d v="2025-04-27T00:00:00"/>
    <n v="4"/>
    <x v="1"/>
  </r>
  <r>
    <x v="712"/>
    <s v="Coffee Table"/>
    <x v="1"/>
    <x v="18"/>
    <x v="2"/>
    <x v="0"/>
    <s v="Hyderabad"/>
    <n v="6846.34"/>
    <n v="0.1"/>
    <n v="6161.7060000000001"/>
    <n v="2"/>
    <n v="12323.412"/>
    <n v="1848.51"/>
    <d v="2024-09-06T00:00:00"/>
    <x v="4"/>
    <x v="0"/>
    <d v="2024-09-15T00:00:00"/>
    <n v="9"/>
    <x v="0"/>
  </r>
  <r>
    <x v="713"/>
    <s v="Washing Machine"/>
    <x v="4"/>
    <x v="8"/>
    <x v="2"/>
    <x v="0"/>
    <s v="Bengaluru"/>
    <n v="15617.21"/>
    <n v="0.05"/>
    <n v="14836.3495"/>
    <n v="1"/>
    <n v="14836.3495"/>
    <n v="2225.4499999999998"/>
    <d v="2024-11-25T00:00:00"/>
    <x v="9"/>
    <x v="0"/>
    <d v="2024-12-03T00:00:00"/>
    <n v="8"/>
    <x v="2"/>
  </r>
  <r>
    <x v="714"/>
    <s v="Formal Shoes"/>
    <x v="0"/>
    <x v="6"/>
    <x v="2"/>
    <x v="3"/>
    <s v="Pune"/>
    <n v="3316.45"/>
    <n v="0.05"/>
    <n v="3150.6275000000001"/>
    <n v="5"/>
    <n v="15753.137500000001"/>
    <n v="2362.9699999999998"/>
    <d v="2025-06-16T00:00:00"/>
    <x v="6"/>
    <x v="1"/>
    <d v="2025-06-23T00:00:00"/>
    <n v="7"/>
    <x v="0"/>
  </r>
  <r>
    <x v="715"/>
    <s v="Headphones"/>
    <x v="2"/>
    <x v="17"/>
    <x v="0"/>
    <x v="3"/>
    <s v="Pune"/>
    <n v="2190.59"/>
    <n v="0"/>
    <n v="2190.59"/>
    <n v="3"/>
    <n v="6571.77"/>
    <n v="1642.94"/>
    <d v="2025-03-11T00:00:00"/>
    <x v="1"/>
    <x v="1"/>
    <d v="2025-03-13T00:00:00"/>
    <n v="2"/>
    <x v="1"/>
  </r>
  <r>
    <x v="716"/>
    <s v="Coffee Table"/>
    <x v="1"/>
    <x v="7"/>
    <x v="0"/>
    <x v="0"/>
    <s v="Chennai"/>
    <n v="7762.53"/>
    <n v="0.15"/>
    <n v="6598.1504999999997"/>
    <n v="2"/>
    <n v="13196.300999999999"/>
    <n v="3299.07"/>
    <d v="2024-10-08T00:00:00"/>
    <x v="10"/>
    <x v="0"/>
    <d v="2024-10-15T00:00:00"/>
    <n v="7"/>
    <x v="2"/>
  </r>
  <r>
    <x v="717"/>
    <s v="Formal Shoes"/>
    <x v="0"/>
    <x v="6"/>
    <x v="2"/>
    <x v="1"/>
    <s v="Jaipur"/>
    <n v="3052.84"/>
    <n v="0.3"/>
    <n v="2136.9879999999998"/>
    <n v="3"/>
    <n v="6410.9639999999999"/>
    <n v="961.64"/>
    <d v="2024-01-25T00:00:00"/>
    <x v="5"/>
    <x v="0"/>
    <d v="2024-01-28T00:00:00"/>
    <n v="3"/>
    <x v="2"/>
  </r>
  <r>
    <x v="718"/>
    <s v="Microwave"/>
    <x v="4"/>
    <x v="10"/>
    <x v="1"/>
    <x v="3"/>
    <s v="Pune"/>
    <n v="10405.14"/>
    <n v="0.2"/>
    <n v="8324.1119999999992"/>
    <n v="2"/>
    <n v="16648.223999999998"/>
    <n v="5826.88"/>
    <d v="2025-06-09T00:00:00"/>
    <x v="6"/>
    <x v="1"/>
    <d v="2025-06-15T00:00:00"/>
    <n v="6"/>
    <x v="0"/>
  </r>
  <r>
    <x v="719"/>
    <s v="Refrigerator"/>
    <x v="4"/>
    <x v="2"/>
    <x v="1"/>
    <x v="0"/>
    <s v="Bengaluru"/>
    <n v="29605.91"/>
    <n v="0.1"/>
    <n v="26645.319"/>
    <n v="3"/>
    <n v="79935.956999999995"/>
    <n v="27977.59"/>
    <d v="2024-10-21T00:00:00"/>
    <x v="10"/>
    <x v="0"/>
    <d v="2024-10-30T00:00:00"/>
    <n v="9"/>
    <x v="2"/>
  </r>
  <r>
    <x v="720"/>
    <s v="Microwave"/>
    <x v="4"/>
    <x v="8"/>
    <x v="2"/>
    <x v="0"/>
    <s v="Bengaluru"/>
    <n v="6499.55"/>
    <n v="0.1"/>
    <n v="5849.5950000000003"/>
    <n v="5"/>
    <n v="29247.975000000002"/>
    <n v="4387.2"/>
    <d v="2025-04-02T00:00:00"/>
    <x v="11"/>
    <x v="1"/>
    <d v="2025-04-11T00:00:00"/>
    <n v="9"/>
    <x v="1"/>
  </r>
  <r>
    <x v="721"/>
    <s v="Sofa Set"/>
    <x v="1"/>
    <x v="7"/>
    <x v="0"/>
    <x v="2"/>
    <s v="Bhubaneswar"/>
    <n v="33092.76"/>
    <n v="0.25"/>
    <n v="24819.57"/>
    <n v="4"/>
    <n v="99278.28"/>
    <n v="24819.57"/>
    <d v="2024-01-12T00:00:00"/>
    <x v="5"/>
    <x v="0"/>
    <d v="2024-01-19T00:00:00"/>
    <n v="7"/>
    <x v="2"/>
  </r>
  <r>
    <x v="722"/>
    <s v="Microwave"/>
    <x v="4"/>
    <x v="8"/>
    <x v="2"/>
    <x v="1"/>
    <s v="Delhi"/>
    <n v="7149.2"/>
    <n v="0.3"/>
    <n v="5004.4399999999996"/>
    <n v="1"/>
    <n v="5004.4399999999996"/>
    <n v="750.67"/>
    <d v="2025-04-27T00:00:00"/>
    <x v="11"/>
    <x v="1"/>
    <d v="2025-05-07T00:00:00"/>
    <n v="10"/>
    <x v="1"/>
  </r>
  <r>
    <x v="723"/>
    <s v="Headphones"/>
    <x v="2"/>
    <x v="17"/>
    <x v="0"/>
    <x v="0"/>
    <s v="Bengaluru"/>
    <n v="1882.52"/>
    <n v="0"/>
    <n v="1882.52"/>
    <n v="2"/>
    <n v="3765.04"/>
    <n v="941.26"/>
    <d v="2024-11-24T00:00:00"/>
    <x v="9"/>
    <x v="0"/>
    <d v="2024-11-30T00:00:00"/>
    <n v="6"/>
    <x v="2"/>
  </r>
  <r>
    <x v="724"/>
    <s v="Smartphone"/>
    <x v="2"/>
    <x v="17"/>
    <x v="0"/>
    <x v="2"/>
    <s v="Patna"/>
    <n v="14413.12"/>
    <n v="0.2"/>
    <n v="11530.495999999999"/>
    <n v="2"/>
    <n v="23060.991999999998"/>
    <n v="5765.25"/>
    <d v="2024-12-07T00:00:00"/>
    <x v="8"/>
    <x v="0"/>
    <d v="2024-12-09T00:00:00"/>
    <n v="2"/>
    <x v="2"/>
  </r>
  <r>
    <x v="725"/>
    <s v="Jeans"/>
    <x v="3"/>
    <x v="9"/>
    <x v="1"/>
    <x v="0"/>
    <s v="Chennai"/>
    <n v="1692.53"/>
    <n v="0.25"/>
    <n v="1269.3975"/>
    <n v="9"/>
    <n v="11424.577499999999"/>
    <n v="1777.16"/>
    <d v="2024-12-22T00:00:00"/>
    <x v="8"/>
    <x v="0"/>
    <d v="2024-12-25T00:00:00"/>
    <n v="3"/>
    <x v="2"/>
  </r>
  <r>
    <x v="726"/>
    <s v="T-Shirt"/>
    <x v="3"/>
    <x v="5"/>
    <x v="2"/>
    <x v="2"/>
    <s v="Bhubaneswar"/>
    <n v="654.01"/>
    <n v="0.1"/>
    <n v="588.60900000000004"/>
    <n v="4"/>
    <n v="2354.4360000000001"/>
    <n v="353.17"/>
    <d v="2025-06-26T00:00:00"/>
    <x v="6"/>
    <x v="1"/>
    <d v="2025-07-04T00:00:00"/>
    <n v="8"/>
    <x v="0"/>
  </r>
  <r>
    <x v="727"/>
    <s v="Jeans"/>
    <x v="3"/>
    <x v="16"/>
    <x v="2"/>
    <x v="1"/>
    <s v="Delhi"/>
    <n v="1359.73"/>
    <n v="0.05"/>
    <n v="1291.7435"/>
    <n v="5"/>
    <n v="6458.7175000000007"/>
    <n v="968.81"/>
    <d v="2025-07-05T00:00:00"/>
    <x v="2"/>
    <x v="1"/>
    <d v="2025-07-11T00:00:00"/>
    <n v="6"/>
    <x v="0"/>
  </r>
  <r>
    <x v="728"/>
    <s v="Coffee Table"/>
    <x v="1"/>
    <x v="4"/>
    <x v="1"/>
    <x v="3"/>
    <s v="Ahmedabad"/>
    <n v="10144.43"/>
    <n v="0.05"/>
    <n v="9637.2085000000006"/>
    <n v="1"/>
    <n v="9637.2085000000006"/>
    <n v="3373.02"/>
    <d v="2024-07-15T00:00:00"/>
    <x v="2"/>
    <x v="0"/>
    <d v="2024-07-21T00:00:00"/>
    <n v="6"/>
    <x v="0"/>
  </r>
  <r>
    <x v="729"/>
    <s v="Dining Table"/>
    <x v="1"/>
    <x v="4"/>
    <x v="1"/>
    <x v="2"/>
    <s v="Kolkata"/>
    <n v="27533.55"/>
    <n v="0.3"/>
    <n v="19273.485000000001"/>
    <n v="4"/>
    <n v="77093.94"/>
    <n v="26982.880000000001"/>
    <d v="2024-11-26T00:00:00"/>
    <x v="9"/>
    <x v="0"/>
    <d v="2024-11-29T00:00:00"/>
    <n v="3"/>
    <x v="2"/>
  </r>
  <r>
    <x v="730"/>
    <s v="T-Shirt"/>
    <x v="3"/>
    <x v="9"/>
    <x v="1"/>
    <x v="1"/>
    <s v="Lucknow"/>
    <n v="1006.65"/>
    <n v="0"/>
    <n v="1006.65"/>
    <n v="4"/>
    <n v="4026.6"/>
    <n v="1409.31"/>
    <d v="2024-05-18T00:00:00"/>
    <x v="3"/>
    <x v="0"/>
    <d v="2024-05-28T00:00:00"/>
    <n v="10"/>
    <x v="1"/>
  </r>
  <r>
    <x v="731"/>
    <s v="Sofa Set"/>
    <x v="1"/>
    <x v="4"/>
    <x v="1"/>
    <x v="1"/>
    <s v="Lucknow"/>
    <n v="45441.95"/>
    <n v="0.05"/>
    <n v="43169.852499999994"/>
    <n v="1"/>
    <n v="43169.852499999994"/>
    <n v="15109.45"/>
    <d v="2024-02-17T00:00:00"/>
    <x v="7"/>
    <x v="0"/>
    <d v="2024-02-20T00:00:00"/>
    <n v="3"/>
    <x v="1"/>
  </r>
  <r>
    <x v="732"/>
    <s v="T-Shirt"/>
    <x v="3"/>
    <x v="9"/>
    <x v="1"/>
    <x v="3"/>
    <s v="Pune"/>
    <n v="1044.8"/>
    <n v="0.25"/>
    <n v="783.59999999999991"/>
    <n v="8"/>
    <n v="6268.7999999999993"/>
    <n v="274.26"/>
    <d v="2024-10-23T00:00:00"/>
    <x v="10"/>
    <x v="0"/>
    <d v="2024-10-25T00:00:00"/>
    <n v="2"/>
    <x v="2"/>
  </r>
  <r>
    <x v="733"/>
    <s v="Headphones"/>
    <x v="2"/>
    <x v="17"/>
    <x v="0"/>
    <x v="3"/>
    <s v="Mumbai"/>
    <n v="2222.69"/>
    <n v="0.25"/>
    <n v="1667.0174999999999"/>
    <n v="1"/>
    <n v="1667.0174999999999"/>
    <n v="416.75"/>
    <d v="2024-04-06T00:00:00"/>
    <x v="11"/>
    <x v="0"/>
    <d v="2024-04-08T00:00:00"/>
    <n v="2"/>
    <x v="1"/>
  </r>
  <r>
    <x v="734"/>
    <s v="Jacket"/>
    <x v="3"/>
    <x v="15"/>
    <x v="1"/>
    <x v="3"/>
    <s v="Mumbai"/>
    <n v="3960.84"/>
    <n v="0.25"/>
    <n v="2970.63"/>
    <n v="5"/>
    <n v="14853.150000000001"/>
    <n v="5198.6000000000004"/>
    <d v="2025-07-10T00:00:00"/>
    <x v="2"/>
    <x v="1"/>
    <d v="2025-07-14T00:00:00"/>
    <n v="4"/>
    <x v="0"/>
  </r>
  <r>
    <x v="735"/>
    <s v="Jeans"/>
    <x v="3"/>
    <x v="15"/>
    <x v="1"/>
    <x v="0"/>
    <s v="Chennai"/>
    <n v="1801.08"/>
    <n v="0.1"/>
    <n v="1620.972"/>
    <n v="5"/>
    <n v="8104.86"/>
    <n v="2836.7"/>
    <d v="2025-03-11T00:00:00"/>
    <x v="1"/>
    <x v="1"/>
    <d v="2025-03-21T00:00:00"/>
    <n v="10"/>
    <x v="1"/>
  </r>
  <r>
    <x v="736"/>
    <s v="Refrigerator"/>
    <x v="4"/>
    <x v="12"/>
    <x v="0"/>
    <x v="0"/>
    <s v="Bengaluru"/>
    <n v="24409.09"/>
    <n v="0.25"/>
    <n v="18306.817500000001"/>
    <n v="1"/>
    <n v="18306.817500000001"/>
    <n v="4576.7"/>
    <d v="2024-04-28T00:00:00"/>
    <x v="11"/>
    <x v="0"/>
    <d v="2024-05-08T00:00:00"/>
    <n v="10"/>
    <x v="1"/>
  </r>
  <r>
    <x v="737"/>
    <s v="Coffee Table"/>
    <x v="1"/>
    <x v="4"/>
    <x v="1"/>
    <x v="2"/>
    <s v="Bhubaneswar"/>
    <n v="9336.19"/>
    <n v="0.3"/>
    <n v="6535.3329999999996"/>
    <n v="1"/>
    <n v="6535.3329999999996"/>
    <n v="2287.37"/>
    <d v="2024-01-10T00:00:00"/>
    <x v="5"/>
    <x v="0"/>
    <d v="2024-01-18T00:00:00"/>
    <n v="8"/>
    <x v="2"/>
  </r>
  <r>
    <x v="738"/>
    <s v="Sofa Set"/>
    <x v="1"/>
    <x v="7"/>
    <x v="0"/>
    <x v="2"/>
    <s v="Kolkata"/>
    <n v="32037.75"/>
    <n v="0.15"/>
    <n v="27232.087500000001"/>
    <n v="4"/>
    <n v="108928.35"/>
    <n v="27232.09"/>
    <d v="2025-02-12T00:00:00"/>
    <x v="7"/>
    <x v="1"/>
    <d v="2025-02-16T00:00:00"/>
    <n v="4"/>
    <x v="1"/>
  </r>
  <r>
    <x v="739"/>
    <s v="Smartphone"/>
    <x v="2"/>
    <x v="21"/>
    <x v="2"/>
    <x v="1"/>
    <s v="Lucknow"/>
    <n v="13654.93"/>
    <n v="0.15"/>
    <n v="11606.690500000001"/>
    <n v="3"/>
    <n v="34820.071500000005"/>
    <n v="5223.01"/>
    <d v="2024-02-26T00:00:00"/>
    <x v="7"/>
    <x v="0"/>
    <d v="2024-03-06T00:00:00"/>
    <n v="9"/>
    <x v="1"/>
  </r>
  <r>
    <x v="740"/>
    <s v="Sneakers"/>
    <x v="0"/>
    <x v="0"/>
    <x v="0"/>
    <x v="3"/>
    <s v="Pune"/>
    <n v="2568.31"/>
    <n v="0"/>
    <n v="2568.31"/>
    <n v="1"/>
    <n v="2568.31"/>
    <n v="642.08000000000004"/>
    <d v="2024-05-31T00:00:00"/>
    <x v="3"/>
    <x v="0"/>
    <d v="2024-06-10T00:00:00"/>
    <n v="10"/>
    <x v="1"/>
  </r>
  <r>
    <x v="741"/>
    <s v="Laptop"/>
    <x v="2"/>
    <x v="20"/>
    <x v="2"/>
    <x v="2"/>
    <s v="Kolkata"/>
    <n v="39645.949999999997"/>
    <n v="0.1"/>
    <n v="35681.355000000003"/>
    <n v="5"/>
    <n v="178406.77500000002"/>
    <n v="26761.02"/>
    <d v="2024-05-28T00:00:00"/>
    <x v="3"/>
    <x v="0"/>
    <d v="2024-05-31T00:00:00"/>
    <n v="3"/>
    <x v="1"/>
  </r>
  <r>
    <x v="742"/>
    <s v="T-Shirt"/>
    <x v="3"/>
    <x v="5"/>
    <x v="2"/>
    <x v="2"/>
    <s v="Kolkata"/>
    <n v="620.75"/>
    <n v="0.1"/>
    <n v="558.67500000000007"/>
    <n v="9"/>
    <n v="5028.0750000000007"/>
    <n v="335.2"/>
    <d v="2024-01-27T00:00:00"/>
    <x v="5"/>
    <x v="0"/>
    <d v="2024-02-03T00:00:00"/>
    <n v="7"/>
    <x v="2"/>
  </r>
  <r>
    <x v="743"/>
    <s v="Laptop"/>
    <x v="2"/>
    <x v="3"/>
    <x v="0"/>
    <x v="1"/>
    <s v="Delhi"/>
    <n v="52109.79"/>
    <n v="0.05"/>
    <n v="49504.300499999998"/>
    <n v="1"/>
    <n v="49504.300499999998"/>
    <n v="12376.08"/>
    <d v="2025-05-22T00:00:00"/>
    <x v="3"/>
    <x v="1"/>
    <d v="2025-05-26T00:00:00"/>
    <n v="4"/>
    <x v="1"/>
  </r>
  <r>
    <x v="744"/>
    <s v="Sneakers"/>
    <x v="0"/>
    <x v="11"/>
    <x v="1"/>
    <x v="2"/>
    <s v="Patna"/>
    <n v="2789.83"/>
    <n v="0.05"/>
    <n v="2650.3384999999998"/>
    <n v="1"/>
    <n v="2650.3384999999998"/>
    <n v="927.62"/>
    <d v="2025-04-17T00:00:00"/>
    <x v="11"/>
    <x v="1"/>
    <d v="2025-04-26T00:00:00"/>
    <n v="9"/>
    <x v="1"/>
  </r>
  <r>
    <x v="745"/>
    <s v="Sofa Set"/>
    <x v="1"/>
    <x v="1"/>
    <x v="1"/>
    <x v="2"/>
    <s v="Kolkata"/>
    <n v="39640.85"/>
    <n v="0"/>
    <n v="39640.85"/>
    <n v="4"/>
    <n v="158563.4"/>
    <n v="55497.19"/>
    <d v="2024-02-02T00:00:00"/>
    <x v="7"/>
    <x v="0"/>
    <d v="2024-02-08T00:00:00"/>
    <n v="6"/>
    <x v="1"/>
  </r>
  <r>
    <x v="746"/>
    <s v="Sofa Set"/>
    <x v="1"/>
    <x v="18"/>
    <x v="2"/>
    <x v="3"/>
    <s v="Pune"/>
    <n v="30688.29"/>
    <n v="0.1"/>
    <n v="27619.460999999999"/>
    <n v="5"/>
    <n v="138097.30499999999"/>
    <n v="20714.599999999999"/>
    <d v="2024-11-06T00:00:00"/>
    <x v="9"/>
    <x v="0"/>
    <d v="2024-11-16T00:00:00"/>
    <n v="10"/>
    <x v="2"/>
  </r>
  <r>
    <x v="747"/>
    <s v="T-Shirt"/>
    <x v="3"/>
    <x v="5"/>
    <x v="2"/>
    <x v="1"/>
    <s v="Delhi"/>
    <n v="709.25"/>
    <n v="0.15"/>
    <n v="602.86249999999995"/>
    <n v="8"/>
    <n v="4822.8999999999996"/>
    <n v="452.15"/>
    <d v="2024-11-11T00:00:00"/>
    <x v="9"/>
    <x v="0"/>
    <d v="2024-11-18T00:00:00"/>
    <n v="7"/>
    <x v="2"/>
  </r>
  <r>
    <x v="748"/>
    <s v="Laptop"/>
    <x v="2"/>
    <x v="17"/>
    <x v="0"/>
    <x v="1"/>
    <s v="Lucknow"/>
    <n v="52408.26"/>
    <n v="0.05"/>
    <n v="49787.847000000002"/>
    <n v="4"/>
    <n v="199151.38800000001"/>
    <n v="49787.85"/>
    <d v="2024-04-05T00:00:00"/>
    <x v="11"/>
    <x v="0"/>
    <d v="2024-04-12T00:00:00"/>
    <n v="7"/>
    <x v="1"/>
  </r>
  <r>
    <x v="749"/>
    <s v="Smartphone"/>
    <x v="2"/>
    <x v="3"/>
    <x v="0"/>
    <x v="3"/>
    <s v="Ahmedabad"/>
    <n v="16894.349999999999"/>
    <n v="0"/>
    <n v="16894.349999999999"/>
    <n v="5"/>
    <n v="84471.75"/>
    <n v="21117.94"/>
    <d v="2024-08-21T00:00:00"/>
    <x v="0"/>
    <x v="0"/>
    <d v="2024-08-24T00:00:00"/>
    <n v="3"/>
    <x v="0"/>
  </r>
  <r>
    <x v="750"/>
    <s v="Bed"/>
    <x v="1"/>
    <x v="4"/>
    <x v="1"/>
    <x v="1"/>
    <s v="Jaipur"/>
    <n v="37006.300000000003"/>
    <n v="0.05"/>
    <n v="35155.985000000001"/>
    <n v="1"/>
    <n v="35155.985000000001"/>
    <n v="12304.6"/>
    <d v="2025-05-28T00:00:00"/>
    <x v="3"/>
    <x v="1"/>
    <d v="2025-05-31T00:00:00"/>
    <n v="3"/>
    <x v="1"/>
  </r>
  <r>
    <x v="751"/>
    <s v="Washing Machine"/>
    <x v="4"/>
    <x v="10"/>
    <x v="1"/>
    <x v="2"/>
    <s v="Bhubaneswar"/>
    <n v="20742.86"/>
    <n v="0.15"/>
    <n v="17631.431"/>
    <n v="1"/>
    <n v="17631.431"/>
    <n v="6171"/>
    <d v="2025-04-15T00:00:00"/>
    <x v="11"/>
    <x v="1"/>
    <d v="2025-04-19T00:00:00"/>
    <n v="4"/>
    <x v="1"/>
  </r>
  <r>
    <x v="752"/>
    <s v="Microwave"/>
    <x v="4"/>
    <x v="2"/>
    <x v="1"/>
    <x v="1"/>
    <s v="Jaipur"/>
    <n v="10331.290000000001"/>
    <n v="0.05"/>
    <n v="9814.7255000000005"/>
    <n v="5"/>
    <n v="49073.627500000002"/>
    <n v="17175.77"/>
    <d v="2024-12-11T00:00:00"/>
    <x v="8"/>
    <x v="0"/>
    <d v="2024-12-15T00:00:00"/>
    <n v="4"/>
    <x v="2"/>
  </r>
  <r>
    <x v="753"/>
    <s v="Refrigerator"/>
    <x v="4"/>
    <x v="2"/>
    <x v="1"/>
    <x v="0"/>
    <s v="Bengaluru"/>
    <n v="28931.64"/>
    <n v="0.05"/>
    <n v="27485.058000000001"/>
    <n v="1"/>
    <n v="27485.058000000001"/>
    <n v="9619.77"/>
    <d v="2025-05-01T00:00:00"/>
    <x v="3"/>
    <x v="1"/>
    <d v="2025-05-03T00:00:00"/>
    <n v="2"/>
    <x v="1"/>
  </r>
  <r>
    <x v="754"/>
    <s v="Refrigerator"/>
    <x v="4"/>
    <x v="8"/>
    <x v="2"/>
    <x v="0"/>
    <s v="Bengaluru"/>
    <n v="21404.67"/>
    <n v="0.25"/>
    <n v="16053.502500000001"/>
    <n v="1"/>
    <n v="16053.502500000001"/>
    <n v="2408.0300000000002"/>
    <d v="2025-05-27T00:00:00"/>
    <x v="3"/>
    <x v="1"/>
    <d v="2025-06-06T00:00:00"/>
    <n v="10"/>
    <x v="1"/>
  </r>
  <r>
    <x v="755"/>
    <s v="T-Shirt"/>
    <x v="3"/>
    <x v="13"/>
    <x v="1"/>
    <x v="1"/>
    <s v="Delhi"/>
    <n v="1008.01"/>
    <n v="0.15"/>
    <n v="856.80849999999998"/>
    <n v="4"/>
    <n v="3427.2339999999999"/>
    <n v="1199.53"/>
    <d v="2024-08-30T00:00:00"/>
    <x v="0"/>
    <x v="0"/>
    <d v="2024-09-06T00:00:00"/>
    <n v="7"/>
    <x v="0"/>
  </r>
  <r>
    <x v="756"/>
    <s v="Dining Table"/>
    <x v="1"/>
    <x v="1"/>
    <x v="1"/>
    <x v="1"/>
    <s v="Lucknow"/>
    <n v="32669.11"/>
    <n v="0.2"/>
    <n v="26135.288"/>
    <n v="5"/>
    <n v="130676.44"/>
    <n v="45736.75"/>
    <d v="2024-11-13T00:00:00"/>
    <x v="9"/>
    <x v="0"/>
    <d v="2024-11-20T00:00:00"/>
    <n v="7"/>
    <x v="2"/>
  </r>
  <r>
    <x v="757"/>
    <s v="Dining Table"/>
    <x v="1"/>
    <x v="7"/>
    <x v="0"/>
    <x v="3"/>
    <s v="Mumbai"/>
    <n v="27550.17"/>
    <n v="0.15"/>
    <n v="23417.644499999999"/>
    <n v="2"/>
    <n v="46835.288999999997"/>
    <n v="11708.82"/>
    <d v="2024-10-24T00:00:00"/>
    <x v="10"/>
    <x v="0"/>
    <d v="2024-11-02T00:00:00"/>
    <n v="9"/>
    <x v="2"/>
  </r>
  <r>
    <x v="758"/>
    <s v="Microwave"/>
    <x v="4"/>
    <x v="10"/>
    <x v="1"/>
    <x v="3"/>
    <s v="Mumbai"/>
    <n v="10295.84"/>
    <n v="0.1"/>
    <n v="9266.2560000000012"/>
    <n v="2"/>
    <n v="18532.512000000002"/>
    <n v="6486.38"/>
    <d v="2025-02-12T00:00:00"/>
    <x v="7"/>
    <x v="1"/>
    <d v="2025-02-22T00:00:00"/>
    <n v="10"/>
    <x v="1"/>
  </r>
  <r>
    <x v="759"/>
    <s v="Smartphone"/>
    <x v="2"/>
    <x v="3"/>
    <x v="0"/>
    <x v="0"/>
    <s v="Hyderabad"/>
    <n v="14297.72"/>
    <n v="0.1"/>
    <n v="12867.948"/>
    <n v="4"/>
    <n v="51471.792000000001"/>
    <n v="12867.95"/>
    <d v="2024-01-18T00:00:00"/>
    <x v="5"/>
    <x v="0"/>
    <d v="2024-01-26T00:00:00"/>
    <n v="8"/>
    <x v="2"/>
  </r>
  <r>
    <x v="760"/>
    <s v="Coffee Table"/>
    <x v="1"/>
    <x v="18"/>
    <x v="2"/>
    <x v="1"/>
    <s v="Jaipur"/>
    <n v="7030.41"/>
    <n v="0"/>
    <n v="7030.41"/>
    <n v="2"/>
    <n v="14060.82"/>
    <n v="2109.12"/>
    <d v="2024-03-29T00:00:00"/>
    <x v="1"/>
    <x v="0"/>
    <d v="2024-04-07T00:00:00"/>
    <n v="9"/>
    <x v="1"/>
  </r>
  <r>
    <x v="761"/>
    <s v="Formal Shoes"/>
    <x v="0"/>
    <x v="11"/>
    <x v="1"/>
    <x v="2"/>
    <s v="Bhubaneswar"/>
    <n v="3815.67"/>
    <n v="0.2"/>
    <n v="3052.5360000000001"/>
    <n v="5"/>
    <n v="15262.68"/>
    <n v="5341.94"/>
    <d v="2024-10-31T00:00:00"/>
    <x v="10"/>
    <x v="0"/>
    <d v="2024-11-02T00:00:00"/>
    <n v="2"/>
    <x v="2"/>
  </r>
  <r>
    <x v="762"/>
    <s v="Dining Table"/>
    <x v="1"/>
    <x v="18"/>
    <x v="2"/>
    <x v="0"/>
    <s v="Hyderabad"/>
    <n v="21170.71"/>
    <n v="0.1"/>
    <n v="19053.638999999999"/>
    <n v="2"/>
    <n v="38107.277999999998"/>
    <n v="5716.09"/>
    <d v="2024-11-30T00:00:00"/>
    <x v="9"/>
    <x v="0"/>
    <d v="2024-12-07T00:00:00"/>
    <n v="7"/>
    <x v="2"/>
  </r>
  <r>
    <x v="763"/>
    <s v="Laptop"/>
    <x v="2"/>
    <x v="20"/>
    <x v="2"/>
    <x v="3"/>
    <s v="Ahmedabad"/>
    <n v="47164.69"/>
    <n v="0.2"/>
    <n v="37731.752"/>
    <n v="4"/>
    <n v="150927.008"/>
    <n v="22639.05"/>
    <d v="2025-03-22T00:00:00"/>
    <x v="1"/>
    <x v="1"/>
    <d v="2025-03-24T00:00:00"/>
    <n v="2"/>
    <x v="1"/>
  </r>
  <r>
    <x v="764"/>
    <s v="Microwave"/>
    <x v="4"/>
    <x v="2"/>
    <x v="1"/>
    <x v="2"/>
    <s v="Bhubaneswar"/>
    <n v="8994.77"/>
    <n v="0.1"/>
    <n v="8095.2930000000006"/>
    <n v="2"/>
    <n v="16190.586000000001"/>
    <n v="5666.71"/>
    <d v="2024-08-22T00:00:00"/>
    <x v="0"/>
    <x v="0"/>
    <d v="2024-08-27T00:00:00"/>
    <n v="5"/>
    <x v="0"/>
  </r>
  <r>
    <x v="765"/>
    <s v="T-Shirt"/>
    <x v="3"/>
    <x v="9"/>
    <x v="1"/>
    <x v="3"/>
    <s v="Pune"/>
    <n v="993.57"/>
    <n v="0.15"/>
    <n v="844.53449999999998"/>
    <n v="2"/>
    <n v="1689.069"/>
    <n v="591.16999999999996"/>
    <d v="2024-02-16T00:00:00"/>
    <x v="7"/>
    <x v="0"/>
    <d v="2024-02-20T00:00:00"/>
    <n v="4"/>
    <x v="1"/>
  </r>
  <r>
    <x v="766"/>
    <s v="Headphones"/>
    <x v="2"/>
    <x v="20"/>
    <x v="2"/>
    <x v="0"/>
    <s v="Hyderabad"/>
    <n v="1655.57"/>
    <n v="0.3"/>
    <n v="1158.8989999999999"/>
    <n v="5"/>
    <n v="5794.494999999999"/>
    <n v="869.17"/>
    <d v="2024-06-28T00:00:00"/>
    <x v="6"/>
    <x v="0"/>
    <d v="2024-07-05T00:00:00"/>
    <n v="7"/>
    <x v="0"/>
  </r>
  <r>
    <x v="767"/>
    <s v="Dining Table"/>
    <x v="1"/>
    <x v="4"/>
    <x v="1"/>
    <x v="1"/>
    <s v="Lucknow"/>
    <n v="31398.18"/>
    <n v="0.25"/>
    <n v="23548.634999999998"/>
    <n v="1"/>
    <n v="23548.634999999998"/>
    <n v="8242.02"/>
    <d v="2024-06-02T00:00:00"/>
    <x v="6"/>
    <x v="0"/>
    <d v="2024-06-04T00:00:00"/>
    <n v="2"/>
    <x v="0"/>
  </r>
  <r>
    <x v="768"/>
    <s v="Coffee Table"/>
    <x v="1"/>
    <x v="4"/>
    <x v="1"/>
    <x v="0"/>
    <s v="Hyderabad"/>
    <n v="9147.98"/>
    <n v="0.2"/>
    <n v="7318.384"/>
    <n v="3"/>
    <n v="21955.152000000002"/>
    <n v="7684.3"/>
    <d v="2024-07-31T00:00:00"/>
    <x v="2"/>
    <x v="0"/>
    <d v="2024-08-10T00:00:00"/>
    <n v="10"/>
    <x v="0"/>
  </r>
  <r>
    <x v="769"/>
    <s v="Formal Shoes"/>
    <x v="0"/>
    <x v="6"/>
    <x v="2"/>
    <x v="0"/>
    <s v="Hyderabad"/>
    <n v="2856.09"/>
    <n v="0.15"/>
    <n v="2427.6765"/>
    <n v="5"/>
    <n v="12138.3825"/>
    <n v="1820.76"/>
    <d v="2024-07-22T00:00:00"/>
    <x v="2"/>
    <x v="0"/>
    <d v="2024-07-30T00:00:00"/>
    <n v="8"/>
    <x v="0"/>
  </r>
  <r>
    <x v="770"/>
    <s v="Sofa Set"/>
    <x v="1"/>
    <x v="1"/>
    <x v="1"/>
    <x v="0"/>
    <s v="Bengaluru"/>
    <n v="42153.07"/>
    <n v="0.05"/>
    <n v="40045.416499999999"/>
    <n v="1"/>
    <n v="40045.416499999999"/>
    <n v="14015.9"/>
    <d v="2024-02-23T00:00:00"/>
    <x v="7"/>
    <x v="0"/>
    <d v="2024-03-01T00:00:00"/>
    <n v="7"/>
    <x v="1"/>
  </r>
  <r>
    <x v="771"/>
    <s v="Jeans"/>
    <x v="3"/>
    <x v="16"/>
    <x v="2"/>
    <x v="0"/>
    <s v="Bengaluru"/>
    <n v="1239.46"/>
    <n v="0.1"/>
    <n v="1115.5139999999999"/>
    <n v="2"/>
    <n v="2231.0279999999998"/>
    <n v="334.65"/>
    <d v="2024-07-30T00:00:00"/>
    <x v="2"/>
    <x v="0"/>
    <d v="2024-08-06T00:00:00"/>
    <n v="7"/>
    <x v="0"/>
  </r>
  <r>
    <x v="772"/>
    <s v="Microwave"/>
    <x v="4"/>
    <x v="12"/>
    <x v="0"/>
    <x v="3"/>
    <s v="Mumbai"/>
    <n v="8353.4699999999993"/>
    <n v="0.1"/>
    <n v="7518.1229999999996"/>
    <n v="5"/>
    <n v="37590.614999999998"/>
    <n v="9397.65"/>
    <d v="2024-11-29T00:00:00"/>
    <x v="9"/>
    <x v="0"/>
    <d v="2024-12-05T00:00:00"/>
    <n v="6"/>
    <x v="2"/>
  </r>
  <r>
    <x v="773"/>
    <s v="Refrigerator"/>
    <x v="4"/>
    <x v="12"/>
    <x v="0"/>
    <x v="2"/>
    <s v="Kolkata"/>
    <n v="23319.22"/>
    <n v="0.05"/>
    <n v="22153.258999999998"/>
    <n v="3"/>
    <n v="66459.777000000002"/>
    <n v="16614.939999999999"/>
    <d v="2025-06-13T00:00:00"/>
    <x v="6"/>
    <x v="1"/>
    <d v="2025-06-17T00:00:00"/>
    <n v="4"/>
    <x v="0"/>
  </r>
  <r>
    <x v="774"/>
    <s v="Microwave"/>
    <x v="4"/>
    <x v="10"/>
    <x v="1"/>
    <x v="3"/>
    <s v="Ahmedabad"/>
    <n v="9875.9"/>
    <n v="0"/>
    <n v="9875.9"/>
    <n v="1"/>
    <n v="9875.9"/>
    <n v="3456.56"/>
    <d v="2025-03-16T00:00:00"/>
    <x v="1"/>
    <x v="1"/>
    <d v="2025-03-20T00:00:00"/>
    <n v="4"/>
    <x v="1"/>
  </r>
  <r>
    <x v="775"/>
    <s v="Headphones"/>
    <x v="2"/>
    <x v="20"/>
    <x v="2"/>
    <x v="1"/>
    <s v="Jaipur"/>
    <n v="1823.51"/>
    <n v="0.1"/>
    <n v="1641.1590000000001"/>
    <n v="4"/>
    <n v="6564.6360000000004"/>
    <n v="984.7"/>
    <d v="2025-03-13T00:00:00"/>
    <x v="1"/>
    <x v="1"/>
    <d v="2025-03-17T00:00:00"/>
    <n v="4"/>
    <x v="1"/>
  </r>
  <r>
    <x v="776"/>
    <s v="T-Shirt"/>
    <x v="3"/>
    <x v="19"/>
    <x v="0"/>
    <x v="3"/>
    <s v="Mumbai"/>
    <n v="825.28"/>
    <n v="0"/>
    <n v="825.28"/>
    <n v="9"/>
    <n v="7427.5199999999995"/>
    <n v="1031.5999999999999"/>
    <d v="2024-01-15T00:00:00"/>
    <x v="5"/>
    <x v="0"/>
    <d v="2024-01-20T00:00:00"/>
    <n v="5"/>
    <x v="2"/>
  </r>
  <r>
    <x v="777"/>
    <s v="Dining Table"/>
    <x v="1"/>
    <x v="7"/>
    <x v="0"/>
    <x v="2"/>
    <s v="Patna"/>
    <n v="24170.51"/>
    <n v="0.1"/>
    <n v="21753.458999999999"/>
    <n v="4"/>
    <n v="87013.835999999996"/>
    <n v="21753.46"/>
    <d v="2025-03-14T00:00:00"/>
    <x v="1"/>
    <x v="1"/>
    <d v="2025-03-17T00:00:00"/>
    <n v="3"/>
    <x v="1"/>
  </r>
  <r>
    <x v="778"/>
    <s v="Jeans"/>
    <x v="3"/>
    <x v="15"/>
    <x v="1"/>
    <x v="3"/>
    <s v="Ahmedabad"/>
    <n v="1955.12"/>
    <n v="0.3"/>
    <n v="1368.5840000000001"/>
    <n v="5"/>
    <n v="6842.92"/>
    <n v="2395.02"/>
    <d v="2025-06-07T00:00:00"/>
    <x v="6"/>
    <x v="1"/>
    <d v="2025-06-13T00:00:00"/>
    <n v="6"/>
    <x v="0"/>
  </r>
  <r>
    <x v="779"/>
    <s v="Bed"/>
    <x v="1"/>
    <x v="4"/>
    <x v="1"/>
    <x v="0"/>
    <s v="Chennai"/>
    <n v="34628.129999999997"/>
    <n v="0"/>
    <n v="34628.129999999997"/>
    <n v="5"/>
    <n v="173140.65"/>
    <n v="60599.23"/>
    <d v="2025-04-28T00:00:00"/>
    <x v="11"/>
    <x v="1"/>
    <d v="2025-05-05T00:00:00"/>
    <n v="7"/>
    <x v="1"/>
  </r>
  <r>
    <x v="780"/>
    <s v="Laptop"/>
    <x v="2"/>
    <x v="17"/>
    <x v="0"/>
    <x v="3"/>
    <s v="Ahmedabad"/>
    <n v="54554.81"/>
    <n v="0.1"/>
    <n v="49099.328999999998"/>
    <n v="3"/>
    <n v="147297.98699999999"/>
    <n v="36824.5"/>
    <d v="2024-03-03T00:00:00"/>
    <x v="1"/>
    <x v="0"/>
    <d v="2024-03-08T00:00:00"/>
    <n v="5"/>
    <x v="1"/>
  </r>
  <r>
    <x v="781"/>
    <s v="T-Shirt"/>
    <x v="3"/>
    <x v="9"/>
    <x v="1"/>
    <x v="2"/>
    <s v="Kolkata"/>
    <n v="894.16"/>
    <n v="0.25"/>
    <n v="670.62"/>
    <n v="7"/>
    <n v="4694.34"/>
    <n v="469.43"/>
    <d v="2024-10-19T00:00:00"/>
    <x v="10"/>
    <x v="0"/>
    <d v="2024-10-26T00:00:00"/>
    <n v="7"/>
    <x v="2"/>
  </r>
  <r>
    <x v="782"/>
    <s v="Jeans"/>
    <x v="3"/>
    <x v="15"/>
    <x v="1"/>
    <x v="1"/>
    <s v="Lucknow"/>
    <n v="1955.5"/>
    <n v="0.2"/>
    <n v="1564.4"/>
    <n v="9"/>
    <n v="14079.6"/>
    <n v="2190.16"/>
    <d v="2025-01-21T00:00:00"/>
    <x v="5"/>
    <x v="1"/>
    <d v="2025-01-26T00:00:00"/>
    <n v="5"/>
    <x v="2"/>
  </r>
  <r>
    <x v="783"/>
    <s v="Coffee Table"/>
    <x v="1"/>
    <x v="18"/>
    <x v="2"/>
    <x v="3"/>
    <s v="Ahmedabad"/>
    <n v="7697.86"/>
    <n v="0.25"/>
    <n v="5773.3950000000004"/>
    <n v="5"/>
    <n v="28866.975000000002"/>
    <n v="4330.05"/>
    <d v="2024-01-15T00:00:00"/>
    <x v="5"/>
    <x v="0"/>
    <d v="2024-01-20T00:00:00"/>
    <n v="5"/>
    <x v="2"/>
  </r>
  <r>
    <x v="784"/>
    <s v="Jeans"/>
    <x v="3"/>
    <x v="5"/>
    <x v="2"/>
    <x v="0"/>
    <s v="Hyderabad"/>
    <n v="1288.1500000000001"/>
    <n v="0.2"/>
    <n v="1030.52"/>
    <n v="3"/>
    <n v="3091.56"/>
    <n v="463.73"/>
    <d v="2024-07-02T00:00:00"/>
    <x v="2"/>
    <x v="0"/>
    <d v="2024-07-09T00:00:00"/>
    <n v="7"/>
    <x v="0"/>
  </r>
  <r>
    <x v="785"/>
    <s v="Formal Shoes"/>
    <x v="0"/>
    <x v="6"/>
    <x v="2"/>
    <x v="0"/>
    <s v="Chennai"/>
    <n v="2973.05"/>
    <n v="0.3"/>
    <n v="2081.1350000000002"/>
    <n v="2"/>
    <n v="4162.2700000000004"/>
    <n v="624.34"/>
    <d v="2024-06-07T00:00:00"/>
    <x v="6"/>
    <x v="0"/>
    <d v="2024-06-10T00:00:00"/>
    <n v="3"/>
    <x v="0"/>
  </r>
  <r>
    <x v="786"/>
    <s v="Coffee Table"/>
    <x v="1"/>
    <x v="4"/>
    <x v="1"/>
    <x v="1"/>
    <s v="Delhi"/>
    <n v="9559.49"/>
    <n v="0.1"/>
    <n v="8603.5409999999993"/>
    <n v="2"/>
    <n v="17207.081999999999"/>
    <n v="6022.48"/>
    <d v="2025-04-26T00:00:00"/>
    <x v="11"/>
    <x v="1"/>
    <d v="2025-05-02T00:00:00"/>
    <n v="6"/>
    <x v="1"/>
  </r>
  <r>
    <x v="787"/>
    <s v="Microwave"/>
    <x v="4"/>
    <x v="8"/>
    <x v="2"/>
    <x v="3"/>
    <s v="Mumbai"/>
    <n v="7242.13"/>
    <n v="0.2"/>
    <n v="5793.7040000000006"/>
    <n v="3"/>
    <n v="17381.112000000001"/>
    <n v="2607.17"/>
    <d v="2024-06-25T00:00:00"/>
    <x v="6"/>
    <x v="0"/>
    <d v="2024-06-28T00:00:00"/>
    <n v="3"/>
    <x v="0"/>
  </r>
  <r>
    <x v="788"/>
    <s v="Jeans"/>
    <x v="3"/>
    <x v="16"/>
    <x v="2"/>
    <x v="0"/>
    <s v="Bengaluru"/>
    <n v="1269.46"/>
    <n v="0.1"/>
    <n v="1142.5139999999999"/>
    <n v="4"/>
    <n v="4570.0559999999996"/>
    <n v="685.51"/>
    <d v="2024-07-02T00:00:00"/>
    <x v="2"/>
    <x v="0"/>
    <d v="2024-07-05T00:00:00"/>
    <n v="3"/>
    <x v="0"/>
  </r>
  <r>
    <x v="789"/>
    <s v="Sofa Set"/>
    <x v="1"/>
    <x v="7"/>
    <x v="0"/>
    <x v="0"/>
    <s v="Bengaluru"/>
    <n v="34305.519999999997"/>
    <n v="0"/>
    <n v="34305.519999999997"/>
    <n v="2"/>
    <n v="68611.039999999994"/>
    <n v="17152.759999999998"/>
    <d v="2025-01-27T00:00:00"/>
    <x v="5"/>
    <x v="1"/>
    <d v="2025-02-05T00:00:00"/>
    <n v="9"/>
    <x v="2"/>
  </r>
  <r>
    <x v="790"/>
    <s v="Formal Shoes"/>
    <x v="0"/>
    <x v="11"/>
    <x v="1"/>
    <x v="3"/>
    <s v="Ahmedabad"/>
    <n v="4601.13"/>
    <n v="0.3"/>
    <n v="3220.7910000000002"/>
    <n v="5"/>
    <n v="16103.955000000002"/>
    <n v="5636.38"/>
    <d v="2024-01-30T00:00:00"/>
    <x v="5"/>
    <x v="0"/>
    <d v="2024-02-01T00:00:00"/>
    <n v="2"/>
    <x v="2"/>
  </r>
  <r>
    <x v="791"/>
    <s v="T-Shirt"/>
    <x v="3"/>
    <x v="9"/>
    <x v="1"/>
    <x v="3"/>
    <s v="Mumbai"/>
    <n v="1032.45"/>
    <n v="0.1"/>
    <n v="929.20500000000004"/>
    <n v="5"/>
    <n v="4646.0250000000005"/>
    <n v="1626.11"/>
    <d v="2024-09-28T00:00:00"/>
    <x v="4"/>
    <x v="0"/>
    <d v="2024-10-07T00:00:00"/>
    <n v="9"/>
    <x v="0"/>
  </r>
  <r>
    <x v="792"/>
    <s v="Microwave"/>
    <x v="4"/>
    <x v="10"/>
    <x v="1"/>
    <x v="1"/>
    <s v="Lucknow"/>
    <n v="10472.91"/>
    <n v="0.2"/>
    <n v="8378.3279999999995"/>
    <n v="2"/>
    <n v="16756.655999999999"/>
    <n v="5864.83"/>
    <d v="2024-08-22T00:00:00"/>
    <x v="0"/>
    <x v="0"/>
    <d v="2024-08-28T00:00:00"/>
    <n v="6"/>
    <x v="0"/>
  </r>
  <r>
    <x v="793"/>
    <s v="Headphones"/>
    <x v="2"/>
    <x v="21"/>
    <x v="2"/>
    <x v="0"/>
    <s v="Chennai"/>
    <n v="1713.41"/>
    <n v="0.05"/>
    <n v="1627.7394999999999"/>
    <n v="4"/>
    <n v="6510.9579999999996"/>
    <n v="976.64"/>
    <d v="2025-03-03T00:00:00"/>
    <x v="1"/>
    <x v="1"/>
    <d v="2025-03-12T00:00:00"/>
    <n v="9"/>
    <x v="1"/>
  </r>
  <r>
    <x v="794"/>
    <s v="Laptop"/>
    <x v="2"/>
    <x v="20"/>
    <x v="2"/>
    <x v="1"/>
    <s v="Lucknow"/>
    <n v="43823"/>
    <n v="0.2"/>
    <n v="35058.400000000001"/>
    <n v="4"/>
    <n v="140233.60000000001"/>
    <n v="21035.040000000001"/>
    <d v="2025-06-28T00:00:00"/>
    <x v="6"/>
    <x v="1"/>
    <d v="2025-07-07T00:00:00"/>
    <n v="9"/>
    <x v="0"/>
  </r>
  <r>
    <x v="795"/>
    <s v="Sofa Set"/>
    <x v="1"/>
    <x v="1"/>
    <x v="1"/>
    <x v="0"/>
    <s v="Hyderabad"/>
    <n v="42414.13"/>
    <n v="0"/>
    <n v="42414.13"/>
    <n v="4"/>
    <n v="169656.52"/>
    <n v="59379.78"/>
    <d v="2025-03-06T00:00:00"/>
    <x v="1"/>
    <x v="1"/>
    <d v="2025-03-09T00:00:00"/>
    <n v="3"/>
    <x v="1"/>
  </r>
  <r>
    <x v="796"/>
    <s v="Dining Table"/>
    <x v="1"/>
    <x v="1"/>
    <x v="1"/>
    <x v="1"/>
    <s v="Delhi"/>
    <n v="31935.78"/>
    <n v="0.1"/>
    <n v="28742.202000000001"/>
    <n v="1"/>
    <n v="28742.202000000001"/>
    <n v="10059.77"/>
    <d v="2025-07-14T00:00:00"/>
    <x v="2"/>
    <x v="1"/>
    <d v="2025-07-20T00:00:00"/>
    <n v="6"/>
    <x v="0"/>
  </r>
  <r>
    <x v="797"/>
    <s v="Microwave"/>
    <x v="4"/>
    <x v="12"/>
    <x v="0"/>
    <x v="2"/>
    <s v="Kolkata"/>
    <n v="7563.04"/>
    <n v="0"/>
    <n v="7563.04"/>
    <n v="2"/>
    <n v="15126.08"/>
    <n v="3781.52"/>
    <d v="2024-03-09T00:00:00"/>
    <x v="1"/>
    <x v="0"/>
    <d v="2024-03-14T00:00:00"/>
    <n v="5"/>
    <x v="1"/>
  </r>
  <r>
    <x v="798"/>
    <s v="Laptop"/>
    <x v="2"/>
    <x v="14"/>
    <x v="1"/>
    <x v="2"/>
    <s v="Bhubaneswar"/>
    <n v="58182.3"/>
    <n v="0.05"/>
    <n v="55273.184999999998"/>
    <n v="5"/>
    <n v="276365.92499999999"/>
    <n v="96728.07"/>
    <d v="2024-05-06T00:00:00"/>
    <x v="3"/>
    <x v="0"/>
    <d v="2024-05-16T00:00:00"/>
    <n v="10"/>
    <x v="1"/>
  </r>
  <r>
    <x v="799"/>
    <s v="T-Shirt"/>
    <x v="3"/>
    <x v="16"/>
    <x v="2"/>
    <x v="1"/>
    <s v="Jaipur"/>
    <n v="736.53"/>
    <n v="0.2"/>
    <n v="589.22400000000005"/>
    <n v="3"/>
    <n v="1767.672"/>
    <n v="265.14999999999998"/>
    <d v="2024-09-30T00:00:00"/>
    <x v="4"/>
    <x v="0"/>
    <d v="2024-10-02T00:00:00"/>
    <n v="2"/>
    <x v="0"/>
  </r>
  <r>
    <x v="800"/>
    <s v="Microwave"/>
    <x v="4"/>
    <x v="8"/>
    <x v="2"/>
    <x v="0"/>
    <s v="Chennai"/>
    <n v="6994.85"/>
    <n v="0.15"/>
    <n v="5945.6225000000004"/>
    <n v="2"/>
    <n v="11891.245000000001"/>
    <n v="1783.69"/>
    <d v="2024-04-19T00:00:00"/>
    <x v="11"/>
    <x v="0"/>
    <d v="2024-04-23T00:00:00"/>
    <n v="4"/>
    <x v="1"/>
  </r>
  <r>
    <x v="801"/>
    <s v="Sofa Set"/>
    <x v="1"/>
    <x v="4"/>
    <x v="1"/>
    <x v="2"/>
    <s v="Patna"/>
    <n v="41157.39"/>
    <n v="0.1"/>
    <n v="37041.650999999998"/>
    <n v="3"/>
    <n v="111124.95299999999"/>
    <n v="38893.730000000003"/>
    <d v="2024-02-26T00:00:00"/>
    <x v="7"/>
    <x v="0"/>
    <d v="2024-03-05T00:00:00"/>
    <n v="8"/>
    <x v="1"/>
  </r>
  <r>
    <x v="802"/>
    <s v="Bed"/>
    <x v="1"/>
    <x v="1"/>
    <x v="1"/>
    <x v="2"/>
    <s v="Bhubaneswar"/>
    <n v="34216.639999999999"/>
    <n v="0.2"/>
    <n v="27373.312000000002"/>
    <n v="3"/>
    <n v="82119.936000000002"/>
    <n v="28741.98"/>
    <d v="2024-02-18T00:00:00"/>
    <x v="7"/>
    <x v="0"/>
    <d v="2024-02-21T00:00:00"/>
    <n v="3"/>
    <x v="1"/>
  </r>
  <r>
    <x v="803"/>
    <s v="Dining Table"/>
    <x v="1"/>
    <x v="4"/>
    <x v="1"/>
    <x v="2"/>
    <s v="Bhubaneswar"/>
    <n v="29629.7"/>
    <n v="0.25"/>
    <n v="22222.275000000001"/>
    <n v="1"/>
    <n v="22222.275000000001"/>
    <n v="7777.8"/>
    <d v="2024-08-18T00:00:00"/>
    <x v="0"/>
    <x v="0"/>
    <d v="2024-08-27T00:00:00"/>
    <n v="9"/>
    <x v="0"/>
  </r>
  <r>
    <x v="804"/>
    <s v="Bed"/>
    <x v="1"/>
    <x v="18"/>
    <x v="2"/>
    <x v="3"/>
    <s v="Pune"/>
    <n v="26357.91"/>
    <n v="0.15"/>
    <n v="22404.2235"/>
    <n v="5"/>
    <n v="112021.11749999999"/>
    <n v="16803.169999999998"/>
    <d v="2025-02-04T00:00:00"/>
    <x v="7"/>
    <x v="1"/>
    <d v="2025-02-14T00:00:00"/>
    <n v="10"/>
    <x v="1"/>
  </r>
  <r>
    <x v="805"/>
    <s v="Washing Machine"/>
    <x v="4"/>
    <x v="2"/>
    <x v="1"/>
    <x v="1"/>
    <s v="Lucknow"/>
    <n v="22046.26"/>
    <n v="0.2"/>
    <n v="17637.008000000002"/>
    <n v="1"/>
    <n v="17637.008000000002"/>
    <n v="6172.95"/>
    <d v="2025-02-23T00:00:00"/>
    <x v="7"/>
    <x v="1"/>
    <d v="2025-03-01T00:00:00"/>
    <n v="6"/>
    <x v="1"/>
  </r>
  <r>
    <x v="806"/>
    <s v="Sofa Set"/>
    <x v="1"/>
    <x v="7"/>
    <x v="0"/>
    <x v="2"/>
    <s v="Patna"/>
    <n v="32361"/>
    <n v="0.25"/>
    <n v="24270.75"/>
    <n v="2"/>
    <n v="48541.5"/>
    <n v="12135.38"/>
    <d v="2024-12-24T00:00:00"/>
    <x v="8"/>
    <x v="0"/>
    <d v="2024-12-27T00:00:00"/>
    <n v="3"/>
    <x v="2"/>
  </r>
  <r>
    <x v="807"/>
    <s v="Jacket"/>
    <x v="3"/>
    <x v="16"/>
    <x v="2"/>
    <x v="3"/>
    <s v="Mumbai"/>
    <n v="2843.49"/>
    <n v="0"/>
    <n v="2843.49"/>
    <n v="1"/>
    <n v="2843.49"/>
    <n v="426.52"/>
    <d v="2025-06-30T00:00:00"/>
    <x v="6"/>
    <x v="1"/>
    <d v="2025-07-09T00:00:00"/>
    <n v="9"/>
    <x v="0"/>
  </r>
  <r>
    <x v="808"/>
    <s v="Smartphone"/>
    <x v="2"/>
    <x v="17"/>
    <x v="0"/>
    <x v="3"/>
    <s v="Pune"/>
    <n v="15823.08"/>
    <n v="0.15"/>
    <n v="13449.618"/>
    <n v="5"/>
    <n v="67248.09"/>
    <n v="16812.02"/>
    <d v="2024-02-13T00:00:00"/>
    <x v="7"/>
    <x v="0"/>
    <d v="2024-02-21T00:00:00"/>
    <n v="8"/>
    <x v="1"/>
  </r>
  <r>
    <x v="809"/>
    <s v="Smartphone"/>
    <x v="2"/>
    <x v="17"/>
    <x v="0"/>
    <x v="0"/>
    <s v="Bengaluru"/>
    <n v="14394.88"/>
    <n v="0.3"/>
    <n v="10076.415999999999"/>
    <n v="3"/>
    <n v="30229.248"/>
    <n v="7557.31"/>
    <d v="2024-04-01T00:00:00"/>
    <x v="11"/>
    <x v="0"/>
    <d v="2024-04-04T00:00:00"/>
    <n v="3"/>
    <x v="1"/>
  </r>
  <r>
    <x v="810"/>
    <s v="T-Shirt"/>
    <x v="3"/>
    <x v="15"/>
    <x v="1"/>
    <x v="0"/>
    <s v="Hyderabad"/>
    <n v="959.07"/>
    <n v="0.1"/>
    <n v="863.16300000000001"/>
    <n v="5"/>
    <n v="4315.8150000000005"/>
    <n v="1510.54"/>
    <d v="2024-05-05T00:00:00"/>
    <x v="3"/>
    <x v="0"/>
    <d v="2024-05-13T00:00:00"/>
    <n v="8"/>
    <x v="1"/>
  </r>
  <r>
    <x v="811"/>
    <s v="Smartphone"/>
    <x v="2"/>
    <x v="14"/>
    <x v="1"/>
    <x v="2"/>
    <s v="Bhubaneswar"/>
    <n v="17871.240000000002"/>
    <n v="0.3"/>
    <n v="12509.868"/>
    <n v="4"/>
    <n v="50039.472000000002"/>
    <n v="17513.810000000001"/>
    <d v="2024-10-04T00:00:00"/>
    <x v="10"/>
    <x v="0"/>
    <d v="2024-10-06T00:00:00"/>
    <n v="2"/>
    <x v="2"/>
  </r>
  <r>
    <x v="812"/>
    <s v="Dining Table"/>
    <x v="1"/>
    <x v="7"/>
    <x v="0"/>
    <x v="2"/>
    <s v="Bhubaneswar"/>
    <n v="24892.28"/>
    <n v="0.1"/>
    <n v="22403.052"/>
    <n v="5"/>
    <n v="112015.26"/>
    <n v="28003.81"/>
    <d v="2024-08-31T00:00:00"/>
    <x v="0"/>
    <x v="0"/>
    <d v="2024-09-07T00:00:00"/>
    <n v="7"/>
    <x v="0"/>
  </r>
  <r>
    <x v="813"/>
    <s v="Jacket"/>
    <x v="3"/>
    <x v="13"/>
    <x v="1"/>
    <x v="1"/>
    <s v="Lucknow"/>
    <n v="3662.53"/>
    <n v="0.15"/>
    <n v="3113.1505000000002"/>
    <n v="5"/>
    <n v="15565.752500000001"/>
    <n v="5448.01"/>
    <d v="2025-02-01T00:00:00"/>
    <x v="7"/>
    <x v="1"/>
    <d v="2025-02-07T00:00:00"/>
    <n v="6"/>
    <x v="1"/>
  </r>
  <r>
    <x v="814"/>
    <s v="Bed"/>
    <x v="1"/>
    <x v="4"/>
    <x v="1"/>
    <x v="3"/>
    <s v="Pune"/>
    <n v="39920.720000000001"/>
    <n v="0.25"/>
    <n v="29940.54"/>
    <n v="3"/>
    <n v="89821.62"/>
    <n v="31437.57"/>
    <d v="2024-04-08T00:00:00"/>
    <x v="11"/>
    <x v="0"/>
    <d v="2024-04-10T00:00:00"/>
    <n v="2"/>
    <x v="1"/>
  </r>
  <r>
    <x v="815"/>
    <s v="Refrigerator"/>
    <x v="4"/>
    <x v="2"/>
    <x v="1"/>
    <x v="0"/>
    <s v="Bengaluru"/>
    <n v="28293.45"/>
    <n v="0.25"/>
    <n v="21220.087500000001"/>
    <n v="4"/>
    <n v="84880.35"/>
    <n v="29708.12"/>
    <d v="2025-06-07T00:00:00"/>
    <x v="6"/>
    <x v="1"/>
    <d v="2025-06-09T00:00:00"/>
    <n v="2"/>
    <x v="0"/>
  </r>
  <r>
    <x v="816"/>
    <s v="Microwave"/>
    <x v="4"/>
    <x v="10"/>
    <x v="1"/>
    <x v="0"/>
    <s v="Hyderabad"/>
    <n v="9351.5499999999993"/>
    <n v="0.25"/>
    <n v="7013.6624999999995"/>
    <n v="2"/>
    <n v="14027.324999999999"/>
    <n v="4909.5600000000004"/>
    <d v="2025-01-31T00:00:00"/>
    <x v="5"/>
    <x v="1"/>
    <d v="2025-02-05T00:00:00"/>
    <n v="5"/>
    <x v="2"/>
  </r>
  <r>
    <x v="817"/>
    <s v="Laptop"/>
    <x v="2"/>
    <x v="3"/>
    <x v="0"/>
    <x v="0"/>
    <s v="Chennai"/>
    <n v="50398.53"/>
    <n v="0.25"/>
    <n v="37798.897499999999"/>
    <n v="1"/>
    <n v="37798.897499999999"/>
    <n v="9449.73"/>
    <d v="2024-10-05T00:00:00"/>
    <x v="10"/>
    <x v="0"/>
    <d v="2024-10-13T00:00:00"/>
    <n v="8"/>
    <x v="2"/>
  </r>
  <r>
    <x v="818"/>
    <s v="Headphones"/>
    <x v="2"/>
    <x v="17"/>
    <x v="0"/>
    <x v="2"/>
    <s v="Patna"/>
    <n v="1922.43"/>
    <n v="0.05"/>
    <n v="1826.3085000000001"/>
    <n v="4"/>
    <n v="7305.2340000000004"/>
    <n v="1826.31"/>
    <d v="2024-09-21T00:00:00"/>
    <x v="4"/>
    <x v="0"/>
    <d v="2024-09-23T00:00:00"/>
    <n v="2"/>
    <x v="0"/>
  </r>
  <r>
    <x v="819"/>
    <s v="Formal Shoes"/>
    <x v="0"/>
    <x v="6"/>
    <x v="2"/>
    <x v="0"/>
    <s v="Bengaluru"/>
    <n v="2783.5"/>
    <n v="0"/>
    <n v="2783.5"/>
    <n v="2"/>
    <n v="5567"/>
    <n v="835.05"/>
    <d v="2024-11-13T00:00:00"/>
    <x v="9"/>
    <x v="0"/>
    <d v="2024-11-22T00:00:00"/>
    <n v="9"/>
    <x v="2"/>
  </r>
  <r>
    <x v="820"/>
    <s v="Laptop"/>
    <x v="2"/>
    <x v="14"/>
    <x v="1"/>
    <x v="3"/>
    <s v="Pune"/>
    <n v="62381.39"/>
    <n v="0.15"/>
    <n v="53024.181499999999"/>
    <n v="2"/>
    <n v="106048.363"/>
    <n v="37116.93"/>
    <d v="2025-03-08T00:00:00"/>
    <x v="1"/>
    <x v="1"/>
    <d v="2025-03-15T00:00:00"/>
    <n v="7"/>
    <x v="1"/>
  </r>
  <r>
    <x v="821"/>
    <s v="Coffee Table"/>
    <x v="1"/>
    <x v="4"/>
    <x v="1"/>
    <x v="0"/>
    <s v="Hyderabad"/>
    <n v="9760.15"/>
    <n v="0.1"/>
    <n v="8784.1350000000002"/>
    <n v="2"/>
    <n v="17568.27"/>
    <n v="6148.89"/>
    <d v="2025-04-09T00:00:00"/>
    <x v="11"/>
    <x v="1"/>
    <d v="2025-04-16T00:00:00"/>
    <n v="7"/>
    <x v="1"/>
  </r>
  <r>
    <x v="822"/>
    <s v="Dining Table"/>
    <x v="1"/>
    <x v="1"/>
    <x v="1"/>
    <x v="0"/>
    <s v="Bengaluru"/>
    <n v="28316.53"/>
    <n v="0.15"/>
    <n v="24069.050500000001"/>
    <n v="1"/>
    <n v="24069.050500000001"/>
    <n v="8424.17"/>
    <d v="2025-05-19T00:00:00"/>
    <x v="3"/>
    <x v="1"/>
    <d v="2025-05-29T00:00:00"/>
    <n v="10"/>
    <x v="1"/>
  </r>
  <r>
    <x v="823"/>
    <s v="Formal Shoes"/>
    <x v="0"/>
    <x v="11"/>
    <x v="1"/>
    <x v="3"/>
    <s v="Mumbai"/>
    <n v="4482.1000000000004"/>
    <n v="0.25"/>
    <n v="3361.5749999999998"/>
    <n v="1"/>
    <n v="3361.5749999999998"/>
    <n v="1176.55"/>
    <d v="2025-03-21T00:00:00"/>
    <x v="1"/>
    <x v="1"/>
    <d v="2025-03-31T00:00:00"/>
    <n v="10"/>
    <x v="1"/>
  </r>
  <r>
    <x v="824"/>
    <s v="Microwave"/>
    <x v="4"/>
    <x v="2"/>
    <x v="1"/>
    <x v="0"/>
    <s v="Hyderabad"/>
    <n v="8976.35"/>
    <n v="0"/>
    <n v="8976.35"/>
    <n v="2"/>
    <n v="17952.7"/>
    <n v="6283.44"/>
    <d v="2025-06-27T00:00:00"/>
    <x v="6"/>
    <x v="1"/>
    <d v="2025-07-03T00:00:00"/>
    <n v="6"/>
    <x v="0"/>
  </r>
  <r>
    <x v="825"/>
    <s v="T-Shirt"/>
    <x v="3"/>
    <x v="19"/>
    <x v="0"/>
    <x v="2"/>
    <s v="Kolkata"/>
    <n v="785.71"/>
    <n v="0.25"/>
    <n v="589.28250000000003"/>
    <n v="5"/>
    <n v="2946.4125000000004"/>
    <n v="736.6"/>
    <d v="2024-08-12T00:00:00"/>
    <x v="0"/>
    <x v="0"/>
    <d v="2024-08-21T00:00:00"/>
    <n v="9"/>
    <x v="0"/>
  </r>
  <r>
    <x v="826"/>
    <s v="Sofa Set"/>
    <x v="1"/>
    <x v="18"/>
    <x v="2"/>
    <x v="1"/>
    <s v="Delhi"/>
    <n v="30503.919999999998"/>
    <n v="0.2"/>
    <n v="24403.135999999999"/>
    <n v="5"/>
    <n v="122015.67999999999"/>
    <n v="18302.349999999999"/>
    <d v="2024-02-26T00:00:00"/>
    <x v="7"/>
    <x v="0"/>
    <d v="2024-03-05T00:00:00"/>
    <n v="8"/>
    <x v="1"/>
  </r>
  <r>
    <x v="827"/>
    <s v="T-Shirt"/>
    <x v="3"/>
    <x v="16"/>
    <x v="2"/>
    <x v="0"/>
    <s v="Chennai"/>
    <n v="635.72"/>
    <n v="0.1"/>
    <n v="572.14800000000002"/>
    <n v="8"/>
    <n v="4577.1840000000002"/>
    <n v="343.29"/>
    <d v="2025-01-08T00:00:00"/>
    <x v="5"/>
    <x v="1"/>
    <d v="2025-01-13T00:00:00"/>
    <n v="5"/>
    <x v="2"/>
  </r>
  <r>
    <x v="828"/>
    <s v="Refrigerator"/>
    <x v="4"/>
    <x v="8"/>
    <x v="2"/>
    <x v="3"/>
    <s v="Mumbai"/>
    <n v="23760.57"/>
    <n v="0.05"/>
    <n v="22572.541499999999"/>
    <n v="2"/>
    <n v="45145.082999999999"/>
    <n v="6771.76"/>
    <d v="2025-01-23T00:00:00"/>
    <x v="5"/>
    <x v="1"/>
    <d v="2025-01-25T00:00:00"/>
    <n v="2"/>
    <x v="2"/>
  </r>
  <r>
    <x v="829"/>
    <s v="Sofa Set"/>
    <x v="1"/>
    <x v="1"/>
    <x v="1"/>
    <x v="3"/>
    <s v="Pune"/>
    <n v="43610.19"/>
    <n v="0.15"/>
    <n v="37068.661500000002"/>
    <n v="3"/>
    <n v="111205.98450000001"/>
    <n v="38922.089999999997"/>
    <d v="2025-07-04T00:00:00"/>
    <x v="2"/>
    <x v="1"/>
    <d v="2025-07-06T00:00:00"/>
    <n v="2"/>
    <x v="0"/>
  </r>
  <r>
    <x v="830"/>
    <s v="Smartphone"/>
    <x v="2"/>
    <x v="21"/>
    <x v="2"/>
    <x v="2"/>
    <s v="Bhubaneswar"/>
    <n v="11554.78"/>
    <n v="0.25"/>
    <n v="8666.0850000000009"/>
    <n v="3"/>
    <n v="25998.255000000005"/>
    <n v="3899.74"/>
    <d v="2024-04-28T00:00:00"/>
    <x v="11"/>
    <x v="0"/>
    <d v="2024-05-06T00:00:00"/>
    <n v="8"/>
    <x v="1"/>
  </r>
  <r>
    <x v="831"/>
    <s v="Laptop"/>
    <x v="2"/>
    <x v="3"/>
    <x v="0"/>
    <x v="2"/>
    <s v="Kolkata"/>
    <n v="47008.38"/>
    <n v="0.15"/>
    <n v="39957.123"/>
    <n v="5"/>
    <n v="199785.61499999999"/>
    <n v="49946.400000000001"/>
    <d v="2025-05-20T00:00:00"/>
    <x v="3"/>
    <x v="1"/>
    <d v="2025-05-24T00:00:00"/>
    <n v="4"/>
    <x v="1"/>
  </r>
  <r>
    <x v="832"/>
    <s v="Jacket"/>
    <x v="3"/>
    <x v="19"/>
    <x v="0"/>
    <x v="2"/>
    <s v="Bhubaneswar"/>
    <n v="2764.87"/>
    <n v="0.1"/>
    <n v="2488.3829999999998"/>
    <n v="3"/>
    <n v="7465.1489999999994"/>
    <n v="1866.29"/>
    <d v="2024-08-25T00:00:00"/>
    <x v="0"/>
    <x v="0"/>
    <d v="2024-09-01T00:00:00"/>
    <n v="7"/>
    <x v="0"/>
  </r>
  <r>
    <x v="833"/>
    <s v="Sofa Set"/>
    <x v="1"/>
    <x v="4"/>
    <x v="1"/>
    <x v="3"/>
    <s v="Pune"/>
    <n v="45530.49"/>
    <n v="0.2"/>
    <n v="36424.392"/>
    <n v="5"/>
    <n v="182121.96"/>
    <n v="63742.69"/>
    <d v="2024-01-11T00:00:00"/>
    <x v="5"/>
    <x v="0"/>
    <d v="2024-01-13T00:00:00"/>
    <n v="2"/>
    <x v="2"/>
  </r>
  <r>
    <x v="834"/>
    <s v="Refrigerator"/>
    <x v="4"/>
    <x v="12"/>
    <x v="0"/>
    <x v="0"/>
    <s v="Chennai"/>
    <n v="23565.38"/>
    <n v="0.2"/>
    <n v="18852.304"/>
    <n v="3"/>
    <n v="56556.911999999997"/>
    <n v="14139.23"/>
    <d v="2025-03-02T00:00:00"/>
    <x v="1"/>
    <x v="1"/>
    <d v="2025-03-05T00:00:00"/>
    <n v="3"/>
    <x v="1"/>
  </r>
  <r>
    <x v="835"/>
    <s v="Sneakers"/>
    <x v="0"/>
    <x v="6"/>
    <x v="2"/>
    <x v="2"/>
    <s v="Kolkata"/>
    <n v="2025.12"/>
    <n v="0.25"/>
    <n v="1518.84"/>
    <n v="5"/>
    <n v="7594.2"/>
    <n v="911.3"/>
    <d v="2024-06-06T00:00:00"/>
    <x v="6"/>
    <x v="0"/>
    <d v="2024-06-11T00:00:00"/>
    <n v="5"/>
    <x v="0"/>
  </r>
  <r>
    <x v="836"/>
    <s v="Laptop"/>
    <x v="2"/>
    <x v="20"/>
    <x v="2"/>
    <x v="0"/>
    <s v="Hyderabad"/>
    <n v="40674.18"/>
    <n v="0.1"/>
    <n v="36606.762000000002"/>
    <n v="3"/>
    <n v="109820.28600000001"/>
    <n v="16473.04"/>
    <d v="2024-02-28T00:00:00"/>
    <x v="7"/>
    <x v="0"/>
    <d v="2024-03-09T00:00:00"/>
    <n v="10"/>
    <x v="1"/>
  </r>
  <r>
    <x v="837"/>
    <s v="Jacket"/>
    <x v="3"/>
    <x v="5"/>
    <x v="2"/>
    <x v="0"/>
    <s v="Hyderabad"/>
    <n v="2594.5100000000002"/>
    <n v="0.15"/>
    <n v="2205.3335000000002"/>
    <n v="5"/>
    <n v="11026.667500000001"/>
    <n v="1654"/>
    <d v="2024-04-12T00:00:00"/>
    <x v="11"/>
    <x v="0"/>
    <d v="2024-04-16T00:00:00"/>
    <n v="4"/>
    <x v="1"/>
  </r>
  <r>
    <x v="838"/>
    <s v="Headphones"/>
    <x v="2"/>
    <x v="20"/>
    <x v="2"/>
    <x v="1"/>
    <s v="Delhi"/>
    <n v="1758.56"/>
    <n v="0"/>
    <n v="1758.56"/>
    <n v="4"/>
    <n v="7034.24"/>
    <n v="1055.1400000000001"/>
    <d v="2025-06-29T00:00:00"/>
    <x v="6"/>
    <x v="1"/>
    <d v="2025-07-07T00:00:00"/>
    <n v="8"/>
    <x v="0"/>
  </r>
  <r>
    <x v="839"/>
    <s v="Jacket"/>
    <x v="3"/>
    <x v="19"/>
    <x v="0"/>
    <x v="3"/>
    <s v="Ahmedabad"/>
    <n v="3386.87"/>
    <n v="0.25"/>
    <n v="2540.1525000000001"/>
    <n v="4"/>
    <n v="10160.61"/>
    <n v="2540.15"/>
    <d v="2024-04-04T00:00:00"/>
    <x v="11"/>
    <x v="0"/>
    <d v="2024-04-13T00:00:00"/>
    <n v="9"/>
    <x v="1"/>
  </r>
  <r>
    <x v="840"/>
    <s v="Jacket"/>
    <x v="3"/>
    <x v="16"/>
    <x v="2"/>
    <x v="1"/>
    <s v="Jaipur"/>
    <n v="2592.42"/>
    <n v="0.1"/>
    <n v="2333.1779999999999"/>
    <n v="7"/>
    <n v="16332.245999999999"/>
    <n v="1049.93"/>
    <d v="2024-12-02T00:00:00"/>
    <x v="8"/>
    <x v="0"/>
    <d v="2024-12-09T00:00:00"/>
    <n v="7"/>
    <x v="2"/>
  </r>
  <r>
    <x v="841"/>
    <s v="Sofa Set"/>
    <x v="1"/>
    <x v="1"/>
    <x v="1"/>
    <x v="3"/>
    <s v="Pune"/>
    <n v="44387.42"/>
    <n v="0"/>
    <n v="44387.42"/>
    <n v="1"/>
    <n v="44387.42"/>
    <n v="15535.6"/>
    <d v="2024-10-02T00:00:00"/>
    <x v="10"/>
    <x v="0"/>
    <d v="2024-10-05T00:00:00"/>
    <n v="3"/>
    <x v="2"/>
  </r>
  <r>
    <x v="842"/>
    <s v="Headphones"/>
    <x v="2"/>
    <x v="14"/>
    <x v="1"/>
    <x v="3"/>
    <s v="Ahmedabad"/>
    <n v="2573.5300000000002"/>
    <n v="0"/>
    <n v="2573.5300000000002"/>
    <n v="5"/>
    <n v="12867.650000000001"/>
    <n v="4503.68"/>
    <d v="2025-04-23T00:00:00"/>
    <x v="11"/>
    <x v="1"/>
    <d v="2025-04-28T00:00:00"/>
    <n v="5"/>
    <x v="1"/>
  </r>
  <r>
    <x v="843"/>
    <s v="Formal Shoes"/>
    <x v="0"/>
    <x v="11"/>
    <x v="1"/>
    <x v="3"/>
    <s v="Ahmedabad"/>
    <n v="4407.32"/>
    <n v="0.1"/>
    <n v="3966.5880000000002"/>
    <n v="5"/>
    <n v="19832.940000000002"/>
    <n v="6941.53"/>
    <d v="2024-08-17T00:00:00"/>
    <x v="0"/>
    <x v="0"/>
    <d v="2024-08-20T00:00:00"/>
    <n v="3"/>
    <x v="0"/>
  </r>
  <r>
    <x v="844"/>
    <s v="Formal Shoes"/>
    <x v="0"/>
    <x v="0"/>
    <x v="0"/>
    <x v="2"/>
    <s v="Bhubaneswar"/>
    <n v="3206.66"/>
    <n v="0.1"/>
    <n v="2885.9940000000001"/>
    <n v="5"/>
    <n v="14429.970000000001"/>
    <n v="3607.49"/>
    <d v="2025-01-15T00:00:00"/>
    <x v="5"/>
    <x v="1"/>
    <d v="2025-01-21T00:00:00"/>
    <n v="6"/>
    <x v="2"/>
  </r>
  <r>
    <x v="845"/>
    <s v="Microwave"/>
    <x v="4"/>
    <x v="8"/>
    <x v="2"/>
    <x v="0"/>
    <s v="Bengaluru"/>
    <n v="6705.75"/>
    <n v="0.1"/>
    <n v="6035.1750000000002"/>
    <n v="2"/>
    <n v="12070.35"/>
    <n v="1810.55"/>
    <d v="2025-02-10T00:00:00"/>
    <x v="7"/>
    <x v="1"/>
    <d v="2025-02-18T00:00:00"/>
    <n v="8"/>
    <x v="1"/>
  </r>
  <r>
    <x v="846"/>
    <s v="Sneakers"/>
    <x v="0"/>
    <x v="6"/>
    <x v="2"/>
    <x v="1"/>
    <s v="Lucknow"/>
    <n v="2257"/>
    <n v="0.2"/>
    <n v="1805.6"/>
    <n v="5"/>
    <n v="9028"/>
    <n v="1354.2"/>
    <d v="2025-05-30T00:00:00"/>
    <x v="3"/>
    <x v="1"/>
    <d v="2025-06-09T00:00:00"/>
    <n v="10"/>
    <x v="1"/>
  </r>
  <r>
    <x v="847"/>
    <s v="Jeans"/>
    <x v="3"/>
    <x v="5"/>
    <x v="2"/>
    <x v="1"/>
    <s v="Lucknow"/>
    <n v="1337.08"/>
    <n v="0.15"/>
    <n v="1136.518"/>
    <n v="4"/>
    <n v="4546.0720000000001"/>
    <n v="681.91"/>
    <d v="2024-02-20T00:00:00"/>
    <x v="7"/>
    <x v="0"/>
    <d v="2024-02-26T00:00:00"/>
    <n v="6"/>
    <x v="1"/>
  </r>
  <r>
    <x v="848"/>
    <s v="Headphones"/>
    <x v="2"/>
    <x v="2"/>
    <x v="1"/>
    <x v="3"/>
    <s v="Mumbai"/>
    <n v="2466.15"/>
    <n v="0.05"/>
    <n v="2342.8425000000002"/>
    <n v="1"/>
    <n v="2342.8425000000002"/>
    <n v="819.99"/>
    <d v="2024-09-25T00:00:00"/>
    <x v="4"/>
    <x v="0"/>
    <d v="2024-09-27T00:00:00"/>
    <n v="2"/>
    <x v="0"/>
  </r>
  <r>
    <x v="849"/>
    <s v="Jacket"/>
    <x v="3"/>
    <x v="5"/>
    <x v="2"/>
    <x v="2"/>
    <s v="Bhubaneswar"/>
    <n v="2455.08"/>
    <n v="0.05"/>
    <n v="2332.326"/>
    <n v="4"/>
    <n v="9329.3040000000001"/>
    <n v="1399.39"/>
    <d v="2024-03-06T00:00:00"/>
    <x v="1"/>
    <x v="0"/>
    <d v="2024-03-16T00:00:00"/>
    <n v="10"/>
    <x v="1"/>
  </r>
  <r>
    <x v="850"/>
    <s v="Jacket"/>
    <x v="3"/>
    <x v="15"/>
    <x v="1"/>
    <x v="3"/>
    <s v="Mumbai"/>
    <n v="3719.55"/>
    <n v="0.05"/>
    <n v="3533.5725000000002"/>
    <n v="5"/>
    <n v="17667.862500000003"/>
    <n v="6183.75"/>
    <d v="2024-03-24T00:00:00"/>
    <x v="1"/>
    <x v="0"/>
    <d v="2024-04-02T00:00:00"/>
    <n v="9"/>
    <x v="1"/>
  </r>
  <r>
    <x v="851"/>
    <s v="Dining Table"/>
    <x v="1"/>
    <x v="1"/>
    <x v="1"/>
    <x v="3"/>
    <s v="Ahmedabad"/>
    <n v="33481.089999999997"/>
    <n v="0.1"/>
    <n v="30132.981"/>
    <n v="2"/>
    <n v="60265.962"/>
    <n v="21093.09"/>
    <d v="2024-10-03T00:00:00"/>
    <x v="10"/>
    <x v="0"/>
    <d v="2024-10-06T00:00:00"/>
    <n v="3"/>
    <x v="2"/>
  </r>
  <r>
    <x v="852"/>
    <s v="Jeans"/>
    <x v="3"/>
    <x v="16"/>
    <x v="2"/>
    <x v="2"/>
    <s v="Patna"/>
    <n v="1170.1500000000001"/>
    <n v="0.1"/>
    <n v="1053.135"/>
    <n v="5"/>
    <n v="5265.6750000000002"/>
    <n v="789.85"/>
    <d v="2025-05-31T00:00:00"/>
    <x v="3"/>
    <x v="1"/>
    <d v="2025-06-06T00:00:00"/>
    <n v="6"/>
    <x v="1"/>
  </r>
  <r>
    <x v="853"/>
    <s v="T-Shirt"/>
    <x v="3"/>
    <x v="15"/>
    <x v="1"/>
    <x v="2"/>
    <s v="Bhubaneswar"/>
    <n v="894.4"/>
    <n v="0.2"/>
    <n v="715.52"/>
    <n v="5"/>
    <n v="3577.6"/>
    <n v="1252.1600000000001"/>
    <d v="2024-07-29T00:00:00"/>
    <x v="2"/>
    <x v="0"/>
    <d v="2024-08-05T00:00:00"/>
    <n v="7"/>
    <x v="0"/>
  </r>
  <r>
    <x v="854"/>
    <s v="Smartphone"/>
    <x v="2"/>
    <x v="2"/>
    <x v="1"/>
    <x v="3"/>
    <s v="Mumbai"/>
    <n v="20115.96"/>
    <n v="0.3"/>
    <n v="14081.172"/>
    <n v="2"/>
    <n v="28162.344000000001"/>
    <n v="9856.82"/>
    <d v="2025-06-17T00:00:00"/>
    <x v="6"/>
    <x v="1"/>
    <d v="2025-06-24T00:00:00"/>
    <n v="7"/>
    <x v="0"/>
  </r>
  <r>
    <x v="855"/>
    <s v="Formal Shoes"/>
    <x v="0"/>
    <x v="11"/>
    <x v="1"/>
    <x v="2"/>
    <s v="Bhubaneswar"/>
    <n v="3896.85"/>
    <n v="0.1"/>
    <n v="3507.165"/>
    <n v="5"/>
    <n v="17535.825000000001"/>
    <n v="6137.54"/>
    <d v="2025-02-17T00:00:00"/>
    <x v="7"/>
    <x v="1"/>
    <d v="2025-02-20T00:00:00"/>
    <n v="3"/>
    <x v="1"/>
  </r>
  <r>
    <x v="856"/>
    <s v="Microwave"/>
    <x v="4"/>
    <x v="8"/>
    <x v="2"/>
    <x v="2"/>
    <s v="Kolkata"/>
    <n v="6140.51"/>
    <n v="0.2"/>
    <n v="4912.4080000000004"/>
    <n v="2"/>
    <n v="9824.8160000000007"/>
    <n v="1473.72"/>
    <d v="2024-07-03T00:00:00"/>
    <x v="2"/>
    <x v="0"/>
    <d v="2024-07-10T00:00:00"/>
    <n v="7"/>
    <x v="0"/>
  </r>
  <r>
    <x v="857"/>
    <s v="Coffee Table"/>
    <x v="1"/>
    <x v="7"/>
    <x v="0"/>
    <x v="1"/>
    <s v="Jaipur"/>
    <n v="8096.26"/>
    <n v="0.1"/>
    <n v="7286.634"/>
    <n v="1"/>
    <n v="7286.634"/>
    <n v="1821.66"/>
    <d v="2025-06-03T00:00:00"/>
    <x v="6"/>
    <x v="1"/>
    <d v="2025-06-08T00:00:00"/>
    <n v="5"/>
    <x v="0"/>
  </r>
  <r>
    <x v="858"/>
    <s v="T-Shirt"/>
    <x v="3"/>
    <x v="9"/>
    <x v="1"/>
    <x v="0"/>
    <s v="Hyderabad"/>
    <n v="917.72"/>
    <n v="0"/>
    <n v="917.72"/>
    <n v="2"/>
    <n v="1835.44"/>
    <n v="642.4"/>
    <d v="2024-04-24T00:00:00"/>
    <x v="11"/>
    <x v="0"/>
    <d v="2024-05-03T00:00:00"/>
    <n v="9"/>
    <x v="1"/>
  </r>
  <r>
    <x v="859"/>
    <s v="Refrigerator"/>
    <x v="4"/>
    <x v="2"/>
    <x v="1"/>
    <x v="1"/>
    <s v="Jaipur"/>
    <n v="30434.34"/>
    <n v="0.05"/>
    <n v="28912.623"/>
    <n v="4"/>
    <n v="115650.492"/>
    <n v="40477.67"/>
    <d v="2025-01-26T00:00:00"/>
    <x v="5"/>
    <x v="1"/>
    <d v="2025-02-02T00:00:00"/>
    <n v="7"/>
    <x v="2"/>
  </r>
  <r>
    <x v="860"/>
    <s v="Formal Shoes"/>
    <x v="0"/>
    <x v="6"/>
    <x v="2"/>
    <x v="1"/>
    <s v="Lucknow"/>
    <n v="3019.33"/>
    <n v="0.05"/>
    <n v="2868.3634999999999"/>
    <n v="2"/>
    <n v="5736.7269999999999"/>
    <n v="860.51"/>
    <d v="2025-02-09T00:00:00"/>
    <x v="7"/>
    <x v="1"/>
    <d v="2025-02-13T00:00:00"/>
    <n v="4"/>
    <x v="1"/>
  </r>
  <r>
    <x v="861"/>
    <s v="Formal Shoes"/>
    <x v="0"/>
    <x v="0"/>
    <x v="0"/>
    <x v="0"/>
    <s v="Bengaluru"/>
    <n v="3335.19"/>
    <n v="0.25"/>
    <n v="2501.3924999999999"/>
    <n v="3"/>
    <n v="7504.1774999999998"/>
    <n v="1876.05"/>
    <d v="2024-09-18T00:00:00"/>
    <x v="4"/>
    <x v="0"/>
    <d v="2024-09-24T00:00:00"/>
    <n v="6"/>
    <x v="0"/>
  </r>
  <r>
    <x v="862"/>
    <s v="Headphones"/>
    <x v="2"/>
    <x v="3"/>
    <x v="0"/>
    <x v="0"/>
    <s v="Bengaluru"/>
    <n v="1896.86"/>
    <n v="0.3"/>
    <n v="1327.8019999999999"/>
    <n v="3"/>
    <n v="3983.4059999999999"/>
    <n v="995.85"/>
    <d v="2025-06-10T00:00:00"/>
    <x v="6"/>
    <x v="1"/>
    <d v="2025-06-18T00:00:00"/>
    <n v="8"/>
    <x v="0"/>
  </r>
  <r>
    <x v="863"/>
    <s v="Sofa Set"/>
    <x v="1"/>
    <x v="7"/>
    <x v="0"/>
    <x v="0"/>
    <s v="Hyderabad"/>
    <n v="32758.22"/>
    <n v="0.15"/>
    <n v="27844.487000000001"/>
    <n v="1"/>
    <n v="27844.487000000001"/>
    <n v="6961.12"/>
    <d v="2025-01-17T00:00:00"/>
    <x v="5"/>
    <x v="1"/>
    <d v="2025-01-19T00:00:00"/>
    <n v="2"/>
    <x v="2"/>
  </r>
  <r>
    <x v="864"/>
    <s v="Dining Table"/>
    <x v="1"/>
    <x v="4"/>
    <x v="1"/>
    <x v="2"/>
    <s v="Kolkata"/>
    <n v="27188.53"/>
    <n v="0"/>
    <n v="27188.53"/>
    <n v="4"/>
    <n v="108754.12"/>
    <n v="38063.94"/>
    <d v="2025-05-27T00:00:00"/>
    <x v="3"/>
    <x v="1"/>
    <d v="2025-06-03T00:00:00"/>
    <n v="7"/>
    <x v="1"/>
  </r>
  <r>
    <x v="865"/>
    <s v="Microwave"/>
    <x v="4"/>
    <x v="10"/>
    <x v="1"/>
    <x v="3"/>
    <s v="Mumbai"/>
    <n v="10732.6"/>
    <n v="0.1"/>
    <n v="9659.34"/>
    <n v="1"/>
    <n v="9659.34"/>
    <n v="3380.77"/>
    <d v="2024-09-28T00:00:00"/>
    <x v="4"/>
    <x v="0"/>
    <d v="2024-10-06T00:00:00"/>
    <n v="8"/>
    <x v="0"/>
  </r>
  <r>
    <x v="866"/>
    <s v="Dining Table"/>
    <x v="1"/>
    <x v="1"/>
    <x v="1"/>
    <x v="1"/>
    <s v="Lucknow"/>
    <n v="31944.45"/>
    <n v="0.15"/>
    <n v="27152.782500000001"/>
    <n v="4"/>
    <n v="108611.13"/>
    <n v="38013.9"/>
    <d v="2025-06-06T00:00:00"/>
    <x v="6"/>
    <x v="1"/>
    <d v="2025-06-12T00:00:00"/>
    <n v="6"/>
    <x v="0"/>
  </r>
  <r>
    <x v="867"/>
    <s v="T-Shirt"/>
    <x v="3"/>
    <x v="19"/>
    <x v="0"/>
    <x v="2"/>
    <s v="Patna"/>
    <n v="730.11"/>
    <n v="0.05"/>
    <n v="693.60450000000003"/>
    <n v="5"/>
    <n v="3468.0225"/>
    <n v="867"/>
    <d v="2024-07-03T00:00:00"/>
    <x v="2"/>
    <x v="0"/>
    <d v="2024-07-07T00:00:00"/>
    <n v="4"/>
    <x v="0"/>
  </r>
  <r>
    <x v="868"/>
    <s v="Laptop"/>
    <x v="2"/>
    <x v="20"/>
    <x v="2"/>
    <x v="0"/>
    <s v="Bengaluru"/>
    <n v="43701.13"/>
    <n v="0.2"/>
    <n v="34960.904000000002"/>
    <n v="4"/>
    <n v="139843.61600000001"/>
    <n v="20976.54"/>
    <d v="2024-01-08T00:00:00"/>
    <x v="5"/>
    <x v="0"/>
    <d v="2024-01-15T00:00:00"/>
    <n v="7"/>
    <x v="2"/>
  </r>
  <r>
    <x v="869"/>
    <s v="Formal Shoes"/>
    <x v="0"/>
    <x v="6"/>
    <x v="2"/>
    <x v="3"/>
    <s v="Ahmedabad"/>
    <n v="3117.07"/>
    <n v="0"/>
    <n v="3117.07"/>
    <n v="4"/>
    <n v="12468.28"/>
    <n v="1870.24"/>
    <d v="2025-07-15T00:00:00"/>
    <x v="2"/>
    <x v="1"/>
    <d v="2025-07-17T00:00:00"/>
    <n v="2"/>
    <x v="0"/>
  </r>
  <r>
    <x v="870"/>
    <s v="Sneakers"/>
    <x v="0"/>
    <x v="0"/>
    <x v="0"/>
    <x v="1"/>
    <s v="Lucknow"/>
    <n v="2567.2600000000002"/>
    <n v="0.2"/>
    <n v="2053.808"/>
    <n v="1"/>
    <n v="2053.808"/>
    <n v="513.45000000000005"/>
    <d v="2024-10-30T00:00:00"/>
    <x v="10"/>
    <x v="0"/>
    <d v="2024-11-08T00:00:00"/>
    <n v="9"/>
    <x v="2"/>
  </r>
  <r>
    <x v="871"/>
    <s v="T-Shirt"/>
    <x v="3"/>
    <x v="15"/>
    <x v="1"/>
    <x v="0"/>
    <s v="Chennai"/>
    <n v="919.64"/>
    <n v="0"/>
    <n v="919.64"/>
    <n v="8"/>
    <n v="7357.12"/>
    <n v="643.75"/>
    <d v="2025-01-30T00:00:00"/>
    <x v="5"/>
    <x v="1"/>
    <d v="2025-02-02T00:00:00"/>
    <n v="3"/>
    <x v="2"/>
  </r>
  <r>
    <x v="872"/>
    <s v="Sofa Set"/>
    <x v="1"/>
    <x v="18"/>
    <x v="2"/>
    <x v="3"/>
    <s v="Ahmedabad"/>
    <n v="31289.71"/>
    <n v="0.2"/>
    <n v="25031.768"/>
    <n v="3"/>
    <n v="75095.304000000004"/>
    <n v="11264.3"/>
    <d v="2025-02-18T00:00:00"/>
    <x v="7"/>
    <x v="1"/>
    <d v="2025-02-27T00:00:00"/>
    <n v="9"/>
    <x v="1"/>
  </r>
  <r>
    <x v="873"/>
    <s v="Bed"/>
    <x v="1"/>
    <x v="18"/>
    <x v="2"/>
    <x v="0"/>
    <s v="Chennai"/>
    <n v="24311.62"/>
    <n v="0.2"/>
    <n v="19449.295999999998"/>
    <n v="3"/>
    <n v="58347.887999999992"/>
    <n v="8752.18"/>
    <d v="2024-04-11T00:00:00"/>
    <x v="11"/>
    <x v="0"/>
    <d v="2024-04-14T00:00:00"/>
    <n v="3"/>
    <x v="1"/>
  </r>
  <r>
    <x v="874"/>
    <s v="Jeans"/>
    <x v="3"/>
    <x v="5"/>
    <x v="2"/>
    <x v="2"/>
    <s v="Kolkata"/>
    <n v="1261.67"/>
    <n v="0.15"/>
    <n v="1072.4195"/>
    <n v="3"/>
    <n v="3217.2584999999999"/>
    <n v="482.59"/>
    <d v="2024-04-01T00:00:00"/>
    <x v="11"/>
    <x v="0"/>
    <d v="2024-04-09T00:00:00"/>
    <n v="8"/>
    <x v="1"/>
  </r>
  <r>
    <x v="875"/>
    <s v="Smartphone"/>
    <x v="2"/>
    <x v="21"/>
    <x v="2"/>
    <x v="0"/>
    <s v="Chennai"/>
    <n v="12428.68"/>
    <n v="0.2"/>
    <n v="9942.9440000000013"/>
    <n v="4"/>
    <n v="39771.776000000005"/>
    <n v="5965.77"/>
    <d v="2024-06-30T00:00:00"/>
    <x v="6"/>
    <x v="0"/>
    <d v="2024-07-10T00:00:00"/>
    <n v="10"/>
    <x v="0"/>
  </r>
  <r>
    <x v="876"/>
    <s v="Jacket"/>
    <x v="3"/>
    <x v="16"/>
    <x v="2"/>
    <x v="0"/>
    <s v="Hyderabad"/>
    <n v="2593.5"/>
    <n v="0.3"/>
    <n v="1815.45"/>
    <n v="5"/>
    <n v="9077.25"/>
    <n v="1361.59"/>
    <d v="2024-08-01T00:00:00"/>
    <x v="0"/>
    <x v="0"/>
    <d v="2024-08-07T00:00:00"/>
    <n v="6"/>
    <x v="0"/>
  </r>
  <r>
    <x v="877"/>
    <s v="Coffee Table"/>
    <x v="1"/>
    <x v="7"/>
    <x v="0"/>
    <x v="0"/>
    <s v="Chennai"/>
    <n v="7529.98"/>
    <n v="0.05"/>
    <n v="7153.4809999999989"/>
    <n v="3"/>
    <n v="21460.442999999996"/>
    <n v="5365.11"/>
    <d v="2024-06-25T00:00:00"/>
    <x v="6"/>
    <x v="0"/>
    <d v="2024-07-02T00:00:00"/>
    <n v="7"/>
    <x v="0"/>
  </r>
  <r>
    <x v="878"/>
    <s v="Formal Shoes"/>
    <x v="0"/>
    <x v="0"/>
    <x v="0"/>
    <x v="2"/>
    <s v="Patna"/>
    <n v="3300"/>
    <n v="0.05"/>
    <n v="3135"/>
    <n v="5"/>
    <n v="15675"/>
    <n v="3918.75"/>
    <d v="2024-12-15T00:00:00"/>
    <x v="8"/>
    <x v="0"/>
    <d v="2024-12-19T00:00:00"/>
    <n v="4"/>
    <x v="2"/>
  </r>
  <r>
    <x v="879"/>
    <s v="Jeans"/>
    <x v="3"/>
    <x v="9"/>
    <x v="1"/>
    <x v="0"/>
    <s v="Bengaluru"/>
    <n v="1812.85"/>
    <n v="0.15"/>
    <n v="1540.9224999999999"/>
    <n v="3"/>
    <n v="4622.7674999999999"/>
    <n v="1617.97"/>
    <d v="2024-09-17T00:00:00"/>
    <x v="4"/>
    <x v="0"/>
    <d v="2024-09-26T00:00:00"/>
    <n v="9"/>
    <x v="0"/>
  </r>
  <r>
    <x v="880"/>
    <s v="Sneakers"/>
    <x v="0"/>
    <x v="6"/>
    <x v="2"/>
    <x v="1"/>
    <s v="Delhi"/>
    <n v="2208.19"/>
    <n v="0.3"/>
    <n v="1545.7329999999999"/>
    <n v="5"/>
    <n v="7728.665"/>
    <n v="1159.3"/>
    <d v="2024-10-04T00:00:00"/>
    <x v="10"/>
    <x v="0"/>
    <d v="2024-10-10T00:00:00"/>
    <n v="6"/>
    <x v="2"/>
  </r>
  <r>
    <x v="881"/>
    <s v="Refrigerator"/>
    <x v="4"/>
    <x v="12"/>
    <x v="0"/>
    <x v="1"/>
    <s v="Jaipur"/>
    <n v="27141.48"/>
    <n v="0"/>
    <n v="27141.48"/>
    <n v="3"/>
    <n v="81424.44"/>
    <n v="20356.11"/>
    <d v="2024-07-09T00:00:00"/>
    <x v="2"/>
    <x v="0"/>
    <d v="2024-07-19T00:00:00"/>
    <n v="10"/>
    <x v="0"/>
  </r>
  <r>
    <x v="882"/>
    <s v="Bed"/>
    <x v="1"/>
    <x v="7"/>
    <x v="0"/>
    <x v="0"/>
    <s v="Chennai"/>
    <n v="29230.18"/>
    <n v="0.1"/>
    <n v="26307.162"/>
    <n v="3"/>
    <n v="78921.486000000004"/>
    <n v="19730.37"/>
    <d v="2025-02-28T00:00:00"/>
    <x v="7"/>
    <x v="1"/>
    <d v="2025-03-03T00:00:00"/>
    <n v="3"/>
    <x v="1"/>
  </r>
  <r>
    <x v="883"/>
    <s v="Jeans"/>
    <x v="3"/>
    <x v="13"/>
    <x v="1"/>
    <x v="0"/>
    <s v="Chennai"/>
    <n v="1791.29"/>
    <n v="0.1"/>
    <n v="1612.1610000000001"/>
    <n v="9"/>
    <n v="14509.449000000001"/>
    <n v="564.26"/>
    <d v="2024-11-02T00:00:00"/>
    <x v="9"/>
    <x v="0"/>
    <d v="2024-11-08T00:00:00"/>
    <n v="6"/>
    <x v="2"/>
  </r>
  <r>
    <x v="884"/>
    <s v="Laptop"/>
    <x v="2"/>
    <x v="20"/>
    <x v="2"/>
    <x v="1"/>
    <s v="Lucknow"/>
    <n v="45302.17"/>
    <n v="0.1"/>
    <n v="40771.953000000001"/>
    <n v="1"/>
    <n v="40771.953000000001"/>
    <n v="6115.79"/>
    <d v="2025-04-29T00:00:00"/>
    <x v="11"/>
    <x v="1"/>
    <d v="2025-05-07T00:00:00"/>
    <n v="8"/>
    <x v="1"/>
  </r>
  <r>
    <x v="885"/>
    <s v="Jacket"/>
    <x v="3"/>
    <x v="5"/>
    <x v="2"/>
    <x v="1"/>
    <s v="Jaipur"/>
    <n v="2579.85"/>
    <n v="0.2"/>
    <n v="2063.88"/>
    <n v="5"/>
    <n v="10319.400000000001"/>
    <n v="1547.91"/>
    <d v="2024-02-26T00:00:00"/>
    <x v="7"/>
    <x v="0"/>
    <d v="2024-03-05T00:00:00"/>
    <n v="8"/>
    <x v="1"/>
  </r>
  <r>
    <x v="886"/>
    <s v="Jeans"/>
    <x v="3"/>
    <x v="16"/>
    <x v="2"/>
    <x v="1"/>
    <s v="Delhi"/>
    <n v="1288.5"/>
    <n v="0.1"/>
    <n v="1159.6500000000001"/>
    <n v="3"/>
    <n v="3478.9500000000003"/>
    <n v="521.84"/>
    <d v="2024-06-14T00:00:00"/>
    <x v="6"/>
    <x v="0"/>
    <d v="2024-06-24T00:00:00"/>
    <n v="10"/>
    <x v="0"/>
  </r>
  <r>
    <x v="887"/>
    <s v="T-Shirt"/>
    <x v="3"/>
    <x v="13"/>
    <x v="1"/>
    <x v="3"/>
    <s v="Mumbai"/>
    <n v="1044.3900000000001"/>
    <n v="0.3"/>
    <n v="731.07299999999998"/>
    <n v="6"/>
    <n v="4386.4380000000001"/>
    <n v="1023.5"/>
    <d v="2024-01-22T00:00:00"/>
    <x v="5"/>
    <x v="0"/>
    <d v="2024-01-28T00:00:00"/>
    <n v="6"/>
    <x v="2"/>
  </r>
  <r>
    <x v="888"/>
    <s v="Formal Shoes"/>
    <x v="0"/>
    <x v="6"/>
    <x v="2"/>
    <x v="0"/>
    <s v="Chennai"/>
    <n v="2800.71"/>
    <n v="0.2"/>
    <n v="2240.5680000000002"/>
    <n v="2"/>
    <n v="4481.1360000000004"/>
    <n v="672.17"/>
    <d v="2024-04-19T00:00:00"/>
    <x v="11"/>
    <x v="0"/>
    <d v="2024-04-27T00:00:00"/>
    <n v="8"/>
    <x v="1"/>
  </r>
  <r>
    <x v="889"/>
    <s v="Sofa Set"/>
    <x v="1"/>
    <x v="7"/>
    <x v="0"/>
    <x v="1"/>
    <s v="Delhi"/>
    <n v="34834.97"/>
    <n v="0.1"/>
    <n v="31351.473000000002"/>
    <n v="2"/>
    <n v="62702.946000000004"/>
    <n v="15675.74"/>
    <d v="2025-05-15T00:00:00"/>
    <x v="3"/>
    <x v="1"/>
    <d v="2025-05-23T00:00:00"/>
    <n v="8"/>
    <x v="1"/>
  </r>
  <r>
    <x v="890"/>
    <s v="Formal Shoes"/>
    <x v="0"/>
    <x v="0"/>
    <x v="0"/>
    <x v="0"/>
    <s v="Chennai"/>
    <n v="3574.66"/>
    <n v="0.1"/>
    <n v="3217.194"/>
    <n v="3"/>
    <n v="9651.5820000000003"/>
    <n v="2412.89"/>
    <d v="2025-04-15T00:00:00"/>
    <x v="11"/>
    <x v="1"/>
    <d v="2025-04-24T00:00:00"/>
    <n v="9"/>
    <x v="1"/>
  </r>
  <r>
    <x v="891"/>
    <s v="T-Shirt"/>
    <x v="3"/>
    <x v="15"/>
    <x v="1"/>
    <x v="3"/>
    <s v="Mumbai"/>
    <n v="1040.1400000000001"/>
    <n v="0.25"/>
    <n v="780.10500000000002"/>
    <n v="4"/>
    <n v="3120.42"/>
    <n v="1092.1500000000001"/>
    <d v="2024-05-28T00:00:00"/>
    <x v="3"/>
    <x v="0"/>
    <d v="2024-05-31T00:00:00"/>
    <n v="3"/>
    <x v="1"/>
  </r>
  <r>
    <x v="892"/>
    <s v="Bed"/>
    <x v="1"/>
    <x v="4"/>
    <x v="1"/>
    <x v="2"/>
    <s v="Kolkata"/>
    <n v="33620.99"/>
    <n v="0.1"/>
    <n v="30258.891"/>
    <n v="5"/>
    <n v="151294.45499999999"/>
    <n v="52953.06"/>
    <d v="2025-02-17T00:00:00"/>
    <x v="7"/>
    <x v="1"/>
    <d v="2025-02-20T00:00:00"/>
    <n v="3"/>
    <x v="1"/>
  </r>
  <r>
    <x v="893"/>
    <s v="Jeans"/>
    <x v="3"/>
    <x v="19"/>
    <x v="0"/>
    <x v="2"/>
    <s v="Patna"/>
    <n v="1439.05"/>
    <n v="0.15"/>
    <n v="1223.1925000000001"/>
    <n v="5"/>
    <n v="6115.9625000000005"/>
    <n v="305.8"/>
    <d v="2024-11-26T00:00:00"/>
    <x v="9"/>
    <x v="0"/>
    <d v="2024-11-30T00:00:00"/>
    <n v="4"/>
    <x v="2"/>
  </r>
  <r>
    <x v="894"/>
    <s v="Jeans"/>
    <x v="3"/>
    <x v="19"/>
    <x v="0"/>
    <x v="2"/>
    <s v="Patna"/>
    <n v="1479.83"/>
    <n v="0.1"/>
    <n v="1331.847"/>
    <n v="3"/>
    <n v="3995.5410000000002"/>
    <n v="998.88"/>
    <d v="2025-05-23T00:00:00"/>
    <x v="3"/>
    <x v="1"/>
    <d v="2025-05-30T00:00:00"/>
    <n v="7"/>
    <x v="1"/>
  </r>
  <r>
    <x v="895"/>
    <s v="Sofa Set"/>
    <x v="1"/>
    <x v="18"/>
    <x v="2"/>
    <x v="1"/>
    <s v="Jaipur"/>
    <n v="30790.03"/>
    <n v="0.1"/>
    <n v="27711.026999999998"/>
    <n v="1"/>
    <n v="27711.026999999998"/>
    <n v="4156.6499999999996"/>
    <d v="2025-07-14T00:00:00"/>
    <x v="2"/>
    <x v="1"/>
    <d v="2025-07-19T00:00:00"/>
    <n v="5"/>
    <x v="0"/>
  </r>
  <r>
    <x v="896"/>
    <s v="Bed"/>
    <x v="1"/>
    <x v="1"/>
    <x v="1"/>
    <x v="2"/>
    <s v="Patna"/>
    <n v="35167.82"/>
    <n v="0.3"/>
    <n v="24617.473999999998"/>
    <n v="1"/>
    <n v="24617.473999999998"/>
    <n v="8616.11"/>
    <d v="2024-04-02T00:00:00"/>
    <x v="11"/>
    <x v="0"/>
    <d v="2024-04-06T00:00:00"/>
    <n v="4"/>
    <x v="1"/>
  </r>
  <r>
    <x v="897"/>
    <s v="Refrigerator"/>
    <x v="4"/>
    <x v="12"/>
    <x v="0"/>
    <x v="3"/>
    <s v="Pune"/>
    <n v="27640.67"/>
    <n v="0.25"/>
    <n v="20730.502499999999"/>
    <n v="4"/>
    <n v="82922.009999999995"/>
    <n v="20730.5"/>
    <d v="2024-03-05T00:00:00"/>
    <x v="1"/>
    <x v="0"/>
    <d v="2024-03-09T00:00:00"/>
    <n v="4"/>
    <x v="1"/>
  </r>
  <r>
    <x v="898"/>
    <s v="Headphones"/>
    <x v="2"/>
    <x v="21"/>
    <x v="2"/>
    <x v="2"/>
    <s v="Kolkata"/>
    <n v="1604.33"/>
    <n v="0.05"/>
    <n v="1524.1134999999999"/>
    <n v="5"/>
    <n v="7620.5674999999992"/>
    <n v="1143.0899999999999"/>
    <d v="2025-05-17T00:00:00"/>
    <x v="3"/>
    <x v="1"/>
    <d v="2025-05-21T00:00:00"/>
    <n v="4"/>
    <x v="1"/>
  </r>
  <r>
    <x v="899"/>
    <s v="Coffee Table"/>
    <x v="1"/>
    <x v="1"/>
    <x v="1"/>
    <x v="0"/>
    <s v="Hyderabad"/>
    <n v="9306.68"/>
    <n v="0.1"/>
    <n v="8376.0120000000006"/>
    <n v="1"/>
    <n v="8376.0120000000006"/>
    <n v="2931.6"/>
    <d v="2024-07-10T00:00:00"/>
    <x v="2"/>
    <x v="0"/>
    <d v="2024-07-18T00:00:00"/>
    <n v="8"/>
    <x v="0"/>
  </r>
  <r>
    <x v="900"/>
    <s v="Jeans"/>
    <x v="3"/>
    <x v="5"/>
    <x v="2"/>
    <x v="0"/>
    <s v="Hyderabad"/>
    <n v="1194.46"/>
    <n v="0.2"/>
    <n v="955.5680000000001"/>
    <n v="2"/>
    <n v="1911.1360000000002"/>
    <n v="286.67"/>
    <d v="2024-03-25T00:00:00"/>
    <x v="1"/>
    <x v="0"/>
    <d v="2024-04-01T00:00:00"/>
    <n v="7"/>
    <x v="1"/>
  </r>
  <r>
    <x v="901"/>
    <s v="Sofa Set"/>
    <x v="1"/>
    <x v="7"/>
    <x v="0"/>
    <x v="1"/>
    <s v="Jaipur"/>
    <n v="36965.35"/>
    <n v="0.15"/>
    <n v="31420.547500000001"/>
    <n v="2"/>
    <n v="62841.095000000001"/>
    <n v="15710.27"/>
    <d v="2024-01-25T00:00:00"/>
    <x v="5"/>
    <x v="0"/>
    <d v="2024-01-28T00:00:00"/>
    <n v="3"/>
    <x v="2"/>
  </r>
  <r>
    <x v="902"/>
    <s v="Microwave"/>
    <x v="4"/>
    <x v="10"/>
    <x v="1"/>
    <x v="0"/>
    <s v="Bengaluru"/>
    <n v="9102.0300000000007"/>
    <n v="0.15"/>
    <n v="7736.7254999999996"/>
    <n v="2"/>
    <n v="15473.450999999999"/>
    <n v="5415.71"/>
    <d v="2025-05-25T00:00:00"/>
    <x v="3"/>
    <x v="1"/>
    <d v="2025-05-27T00:00:00"/>
    <n v="2"/>
    <x v="1"/>
  </r>
  <r>
    <x v="903"/>
    <s v="Coffee Table"/>
    <x v="1"/>
    <x v="4"/>
    <x v="1"/>
    <x v="1"/>
    <s v="Lucknow"/>
    <n v="10320.73"/>
    <n v="0.3"/>
    <n v="7224.5110000000004"/>
    <n v="5"/>
    <n v="36122.555"/>
    <n v="12642.9"/>
    <d v="2024-06-02T00:00:00"/>
    <x v="6"/>
    <x v="0"/>
    <d v="2024-06-08T00:00:00"/>
    <n v="6"/>
    <x v="0"/>
  </r>
  <r>
    <x v="904"/>
    <s v="Microwave"/>
    <x v="4"/>
    <x v="10"/>
    <x v="1"/>
    <x v="1"/>
    <s v="Delhi"/>
    <n v="9764.31"/>
    <n v="0.25"/>
    <n v="7323.2325000000001"/>
    <n v="2"/>
    <n v="14646.465"/>
    <n v="5126.26"/>
    <d v="2025-04-15T00:00:00"/>
    <x v="11"/>
    <x v="1"/>
    <d v="2025-04-17T00:00:00"/>
    <n v="2"/>
    <x v="1"/>
  </r>
  <r>
    <x v="905"/>
    <s v="Dining Table"/>
    <x v="1"/>
    <x v="18"/>
    <x v="2"/>
    <x v="2"/>
    <s v="Bhubaneswar"/>
    <n v="20571.11"/>
    <n v="0.1"/>
    <n v="18513.999"/>
    <n v="2"/>
    <n v="37027.998"/>
    <n v="5554.2"/>
    <d v="2024-02-16T00:00:00"/>
    <x v="7"/>
    <x v="0"/>
    <d v="2024-02-26T00:00:00"/>
    <n v="10"/>
    <x v="1"/>
  </r>
  <r>
    <x v="906"/>
    <s v="Jacket"/>
    <x v="3"/>
    <x v="5"/>
    <x v="2"/>
    <x v="1"/>
    <s v="Delhi"/>
    <n v="2643.8"/>
    <n v="0.3"/>
    <n v="1850.66"/>
    <n v="3"/>
    <n v="5551.9800000000005"/>
    <n v="832.8"/>
    <d v="2025-03-02T00:00:00"/>
    <x v="1"/>
    <x v="1"/>
    <d v="2025-03-05T00:00:00"/>
    <n v="3"/>
    <x v="1"/>
  </r>
  <r>
    <x v="907"/>
    <s v="Refrigerator"/>
    <x v="4"/>
    <x v="12"/>
    <x v="0"/>
    <x v="3"/>
    <s v="Pune"/>
    <n v="27347.03"/>
    <n v="0.2"/>
    <n v="21877.624"/>
    <n v="4"/>
    <n v="87510.495999999999"/>
    <n v="21877.62"/>
    <d v="2024-06-09T00:00:00"/>
    <x v="6"/>
    <x v="0"/>
    <d v="2024-06-15T00:00:00"/>
    <n v="6"/>
    <x v="0"/>
  </r>
  <r>
    <x v="908"/>
    <s v="Formal Shoes"/>
    <x v="0"/>
    <x v="6"/>
    <x v="2"/>
    <x v="3"/>
    <s v="Ahmedabad"/>
    <n v="3246.47"/>
    <n v="0.15"/>
    <n v="2759.4994999999999"/>
    <n v="4"/>
    <n v="11037.998"/>
    <n v="1655.7"/>
    <d v="2024-03-27T00:00:00"/>
    <x v="1"/>
    <x v="0"/>
    <d v="2024-04-02T00:00:00"/>
    <n v="6"/>
    <x v="1"/>
  </r>
  <r>
    <x v="909"/>
    <s v="Coffee Table"/>
    <x v="1"/>
    <x v="4"/>
    <x v="1"/>
    <x v="3"/>
    <s v="Ahmedabad"/>
    <n v="10344.61"/>
    <n v="0.1"/>
    <n v="9310.1490000000013"/>
    <n v="5"/>
    <n v="46550.74500000001"/>
    <n v="16292.76"/>
    <d v="2025-05-19T00:00:00"/>
    <x v="3"/>
    <x v="1"/>
    <d v="2025-05-24T00:00:00"/>
    <n v="5"/>
    <x v="1"/>
  </r>
  <r>
    <x v="910"/>
    <s v="Jacket"/>
    <x v="3"/>
    <x v="9"/>
    <x v="1"/>
    <x v="2"/>
    <s v="Bhubaneswar"/>
    <n v="3255.13"/>
    <n v="0.15"/>
    <n v="2766.8604999999998"/>
    <n v="9"/>
    <n v="24901.744499999997"/>
    <n v="1936.8"/>
    <d v="2024-01-09T00:00:00"/>
    <x v="5"/>
    <x v="0"/>
    <d v="2024-01-15T00:00:00"/>
    <n v="6"/>
    <x v="2"/>
  </r>
  <r>
    <x v="911"/>
    <s v="Dining Table"/>
    <x v="1"/>
    <x v="4"/>
    <x v="1"/>
    <x v="0"/>
    <s v="Hyderabad"/>
    <n v="30691.98"/>
    <n v="0.2"/>
    <n v="24553.583999999999"/>
    <n v="1"/>
    <n v="24553.583999999999"/>
    <n v="8593.75"/>
    <d v="2024-02-16T00:00:00"/>
    <x v="7"/>
    <x v="0"/>
    <d v="2024-02-20T00:00:00"/>
    <n v="4"/>
    <x v="1"/>
  </r>
  <r>
    <x v="912"/>
    <s v="Jeans"/>
    <x v="3"/>
    <x v="15"/>
    <x v="1"/>
    <x v="2"/>
    <s v="Patna"/>
    <n v="1753.48"/>
    <n v="0"/>
    <n v="1753.48"/>
    <n v="2"/>
    <n v="3506.96"/>
    <n v="1227.44"/>
    <d v="2024-02-05T00:00:00"/>
    <x v="7"/>
    <x v="0"/>
    <d v="2024-02-11T00:00:00"/>
    <n v="6"/>
    <x v="1"/>
  </r>
  <r>
    <x v="913"/>
    <s v="Smartphone"/>
    <x v="2"/>
    <x v="21"/>
    <x v="2"/>
    <x v="2"/>
    <s v="Patna"/>
    <n v="12680.53"/>
    <n v="0.1"/>
    <n v="11412.477000000001"/>
    <n v="4"/>
    <n v="45649.908000000003"/>
    <n v="6847.49"/>
    <d v="2024-09-26T00:00:00"/>
    <x v="4"/>
    <x v="0"/>
    <d v="2024-10-04T00:00:00"/>
    <n v="8"/>
    <x v="0"/>
  </r>
  <r>
    <x v="914"/>
    <s v="Refrigerator"/>
    <x v="4"/>
    <x v="12"/>
    <x v="0"/>
    <x v="0"/>
    <s v="Bengaluru"/>
    <n v="25625.37"/>
    <n v="0.3"/>
    <n v="17937.758999999998"/>
    <n v="2"/>
    <n v="35875.517999999996"/>
    <n v="8968.8799999999992"/>
    <d v="2024-09-22T00:00:00"/>
    <x v="4"/>
    <x v="0"/>
    <d v="2024-09-24T00:00:00"/>
    <n v="2"/>
    <x v="0"/>
  </r>
  <r>
    <x v="915"/>
    <s v="Microwave"/>
    <x v="4"/>
    <x v="2"/>
    <x v="1"/>
    <x v="0"/>
    <s v="Chennai"/>
    <n v="9247.58"/>
    <n v="0.25"/>
    <n v="6935.6849999999986"/>
    <n v="2"/>
    <n v="13871.369999999997"/>
    <n v="4854.9799999999996"/>
    <d v="2025-05-01T00:00:00"/>
    <x v="3"/>
    <x v="1"/>
    <d v="2025-05-04T00:00:00"/>
    <n v="3"/>
    <x v="1"/>
  </r>
  <r>
    <x v="916"/>
    <s v="Dining Table"/>
    <x v="1"/>
    <x v="7"/>
    <x v="0"/>
    <x v="2"/>
    <s v="Bhubaneswar"/>
    <n v="23371.81"/>
    <n v="0.05"/>
    <n v="22203.219499999999"/>
    <n v="2"/>
    <n v="44406.438999999998"/>
    <n v="11101.61"/>
    <d v="2025-07-15T00:00:00"/>
    <x v="2"/>
    <x v="1"/>
    <d v="2025-07-18T00:00:00"/>
    <n v="3"/>
    <x v="0"/>
  </r>
  <r>
    <x v="917"/>
    <s v="Washing Machine"/>
    <x v="4"/>
    <x v="8"/>
    <x v="2"/>
    <x v="0"/>
    <s v="Hyderabad"/>
    <n v="14345.16"/>
    <n v="0.3"/>
    <n v="10041.611999999999"/>
    <n v="1"/>
    <n v="10041.611999999999"/>
    <n v="1506.24"/>
    <d v="2024-06-15T00:00:00"/>
    <x v="6"/>
    <x v="0"/>
    <d v="2024-06-18T00:00:00"/>
    <n v="3"/>
    <x v="0"/>
  </r>
  <r>
    <x v="918"/>
    <s v="Microwave"/>
    <x v="4"/>
    <x v="12"/>
    <x v="0"/>
    <x v="1"/>
    <s v="Delhi"/>
    <n v="7970.79"/>
    <n v="0.25"/>
    <n v="5978.0924999999997"/>
    <n v="1"/>
    <n v="5978.0924999999997"/>
    <n v="1494.52"/>
    <d v="2024-06-21T00:00:00"/>
    <x v="6"/>
    <x v="0"/>
    <d v="2024-06-28T00:00:00"/>
    <n v="7"/>
    <x v="0"/>
  </r>
  <r>
    <x v="919"/>
    <s v="Smartphone"/>
    <x v="2"/>
    <x v="2"/>
    <x v="1"/>
    <x v="3"/>
    <s v="Mumbai"/>
    <n v="19459.650000000001"/>
    <n v="0.3"/>
    <n v="13621.754999999999"/>
    <n v="1"/>
    <n v="13621.754999999999"/>
    <n v="4767.62"/>
    <d v="2025-01-12T00:00:00"/>
    <x v="5"/>
    <x v="1"/>
    <d v="2025-01-14T00:00:00"/>
    <n v="2"/>
    <x v="2"/>
  </r>
  <r>
    <x v="920"/>
    <s v="Headphones"/>
    <x v="2"/>
    <x v="14"/>
    <x v="1"/>
    <x v="2"/>
    <s v="Bhubaneswar"/>
    <n v="2343.69"/>
    <n v="0.3"/>
    <n v="1640.5830000000001"/>
    <n v="5"/>
    <n v="8202.9150000000009"/>
    <n v="2871.02"/>
    <d v="2024-09-17T00:00:00"/>
    <x v="4"/>
    <x v="0"/>
    <d v="2024-09-20T00:00:00"/>
    <n v="3"/>
    <x v="0"/>
  </r>
  <r>
    <x v="921"/>
    <s v="Jacket"/>
    <x v="3"/>
    <x v="9"/>
    <x v="1"/>
    <x v="2"/>
    <s v="Bhubaneswar"/>
    <n v="3330.77"/>
    <n v="0.15"/>
    <n v="2831.1545000000001"/>
    <n v="2"/>
    <n v="5662.3090000000002"/>
    <n v="1981.81"/>
    <d v="2025-06-22T00:00:00"/>
    <x v="6"/>
    <x v="1"/>
    <d v="2025-06-28T00:00:00"/>
    <n v="6"/>
    <x v="0"/>
  </r>
  <r>
    <x v="922"/>
    <s v="Microwave"/>
    <x v="4"/>
    <x v="12"/>
    <x v="0"/>
    <x v="2"/>
    <s v="Patna"/>
    <n v="7509.12"/>
    <n v="0"/>
    <n v="7509.12"/>
    <n v="4"/>
    <n v="30036.48"/>
    <n v="7509.12"/>
    <d v="2024-01-03T00:00:00"/>
    <x v="5"/>
    <x v="0"/>
    <d v="2024-01-11T00:00:00"/>
    <n v="8"/>
    <x v="2"/>
  </r>
  <r>
    <x v="923"/>
    <s v="Washing Machine"/>
    <x v="4"/>
    <x v="10"/>
    <x v="1"/>
    <x v="2"/>
    <s v="Bhubaneswar"/>
    <n v="21330.99"/>
    <n v="0.05"/>
    <n v="20264.440500000001"/>
    <n v="3"/>
    <n v="60793.321500000005"/>
    <n v="21277.66"/>
    <d v="2024-07-27T00:00:00"/>
    <x v="2"/>
    <x v="0"/>
    <d v="2024-08-01T00:00:00"/>
    <n v="5"/>
    <x v="0"/>
  </r>
  <r>
    <x v="924"/>
    <s v="T-Shirt"/>
    <x v="3"/>
    <x v="13"/>
    <x v="1"/>
    <x v="2"/>
    <s v="Bhubaneswar"/>
    <n v="923.53"/>
    <n v="0.3"/>
    <n v="646.47099999999989"/>
    <n v="3"/>
    <n v="1939.4129999999996"/>
    <n v="678.79"/>
    <d v="2024-12-30T00:00:00"/>
    <x v="8"/>
    <x v="0"/>
    <d v="2025-01-07T00:00:00"/>
    <n v="8"/>
    <x v="2"/>
  </r>
  <r>
    <x v="925"/>
    <s v="Sofa Set"/>
    <x v="1"/>
    <x v="4"/>
    <x v="1"/>
    <x v="0"/>
    <s v="Chennai"/>
    <n v="39515.58"/>
    <n v="0"/>
    <n v="39515.58"/>
    <n v="5"/>
    <n v="197577.90000000002"/>
    <n v="69152.259999999995"/>
    <d v="2024-08-14T00:00:00"/>
    <x v="0"/>
    <x v="0"/>
    <d v="2024-08-18T00:00:00"/>
    <n v="4"/>
    <x v="0"/>
  </r>
  <r>
    <x v="926"/>
    <s v="Refrigerator"/>
    <x v="4"/>
    <x v="8"/>
    <x v="2"/>
    <x v="0"/>
    <s v="Chennai"/>
    <n v="19843.96"/>
    <n v="0.25"/>
    <n v="14882.97"/>
    <n v="1"/>
    <n v="14882.97"/>
    <n v="2232.4499999999998"/>
    <d v="2025-05-16T00:00:00"/>
    <x v="3"/>
    <x v="1"/>
    <d v="2025-05-26T00:00:00"/>
    <n v="10"/>
    <x v="1"/>
  </r>
  <r>
    <x v="927"/>
    <s v="Sofa Set"/>
    <x v="1"/>
    <x v="1"/>
    <x v="1"/>
    <x v="3"/>
    <s v="Pune"/>
    <n v="43093.3"/>
    <n v="0"/>
    <n v="43093.3"/>
    <n v="1"/>
    <n v="43093.3"/>
    <n v="15082.66"/>
    <d v="2025-02-24T00:00:00"/>
    <x v="7"/>
    <x v="1"/>
    <d v="2025-02-28T00:00:00"/>
    <n v="4"/>
    <x v="1"/>
  </r>
  <r>
    <x v="928"/>
    <s v="Headphones"/>
    <x v="2"/>
    <x v="17"/>
    <x v="0"/>
    <x v="2"/>
    <s v="Bhubaneswar"/>
    <n v="1924.95"/>
    <n v="0.2"/>
    <n v="1539.96"/>
    <n v="3"/>
    <n v="4619.88"/>
    <n v="1154.97"/>
    <d v="2024-06-30T00:00:00"/>
    <x v="6"/>
    <x v="0"/>
    <d v="2024-07-03T00:00:00"/>
    <n v="3"/>
    <x v="0"/>
  </r>
  <r>
    <x v="929"/>
    <s v="Laptop"/>
    <x v="2"/>
    <x v="21"/>
    <x v="2"/>
    <x v="3"/>
    <s v="Mumbai"/>
    <n v="48175.37"/>
    <n v="0.25"/>
    <n v="36131.527499999997"/>
    <n v="4"/>
    <n v="144526.10999999999"/>
    <n v="21678.92"/>
    <d v="2024-02-27T00:00:00"/>
    <x v="7"/>
    <x v="0"/>
    <d v="2024-03-07T00:00:00"/>
    <n v="9"/>
    <x v="1"/>
  </r>
  <r>
    <x v="930"/>
    <s v="Headphones"/>
    <x v="2"/>
    <x v="21"/>
    <x v="2"/>
    <x v="3"/>
    <s v="Pune"/>
    <n v="1882.33"/>
    <n v="0.2"/>
    <n v="1505.864"/>
    <n v="4"/>
    <n v="6023.4560000000001"/>
    <n v="903.52"/>
    <d v="2024-04-19T00:00:00"/>
    <x v="11"/>
    <x v="0"/>
    <d v="2024-04-29T00:00:00"/>
    <n v="10"/>
    <x v="1"/>
  </r>
  <r>
    <x v="931"/>
    <s v="T-Shirt"/>
    <x v="3"/>
    <x v="9"/>
    <x v="1"/>
    <x v="3"/>
    <s v="Mumbai"/>
    <n v="1068.5"/>
    <n v="0.15"/>
    <n v="908.22500000000002"/>
    <n v="8"/>
    <n v="7265.8"/>
    <n v="1271.51"/>
    <d v="2024-10-15T00:00:00"/>
    <x v="10"/>
    <x v="0"/>
    <d v="2024-10-20T00:00:00"/>
    <n v="5"/>
    <x v="2"/>
  </r>
  <r>
    <x v="932"/>
    <s v="T-Shirt"/>
    <x v="3"/>
    <x v="5"/>
    <x v="2"/>
    <x v="0"/>
    <s v="Bengaluru"/>
    <n v="637.22"/>
    <n v="0.15"/>
    <n v="541.63700000000006"/>
    <n v="9"/>
    <n v="4874.7330000000002"/>
    <n v="243.74"/>
    <d v="2024-01-20T00:00:00"/>
    <x v="5"/>
    <x v="0"/>
    <d v="2024-01-29T00:00:00"/>
    <n v="9"/>
    <x v="2"/>
  </r>
  <r>
    <x v="933"/>
    <s v="Smartphone"/>
    <x v="2"/>
    <x v="3"/>
    <x v="0"/>
    <x v="1"/>
    <s v="Jaipur"/>
    <n v="14965.88"/>
    <n v="0.05"/>
    <n v="14217.585999999999"/>
    <n v="3"/>
    <n v="42652.758000000002"/>
    <n v="10663.19"/>
    <d v="2025-05-05T00:00:00"/>
    <x v="3"/>
    <x v="1"/>
    <d v="2025-05-13T00:00:00"/>
    <n v="8"/>
    <x v="1"/>
  </r>
  <r>
    <x v="934"/>
    <s v="Jeans"/>
    <x v="3"/>
    <x v="13"/>
    <x v="1"/>
    <x v="0"/>
    <s v="Bengaluru"/>
    <n v="1702.83"/>
    <n v="0.3"/>
    <n v="1191.981"/>
    <n v="1"/>
    <n v="1191.981"/>
    <n v="417.19"/>
    <d v="2025-04-02T00:00:00"/>
    <x v="11"/>
    <x v="1"/>
    <d v="2025-04-12T00:00:00"/>
    <n v="10"/>
    <x v="1"/>
  </r>
  <r>
    <x v="935"/>
    <s v="Headphones"/>
    <x v="2"/>
    <x v="14"/>
    <x v="1"/>
    <x v="0"/>
    <s v="Hyderabad"/>
    <n v="2433.98"/>
    <n v="0.25"/>
    <n v="1825.4849999999999"/>
    <n v="5"/>
    <n v="9127.4249999999993"/>
    <n v="3194.6"/>
    <d v="2025-06-30T00:00:00"/>
    <x v="6"/>
    <x v="1"/>
    <d v="2025-07-05T00:00:00"/>
    <n v="5"/>
    <x v="0"/>
  </r>
  <r>
    <x v="936"/>
    <s v="Sofa Set"/>
    <x v="1"/>
    <x v="1"/>
    <x v="1"/>
    <x v="0"/>
    <s v="Bengaluru"/>
    <n v="41316.57"/>
    <n v="0"/>
    <n v="41316.57"/>
    <n v="2"/>
    <n v="82633.14"/>
    <n v="28921.599999999999"/>
    <d v="2024-06-14T00:00:00"/>
    <x v="6"/>
    <x v="0"/>
    <d v="2024-06-22T00:00:00"/>
    <n v="8"/>
    <x v="0"/>
  </r>
  <r>
    <x v="937"/>
    <s v="Coffee Table"/>
    <x v="1"/>
    <x v="18"/>
    <x v="2"/>
    <x v="3"/>
    <s v="Pune"/>
    <n v="7650.26"/>
    <n v="0.05"/>
    <n v="7267.7470000000003"/>
    <n v="1"/>
    <n v="7267.7470000000003"/>
    <n v="1090.1600000000001"/>
    <d v="2025-05-08T00:00:00"/>
    <x v="3"/>
    <x v="1"/>
    <d v="2025-05-15T00:00:00"/>
    <n v="7"/>
    <x v="1"/>
  </r>
  <r>
    <x v="938"/>
    <s v="Smartphone"/>
    <x v="2"/>
    <x v="17"/>
    <x v="0"/>
    <x v="1"/>
    <s v="Delhi"/>
    <n v="15338.12"/>
    <n v="0.15"/>
    <n v="13037.402"/>
    <n v="2"/>
    <n v="26074.804"/>
    <n v="6518.7"/>
    <d v="2025-02-24T00:00:00"/>
    <x v="7"/>
    <x v="1"/>
    <d v="2025-03-05T00:00:00"/>
    <n v="9"/>
    <x v="1"/>
  </r>
  <r>
    <x v="939"/>
    <s v="Washing Machine"/>
    <x v="4"/>
    <x v="2"/>
    <x v="1"/>
    <x v="0"/>
    <s v="Bengaluru"/>
    <n v="20376.330000000002"/>
    <n v="0.3"/>
    <n v="14263.431"/>
    <n v="2"/>
    <n v="28526.862000000001"/>
    <n v="9984.4"/>
    <d v="2025-04-27T00:00:00"/>
    <x v="11"/>
    <x v="1"/>
    <d v="2025-04-29T00:00:00"/>
    <n v="2"/>
    <x v="1"/>
  </r>
  <r>
    <x v="940"/>
    <s v="Formal Shoes"/>
    <x v="0"/>
    <x v="11"/>
    <x v="1"/>
    <x v="0"/>
    <s v="Hyderabad"/>
    <n v="4243.3999999999996"/>
    <n v="0.15"/>
    <n v="3606.889999999999"/>
    <n v="2"/>
    <n v="7213.7799999999979"/>
    <n v="2524.8200000000002"/>
    <d v="2024-08-09T00:00:00"/>
    <x v="0"/>
    <x v="0"/>
    <d v="2024-08-18T00:00:00"/>
    <n v="9"/>
    <x v="0"/>
  </r>
  <r>
    <x v="941"/>
    <s v="T-Shirt"/>
    <x v="3"/>
    <x v="13"/>
    <x v="1"/>
    <x v="3"/>
    <s v="Mumbai"/>
    <n v="1069.27"/>
    <n v="0.25"/>
    <n v="801.95249999999999"/>
    <n v="3"/>
    <n v="2405.8575000000001"/>
    <n v="842.05"/>
    <d v="2024-04-26T00:00:00"/>
    <x v="11"/>
    <x v="0"/>
    <d v="2024-05-04T00:00:00"/>
    <n v="8"/>
    <x v="1"/>
  </r>
  <r>
    <x v="942"/>
    <s v="Refrigerator"/>
    <x v="4"/>
    <x v="8"/>
    <x v="2"/>
    <x v="2"/>
    <s v="Kolkata"/>
    <n v="20779.919999999998"/>
    <n v="0"/>
    <n v="20779.919999999998"/>
    <n v="1"/>
    <n v="20779.919999999998"/>
    <n v="3116.99"/>
    <d v="2024-03-07T00:00:00"/>
    <x v="1"/>
    <x v="0"/>
    <d v="2024-03-14T00:00:00"/>
    <n v="7"/>
    <x v="1"/>
  </r>
  <r>
    <x v="943"/>
    <s v="Jacket"/>
    <x v="3"/>
    <x v="5"/>
    <x v="2"/>
    <x v="1"/>
    <s v="Delhi"/>
    <n v="2673.98"/>
    <n v="0.15"/>
    <n v="2272.8829999999998"/>
    <n v="4"/>
    <n v="9091.5319999999992"/>
    <n v="1363.73"/>
    <d v="2025-02-27T00:00:00"/>
    <x v="7"/>
    <x v="1"/>
    <d v="2025-03-03T00:00:00"/>
    <n v="4"/>
    <x v="1"/>
  </r>
  <r>
    <x v="944"/>
    <s v="Smartphone"/>
    <x v="2"/>
    <x v="2"/>
    <x v="1"/>
    <x v="1"/>
    <s v="Lucknow"/>
    <n v="19513.79"/>
    <n v="0.3"/>
    <n v="13659.653"/>
    <n v="4"/>
    <n v="54638.612000000001"/>
    <n v="19123.509999999998"/>
    <d v="2024-01-01T00:00:00"/>
    <x v="5"/>
    <x v="0"/>
    <d v="2024-01-10T00:00:00"/>
    <n v="9"/>
    <x v="2"/>
  </r>
  <r>
    <x v="945"/>
    <s v="Jacket"/>
    <x v="3"/>
    <x v="5"/>
    <x v="2"/>
    <x v="0"/>
    <s v="Chennai"/>
    <n v="2452.31"/>
    <n v="0.2"/>
    <n v="1961.848"/>
    <n v="4"/>
    <n v="7847.3919999999998"/>
    <n v="1177.1099999999999"/>
    <d v="2024-09-11T00:00:00"/>
    <x v="4"/>
    <x v="0"/>
    <d v="2024-09-20T00:00:00"/>
    <n v="9"/>
    <x v="0"/>
  </r>
  <r>
    <x v="946"/>
    <s v="Headphones"/>
    <x v="2"/>
    <x v="21"/>
    <x v="2"/>
    <x v="0"/>
    <s v="Bengaluru"/>
    <n v="1624.11"/>
    <n v="0.2"/>
    <n v="1299.288"/>
    <n v="1"/>
    <n v="1299.288"/>
    <n v="194.89"/>
    <d v="2025-02-21T00:00:00"/>
    <x v="7"/>
    <x v="1"/>
    <d v="2025-02-24T00:00:00"/>
    <n v="3"/>
    <x v="1"/>
  </r>
  <r>
    <x v="947"/>
    <s v="Bed"/>
    <x v="1"/>
    <x v="7"/>
    <x v="0"/>
    <x v="1"/>
    <s v="Delhi"/>
    <n v="30347.27"/>
    <n v="0.3"/>
    <n v="21243.089"/>
    <n v="5"/>
    <n v="106215.44500000001"/>
    <n v="26553.86"/>
    <d v="2024-04-19T00:00:00"/>
    <x v="11"/>
    <x v="0"/>
    <d v="2024-04-26T00:00:00"/>
    <n v="7"/>
    <x v="1"/>
  </r>
  <r>
    <x v="948"/>
    <s v="Sneakers"/>
    <x v="0"/>
    <x v="6"/>
    <x v="2"/>
    <x v="0"/>
    <s v="Chennai"/>
    <n v="2079.56"/>
    <n v="0.2"/>
    <n v="1663.6479999999999"/>
    <n v="1"/>
    <n v="1663.6479999999999"/>
    <n v="249.55"/>
    <d v="2025-02-03T00:00:00"/>
    <x v="7"/>
    <x v="1"/>
    <d v="2025-02-06T00:00:00"/>
    <n v="3"/>
    <x v="1"/>
  </r>
  <r>
    <x v="949"/>
    <s v="Refrigerator"/>
    <x v="4"/>
    <x v="8"/>
    <x v="2"/>
    <x v="3"/>
    <s v="Ahmedabad"/>
    <n v="22816.13"/>
    <n v="0.2"/>
    <n v="18252.903999999999"/>
    <n v="2"/>
    <n v="36505.807999999997"/>
    <n v="5475.87"/>
    <d v="2024-06-14T00:00:00"/>
    <x v="6"/>
    <x v="0"/>
    <d v="2024-06-20T00:00:00"/>
    <n v="6"/>
    <x v="0"/>
  </r>
  <r>
    <x v="950"/>
    <s v="Bed"/>
    <x v="1"/>
    <x v="7"/>
    <x v="0"/>
    <x v="3"/>
    <s v="Ahmedabad"/>
    <n v="32151.87"/>
    <n v="0.15"/>
    <n v="27329.089499999998"/>
    <n v="4"/>
    <n v="109316.35799999999"/>
    <n v="27329.09"/>
    <d v="2024-06-26T00:00:00"/>
    <x v="6"/>
    <x v="0"/>
    <d v="2024-07-03T00:00:00"/>
    <n v="7"/>
    <x v="0"/>
  </r>
  <r>
    <x v="951"/>
    <s v="Formal Shoes"/>
    <x v="0"/>
    <x v="11"/>
    <x v="1"/>
    <x v="2"/>
    <s v="Bhubaneswar"/>
    <n v="3825.9"/>
    <n v="0.25"/>
    <n v="2869.4250000000002"/>
    <n v="5"/>
    <n v="14347.125"/>
    <n v="5021.49"/>
    <d v="2024-08-24T00:00:00"/>
    <x v="0"/>
    <x v="0"/>
    <d v="2024-09-02T00:00:00"/>
    <n v="9"/>
    <x v="0"/>
  </r>
  <r>
    <x v="952"/>
    <s v="Formal Shoes"/>
    <x v="0"/>
    <x v="0"/>
    <x v="0"/>
    <x v="3"/>
    <s v="Pune"/>
    <n v="3879.13"/>
    <n v="0.2"/>
    <n v="3103.3040000000001"/>
    <n v="3"/>
    <n v="9309.9120000000003"/>
    <n v="2327.48"/>
    <d v="2024-01-30T00:00:00"/>
    <x v="5"/>
    <x v="0"/>
    <d v="2024-02-06T00:00:00"/>
    <n v="7"/>
    <x v="2"/>
  </r>
  <r>
    <x v="953"/>
    <s v="Formal Shoes"/>
    <x v="0"/>
    <x v="11"/>
    <x v="1"/>
    <x v="1"/>
    <s v="Delhi"/>
    <n v="4575.7700000000004"/>
    <n v="0.15"/>
    <n v="3889.4045000000001"/>
    <n v="3"/>
    <n v="11668.2135"/>
    <n v="4083.87"/>
    <d v="2025-06-07T00:00:00"/>
    <x v="6"/>
    <x v="1"/>
    <d v="2025-06-10T00:00:00"/>
    <n v="3"/>
    <x v="0"/>
  </r>
  <r>
    <x v="954"/>
    <s v="Jacket"/>
    <x v="3"/>
    <x v="19"/>
    <x v="0"/>
    <x v="1"/>
    <s v="Delhi"/>
    <n v="3145.62"/>
    <n v="0"/>
    <n v="3145.62"/>
    <n v="4"/>
    <n v="12582.48"/>
    <n v="3145.62"/>
    <d v="2024-02-15T00:00:00"/>
    <x v="7"/>
    <x v="0"/>
    <d v="2024-02-21T00:00:00"/>
    <n v="6"/>
    <x v="1"/>
  </r>
  <r>
    <x v="955"/>
    <s v="Sneakers"/>
    <x v="0"/>
    <x v="11"/>
    <x v="1"/>
    <x v="0"/>
    <s v="Hyderabad"/>
    <n v="3002.41"/>
    <n v="0.3"/>
    <n v="2101.6869999999999"/>
    <n v="4"/>
    <n v="8406.7479999999996"/>
    <n v="2942.36"/>
    <d v="2025-03-04T00:00:00"/>
    <x v="1"/>
    <x v="1"/>
    <d v="2025-03-06T00:00:00"/>
    <n v="2"/>
    <x v="1"/>
  </r>
  <r>
    <x v="956"/>
    <s v="Jeans"/>
    <x v="3"/>
    <x v="15"/>
    <x v="1"/>
    <x v="2"/>
    <s v="Patna"/>
    <n v="1775.91"/>
    <n v="0.25"/>
    <n v="1331.9324999999999"/>
    <n v="5"/>
    <n v="6659.6624999999995"/>
    <n v="2330.88"/>
    <d v="2025-05-26T00:00:00"/>
    <x v="3"/>
    <x v="1"/>
    <d v="2025-06-05T00:00:00"/>
    <n v="10"/>
    <x v="1"/>
  </r>
  <r>
    <x v="957"/>
    <s v="Sneakers"/>
    <x v="0"/>
    <x v="6"/>
    <x v="2"/>
    <x v="3"/>
    <s v="Mumbai"/>
    <n v="2236.91"/>
    <n v="0"/>
    <n v="2236.91"/>
    <n v="5"/>
    <n v="11184.55"/>
    <n v="1677.68"/>
    <d v="2024-11-13T00:00:00"/>
    <x v="9"/>
    <x v="0"/>
    <d v="2024-11-22T00:00:00"/>
    <n v="9"/>
    <x v="2"/>
  </r>
  <r>
    <x v="958"/>
    <s v="Jacket"/>
    <x v="3"/>
    <x v="19"/>
    <x v="0"/>
    <x v="1"/>
    <s v="Lucknow"/>
    <n v="3216.54"/>
    <n v="0.3"/>
    <n v="2251.578"/>
    <n v="8"/>
    <n v="18012.624"/>
    <n v="1125.79"/>
    <d v="2024-11-19T00:00:00"/>
    <x v="9"/>
    <x v="0"/>
    <d v="2024-11-23T00:00:00"/>
    <n v="4"/>
    <x v="2"/>
  </r>
  <r>
    <x v="959"/>
    <s v="Sofa Set"/>
    <x v="1"/>
    <x v="1"/>
    <x v="1"/>
    <x v="2"/>
    <s v="Bhubaneswar"/>
    <n v="39255.57"/>
    <n v="0"/>
    <n v="39255.57"/>
    <n v="5"/>
    <n v="196277.85"/>
    <n v="68697.25"/>
    <d v="2025-07-16T00:00:00"/>
    <x v="2"/>
    <x v="1"/>
    <d v="2025-07-22T00:00:00"/>
    <n v="6"/>
    <x v="0"/>
  </r>
  <r>
    <x v="960"/>
    <s v="Jacket"/>
    <x v="3"/>
    <x v="5"/>
    <x v="2"/>
    <x v="3"/>
    <s v="Pune"/>
    <n v="2786.48"/>
    <n v="0.3"/>
    <n v="1950.5360000000001"/>
    <n v="4"/>
    <n v="7802.1440000000002"/>
    <n v="1170.32"/>
    <d v="2024-02-01T00:00:00"/>
    <x v="7"/>
    <x v="0"/>
    <d v="2024-02-09T00:00:00"/>
    <n v="8"/>
    <x v="1"/>
  </r>
  <r>
    <x v="961"/>
    <s v="Smartphone"/>
    <x v="2"/>
    <x v="21"/>
    <x v="2"/>
    <x v="0"/>
    <s v="Chennai"/>
    <n v="12476.61"/>
    <n v="0"/>
    <n v="12476.61"/>
    <n v="4"/>
    <n v="49906.44"/>
    <n v="7485.97"/>
    <d v="2025-04-07T00:00:00"/>
    <x v="11"/>
    <x v="1"/>
    <d v="2025-04-16T00:00:00"/>
    <n v="9"/>
    <x v="1"/>
  </r>
  <r>
    <x v="962"/>
    <s v="Coffee Table"/>
    <x v="1"/>
    <x v="18"/>
    <x v="2"/>
    <x v="3"/>
    <s v="Ahmedabad"/>
    <n v="7006.5"/>
    <n v="0.2"/>
    <n v="5605.2000000000007"/>
    <n v="5"/>
    <n v="28026.000000000004"/>
    <n v="4203.8999999999996"/>
    <d v="2024-12-23T00:00:00"/>
    <x v="8"/>
    <x v="0"/>
    <d v="2024-12-29T00:00:00"/>
    <n v="6"/>
    <x v="2"/>
  </r>
  <r>
    <x v="963"/>
    <s v="Microwave"/>
    <x v="4"/>
    <x v="10"/>
    <x v="1"/>
    <x v="1"/>
    <s v="Jaipur"/>
    <n v="9544.39"/>
    <n v="0.15"/>
    <n v="8112.731499999999"/>
    <n v="2"/>
    <n v="16225.462999999998"/>
    <n v="5678.91"/>
    <d v="2024-03-13T00:00:00"/>
    <x v="1"/>
    <x v="0"/>
    <d v="2024-03-15T00:00:00"/>
    <n v="2"/>
    <x v="1"/>
  </r>
  <r>
    <x v="964"/>
    <s v="Jeans"/>
    <x v="3"/>
    <x v="13"/>
    <x v="1"/>
    <x v="2"/>
    <s v="Patna"/>
    <n v="1734.94"/>
    <n v="0"/>
    <n v="1734.94"/>
    <n v="9"/>
    <n v="15614.460000000001"/>
    <n v="3036.14"/>
    <d v="2024-11-12T00:00:00"/>
    <x v="9"/>
    <x v="0"/>
    <d v="2024-11-17T00:00:00"/>
    <n v="5"/>
    <x v="2"/>
  </r>
  <r>
    <x v="965"/>
    <s v="Coffee Table"/>
    <x v="1"/>
    <x v="1"/>
    <x v="1"/>
    <x v="2"/>
    <s v="Patna"/>
    <n v="9483.48"/>
    <n v="0.1"/>
    <n v="8535.1319999999996"/>
    <n v="4"/>
    <n v="34140.527999999998"/>
    <n v="11949.19"/>
    <d v="2024-03-18T00:00:00"/>
    <x v="1"/>
    <x v="0"/>
    <d v="2024-03-20T00:00:00"/>
    <n v="2"/>
    <x v="1"/>
  </r>
  <r>
    <x v="966"/>
    <s v="Coffee Table"/>
    <x v="1"/>
    <x v="4"/>
    <x v="1"/>
    <x v="1"/>
    <s v="Jaipur"/>
    <n v="9591.3799999999992"/>
    <n v="0.05"/>
    <n v="9111.8109999999997"/>
    <n v="3"/>
    <n v="27335.432999999997"/>
    <n v="9567.4"/>
    <d v="2025-03-27T00:00:00"/>
    <x v="1"/>
    <x v="1"/>
    <d v="2025-04-06T00:00:00"/>
    <n v="10"/>
    <x v="1"/>
  </r>
  <r>
    <x v="967"/>
    <s v="Jeans"/>
    <x v="3"/>
    <x v="15"/>
    <x v="1"/>
    <x v="1"/>
    <s v="Lucknow"/>
    <n v="1890.93"/>
    <n v="0.2"/>
    <n v="1512.7439999999999"/>
    <n v="8"/>
    <n v="12101.951999999999"/>
    <n v="2117.84"/>
    <d v="2024-11-15T00:00:00"/>
    <x v="9"/>
    <x v="0"/>
    <d v="2024-11-19T00:00:00"/>
    <n v="4"/>
    <x v="2"/>
  </r>
  <r>
    <x v="968"/>
    <s v="Coffee Table"/>
    <x v="1"/>
    <x v="7"/>
    <x v="0"/>
    <x v="1"/>
    <s v="Delhi"/>
    <n v="8465.9"/>
    <n v="0"/>
    <n v="8465.9"/>
    <n v="4"/>
    <n v="33863.599999999999"/>
    <n v="8465.9"/>
    <d v="2025-05-03T00:00:00"/>
    <x v="3"/>
    <x v="1"/>
    <d v="2025-05-05T00:00:00"/>
    <n v="2"/>
    <x v="1"/>
  </r>
  <r>
    <x v="969"/>
    <s v="Microwave"/>
    <x v="4"/>
    <x v="12"/>
    <x v="0"/>
    <x v="1"/>
    <s v="Lucknow"/>
    <n v="8474.89"/>
    <n v="0.3"/>
    <n v="5932.4229999999989"/>
    <n v="4"/>
    <n v="23729.691999999995"/>
    <n v="5932.42"/>
    <d v="2025-03-14T00:00:00"/>
    <x v="1"/>
    <x v="1"/>
    <d v="2025-03-16T00:00:00"/>
    <n v="2"/>
    <x v="1"/>
  </r>
  <r>
    <x v="970"/>
    <s v="Headphones"/>
    <x v="2"/>
    <x v="14"/>
    <x v="1"/>
    <x v="0"/>
    <s v="Chennai"/>
    <n v="2448.94"/>
    <n v="0.1"/>
    <n v="2204.0459999999998"/>
    <n v="4"/>
    <n v="8816.1839999999993"/>
    <n v="3085.66"/>
    <d v="2024-02-24T00:00:00"/>
    <x v="7"/>
    <x v="0"/>
    <d v="2024-03-04T00:00:00"/>
    <n v="9"/>
    <x v="1"/>
  </r>
  <r>
    <x v="971"/>
    <s v="Smartphone"/>
    <x v="2"/>
    <x v="20"/>
    <x v="2"/>
    <x v="0"/>
    <s v="Chennai"/>
    <n v="11935.44"/>
    <n v="0.15"/>
    <n v="10145.124"/>
    <n v="5"/>
    <n v="50725.619999999995"/>
    <n v="7608.84"/>
    <d v="2024-12-21T00:00:00"/>
    <x v="8"/>
    <x v="0"/>
    <d v="2024-12-28T00:00:00"/>
    <n v="7"/>
    <x v="2"/>
  </r>
  <r>
    <x v="972"/>
    <s v="Headphones"/>
    <x v="2"/>
    <x v="2"/>
    <x v="1"/>
    <x v="1"/>
    <s v="Jaipur"/>
    <n v="2414.9699999999998"/>
    <n v="0.3"/>
    <n v="1690.479"/>
    <n v="1"/>
    <n v="1690.479"/>
    <n v="591.66999999999996"/>
    <d v="2024-03-13T00:00:00"/>
    <x v="1"/>
    <x v="0"/>
    <d v="2024-03-21T00:00:00"/>
    <n v="8"/>
    <x v="1"/>
  </r>
  <r>
    <x v="973"/>
    <s v="Headphones"/>
    <x v="2"/>
    <x v="14"/>
    <x v="1"/>
    <x v="1"/>
    <s v="Delhi"/>
    <n v="2608.39"/>
    <n v="0.05"/>
    <n v="2477.9704999999999"/>
    <n v="4"/>
    <n v="9911.8819999999996"/>
    <n v="3469.16"/>
    <d v="2025-06-15T00:00:00"/>
    <x v="6"/>
    <x v="1"/>
    <d v="2025-06-21T00:00:00"/>
    <n v="6"/>
    <x v="0"/>
  </r>
  <r>
    <x v="974"/>
    <s v="Smartphone"/>
    <x v="2"/>
    <x v="14"/>
    <x v="1"/>
    <x v="1"/>
    <s v="Jaipur"/>
    <n v="18953.080000000002"/>
    <n v="0.15"/>
    <n v="16110.118"/>
    <n v="4"/>
    <n v="64440.472000000002"/>
    <n v="22554.16"/>
    <d v="2024-08-02T00:00:00"/>
    <x v="0"/>
    <x v="0"/>
    <d v="2024-08-08T00:00:00"/>
    <n v="6"/>
    <x v="0"/>
  </r>
  <r>
    <x v="975"/>
    <s v="Smartphone"/>
    <x v="2"/>
    <x v="2"/>
    <x v="1"/>
    <x v="1"/>
    <s v="Jaipur"/>
    <n v="19294.27"/>
    <n v="0.1"/>
    <n v="17364.843000000001"/>
    <n v="1"/>
    <n v="17364.843000000001"/>
    <n v="6077.69"/>
    <d v="2024-05-11T00:00:00"/>
    <x v="3"/>
    <x v="0"/>
    <d v="2024-05-15T00:00:00"/>
    <n v="4"/>
    <x v="1"/>
  </r>
  <r>
    <x v="976"/>
    <s v="Smartphone"/>
    <x v="2"/>
    <x v="20"/>
    <x v="2"/>
    <x v="2"/>
    <s v="Patna"/>
    <n v="12691.8"/>
    <n v="0"/>
    <n v="12691.8"/>
    <n v="2"/>
    <n v="25383.599999999999"/>
    <n v="3807.54"/>
    <d v="2024-10-04T00:00:00"/>
    <x v="10"/>
    <x v="0"/>
    <d v="2024-10-08T00:00:00"/>
    <n v="4"/>
    <x v="2"/>
  </r>
  <r>
    <x v="977"/>
    <s v="Headphones"/>
    <x v="2"/>
    <x v="21"/>
    <x v="2"/>
    <x v="1"/>
    <s v="Lucknow"/>
    <n v="1783.55"/>
    <n v="0.1"/>
    <n v="1605.1949999999999"/>
    <n v="1"/>
    <n v="1605.1949999999999"/>
    <n v="240.78"/>
    <d v="2024-08-03T00:00:00"/>
    <x v="0"/>
    <x v="0"/>
    <d v="2024-08-11T00:00:00"/>
    <n v="8"/>
    <x v="0"/>
  </r>
  <r>
    <x v="978"/>
    <s v="Bed"/>
    <x v="1"/>
    <x v="1"/>
    <x v="1"/>
    <x v="3"/>
    <s v="Ahmedabad"/>
    <n v="39851.47"/>
    <n v="0.25"/>
    <n v="29888.602500000001"/>
    <n v="5"/>
    <n v="149443.01250000001"/>
    <n v="52305.05"/>
    <d v="2024-09-30T00:00:00"/>
    <x v="4"/>
    <x v="0"/>
    <d v="2024-10-10T00:00:00"/>
    <n v="10"/>
    <x v="0"/>
  </r>
  <r>
    <x v="979"/>
    <s v="Refrigerator"/>
    <x v="4"/>
    <x v="10"/>
    <x v="1"/>
    <x v="1"/>
    <s v="Delhi"/>
    <n v="30259.22"/>
    <n v="0.2"/>
    <n v="24207.376"/>
    <n v="5"/>
    <n v="121036.88"/>
    <n v="42362.91"/>
    <d v="2024-05-19T00:00:00"/>
    <x v="3"/>
    <x v="0"/>
    <d v="2024-05-22T00:00:00"/>
    <n v="3"/>
    <x v="1"/>
  </r>
  <r>
    <x v="980"/>
    <s v="Jacket"/>
    <x v="3"/>
    <x v="13"/>
    <x v="1"/>
    <x v="0"/>
    <s v="Chennai"/>
    <n v="3410.61"/>
    <n v="0.05"/>
    <n v="3240.0794999999998"/>
    <n v="1"/>
    <n v="3240.0794999999998"/>
    <n v="1134.03"/>
    <d v="2024-07-01T00:00:00"/>
    <x v="2"/>
    <x v="0"/>
    <d v="2024-07-05T00:00:00"/>
    <n v="4"/>
    <x v="0"/>
  </r>
  <r>
    <x v="981"/>
    <s v="Sofa Set"/>
    <x v="1"/>
    <x v="4"/>
    <x v="1"/>
    <x v="1"/>
    <s v="Delhi"/>
    <n v="41822.32"/>
    <n v="0"/>
    <n v="41822.32"/>
    <n v="4"/>
    <n v="167289.28"/>
    <n v="58551.25"/>
    <d v="2024-09-06T00:00:00"/>
    <x v="4"/>
    <x v="0"/>
    <d v="2024-09-11T00:00:00"/>
    <n v="5"/>
    <x v="0"/>
  </r>
  <r>
    <x v="982"/>
    <s v="Jacket"/>
    <x v="3"/>
    <x v="19"/>
    <x v="0"/>
    <x v="0"/>
    <s v="Hyderabad"/>
    <n v="2920.01"/>
    <n v="0.1"/>
    <n v="2628.009"/>
    <n v="4"/>
    <n v="10512.036"/>
    <n v="2628.01"/>
    <d v="2025-02-20T00:00:00"/>
    <x v="7"/>
    <x v="1"/>
    <d v="2025-02-27T00:00:00"/>
    <n v="7"/>
    <x v="1"/>
  </r>
  <r>
    <x v="983"/>
    <s v="Coffee Table"/>
    <x v="1"/>
    <x v="18"/>
    <x v="2"/>
    <x v="3"/>
    <s v="Ahmedabad"/>
    <n v="7536.1"/>
    <n v="0.05"/>
    <n v="7159.2950000000001"/>
    <n v="2"/>
    <n v="14318.59"/>
    <n v="2147.79"/>
    <d v="2025-02-23T00:00:00"/>
    <x v="7"/>
    <x v="1"/>
    <d v="2025-03-02T00:00:00"/>
    <n v="7"/>
    <x v="1"/>
  </r>
  <r>
    <x v="984"/>
    <s v="Microwave"/>
    <x v="4"/>
    <x v="8"/>
    <x v="2"/>
    <x v="2"/>
    <s v="Bhubaneswar"/>
    <n v="6374.54"/>
    <n v="0.05"/>
    <n v="6055.8130000000001"/>
    <n v="1"/>
    <n v="6055.8130000000001"/>
    <n v="908.37"/>
    <d v="2025-02-08T00:00:00"/>
    <x v="7"/>
    <x v="1"/>
    <d v="2025-02-14T00:00:00"/>
    <n v="6"/>
    <x v="1"/>
  </r>
  <r>
    <x v="985"/>
    <s v="Jacket"/>
    <x v="3"/>
    <x v="15"/>
    <x v="1"/>
    <x v="2"/>
    <s v="Kolkata"/>
    <n v="3349.35"/>
    <n v="0"/>
    <n v="3349.35"/>
    <n v="4"/>
    <n v="13397.4"/>
    <n v="4689.09"/>
    <d v="2025-04-21T00:00:00"/>
    <x v="11"/>
    <x v="1"/>
    <d v="2025-04-24T00:00:00"/>
    <n v="3"/>
    <x v="1"/>
  </r>
  <r>
    <x v="986"/>
    <s v="Formal Shoes"/>
    <x v="0"/>
    <x v="0"/>
    <x v="0"/>
    <x v="0"/>
    <s v="Hyderabad"/>
    <n v="3557.57"/>
    <n v="0.3"/>
    <n v="2490.299"/>
    <n v="2"/>
    <n v="4980.598"/>
    <n v="1245.1500000000001"/>
    <d v="2024-02-12T00:00:00"/>
    <x v="7"/>
    <x v="0"/>
    <d v="2024-02-14T00:00:00"/>
    <n v="2"/>
    <x v="1"/>
  </r>
  <r>
    <x v="987"/>
    <s v="Coffee Table"/>
    <x v="1"/>
    <x v="7"/>
    <x v="0"/>
    <x v="3"/>
    <s v="Ahmedabad"/>
    <n v="8770.8700000000008"/>
    <n v="0.05"/>
    <n v="8332.326500000001"/>
    <n v="2"/>
    <n v="16664.653000000002"/>
    <n v="4166.16"/>
    <d v="2024-03-22T00:00:00"/>
    <x v="1"/>
    <x v="0"/>
    <d v="2024-03-31T00:00:00"/>
    <n v="9"/>
    <x v="1"/>
  </r>
  <r>
    <x v="988"/>
    <s v="Sneakers"/>
    <x v="0"/>
    <x v="6"/>
    <x v="2"/>
    <x v="2"/>
    <s v="Patna"/>
    <n v="2015.46"/>
    <n v="0"/>
    <n v="2015.46"/>
    <n v="9"/>
    <n v="18139.14"/>
    <n v="906.96"/>
    <d v="2024-07-18T00:00:00"/>
    <x v="2"/>
    <x v="0"/>
    <d v="2024-07-20T00:00:00"/>
    <n v="2"/>
    <x v="0"/>
  </r>
  <r>
    <x v="989"/>
    <s v="Sofa Set"/>
    <x v="1"/>
    <x v="18"/>
    <x v="2"/>
    <x v="1"/>
    <s v="Lucknow"/>
    <n v="30351.08"/>
    <n v="0.2"/>
    <n v="24280.864000000001"/>
    <n v="4"/>
    <n v="97123.456000000006"/>
    <n v="14568.52"/>
    <d v="2024-05-31T00:00:00"/>
    <x v="3"/>
    <x v="0"/>
    <d v="2024-06-09T00:00:00"/>
    <n v="9"/>
    <x v="1"/>
  </r>
  <r>
    <x v="990"/>
    <s v="Dining Table"/>
    <x v="1"/>
    <x v="18"/>
    <x v="2"/>
    <x v="1"/>
    <s v="Jaipur"/>
    <n v="21100.94"/>
    <n v="0"/>
    <n v="21100.94"/>
    <n v="3"/>
    <n v="63302.819999999992"/>
    <n v="9495.42"/>
    <d v="2025-03-21T00:00:00"/>
    <x v="1"/>
    <x v="1"/>
    <d v="2025-03-27T00:00:00"/>
    <n v="6"/>
    <x v="1"/>
  </r>
  <r>
    <x v="991"/>
    <s v="T-Shirt"/>
    <x v="3"/>
    <x v="5"/>
    <x v="2"/>
    <x v="3"/>
    <s v="Pune"/>
    <n v="736.59"/>
    <n v="0.15"/>
    <n v="626.10149999999999"/>
    <n v="7"/>
    <n v="4382.7105000000001"/>
    <n v="93.92"/>
    <d v="2025-01-22T00:00:00"/>
    <x v="5"/>
    <x v="1"/>
    <d v="2025-01-25T00:00:00"/>
    <n v="3"/>
    <x v="2"/>
  </r>
  <r>
    <x v="992"/>
    <s v="Jeans"/>
    <x v="3"/>
    <x v="19"/>
    <x v="0"/>
    <x v="1"/>
    <s v="Jaipur"/>
    <n v="1594.65"/>
    <n v="0"/>
    <n v="1594.65"/>
    <n v="4"/>
    <n v="6378.6"/>
    <n v="1594.65"/>
    <d v="2025-06-04T00:00:00"/>
    <x v="6"/>
    <x v="1"/>
    <d v="2025-06-14T00:00:00"/>
    <n v="10"/>
    <x v="0"/>
  </r>
  <r>
    <x v="993"/>
    <s v="Refrigerator"/>
    <x v="4"/>
    <x v="10"/>
    <x v="1"/>
    <x v="2"/>
    <s v="Patna"/>
    <n v="27894.82"/>
    <n v="0.2"/>
    <n v="22315.856"/>
    <n v="4"/>
    <n v="89263.423999999999"/>
    <n v="31242.2"/>
    <d v="2025-05-19T00:00:00"/>
    <x v="3"/>
    <x v="1"/>
    <d v="2025-05-28T00:00:00"/>
    <n v="9"/>
    <x v="1"/>
  </r>
  <r>
    <x v="994"/>
    <s v="Dining Table"/>
    <x v="1"/>
    <x v="7"/>
    <x v="0"/>
    <x v="1"/>
    <s v="Delhi"/>
    <n v="25393.79"/>
    <n v="0.3"/>
    <n v="17775.652999999998"/>
    <n v="4"/>
    <n v="71102.611999999994"/>
    <n v="17775.650000000001"/>
    <d v="2025-04-23T00:00:00"/>
    <x v="11"/>
    <x v="1"/>
    <d v="2025-05-03T00:00:00"/>
    <n v="10"/>
    <x v="1"/>
  </r>
  <r>
    <x v="995"/>
    <s v="Coffee Table"/>
    <x v="1"/>
    <x v="1"/>
    <x v="1"/>
    <x v="2"/>
    <s v="Kolkata"/>
    <n v="9232.02"/>
    <n v="0.25"/>
    <n v="6924.0150000000003"/>
    <n v="2"/>
    <n v="13848.03"/>
    <n v="4846.8100000000004"/>
    <d v="2024-05-05T00:00:00"/>
    <x v="3"/>
    <x v="0"/>
    <d v="2024-05-08T00:00:00"/>
    <n v="3"/>
    <x v="1"/>
  </r>
  <r>
    <x v="996"/>
    <s v="Jacket"/>
    <x v="3"/>
    <x v="5"/>
    <x v="2"/>
    <x v="3"/>
    <s v="Mumbai"/>
    <n v="2720.36"/>
    <n v="0.15"/>
    <n v="2312.306"/>
    <n v="4"/>
    <n v="9249.2240000000002"/>
    <n v="1387.38"/>
    <d v="2024-08-31T00:00:00"/>
    <x v="0"/>
    <x v="0"/>
    <d v="2024-09-10T00:00:00"/>
    <n v="10"/>
    <x v="0"/>
  </r>
  <r>
    <x v="997"/>
    <s v="Bed"/>
    <x v="1"/>
    <x v="1"/>
    <x v="1"/>
    <x v="0"/>
    <s v="Bengaluru"/>
    <n v="33749.379999999997"/>
    <n v="0.3"/>
    <n v="23624.565999999999"/>
    <n v="5"/>
    <n v="118122.82999999999"/>
    <n v="41342.99"/>
    <d v="2024-02-09T00:00:00"/>
    <x v="7"/>
    <x v="0"/>
    <d v="2024-02-14T00:00:00"/>
    <n v="5"/>
    <x v="1"/>
  </r>
  <r>
    <x v="998"/>
    <s v="Laptop"/>
    <x v="2"/>
    <x v="20"/>
    <x v="2"/>
    <x v="0"/>
    <s v="Bengaluru"/>
    <n v="41525.949999999997"/>
    <n v="0.3"/>
    <n v="29068.165000000001"/>
    <n v="5"/>
    <n v="145340.82500000001"/>
    <n v="21801.119999999999"/>
    <d v="2025-01-11T00:00:00"/>
    <x v="5"/>
    <x v="1"/>
    <d v="2025-01-20T00:00:00"/>
    <n v="9"/>
    <x v="2"/>
  </r>
  <r>
    <x v="999"/>
    <s v="Bed"/>
    <x v="1"/>
    <x v="1"/>
    <x v="1"/>
    <x v="0"/>
    <s v="Bengaluru"/>
    <n v="34643.99"/>
    <n v="0.1"/>
    <n v="31179.591"/>
    <n v="2"/>
    <n v="62359.182000000001"/>
    <n v="21825.71"/>
    <d v="2024-01-16T00:00:00"/>
    <x v="5"/>
    <x v="0"/>
    <d v="2024-01-24T00:00:00"/>
    <n v="8"/>
    <x v="2"/>
  </r>
  <r>
    <x v="1000"/>
    <s v="Dining Table"/>
    <x v="1"/>
    <x v="7"/>
    <x v="0"/>
    <x v="0"/>
    <s v="Bengaluru"/>
    <n v="24443.85"/>
    <n v="0.2"/>
    <n v="19555.080000000002"/>
    <n v="5"/>
    <n v="97775.400000000009"/>
    <n v="24443.85"/>
    <d v="2024-07-10T00:00:00"/>
    <x v="2"/>
    <x v="0"/>
    <d v="2024-07-16T00:00:00"/>
    <n v="6"/>
    <x v="0"/>
  </r>
  <r>
    <x v="1001"/>
    <s v="Microwave"/>
    <x v="4"/>
    <x v="12"/>
    <x v="0"/>
    <x v="0"/>
    <s v="Bengaluru"/>
    <n v="8044.59"/>
    <n v="0.2"/>
    <n v="6435.6719999999996"/>
    <n v="2"/>
    <n v="12871.343999999999"/>
    <n v="3217.84"/>
    <d v="2025-01-24T00:00:00"/>
    <x v="5"/>
    <x v="1"/>
    <d v="2025-01-31T00:00:00"/>
    <n v="7"/>
    <x v="2"/>
  </r>
  <r>
    <x v="1002"/>
    <s v="Formal Shoes"/>
    <x v="0"/>
    <x v="0"/>
    <x v="0"/>
    <x v="2"/>
    <s v="Patna"/>
    <n v="3246.48"/>
    <n v="0.25"/>
    <n v="2434.86"/>
    <n v="3"/>
    <n v="7304.58"/>
    <n v="1826.14"/>
    <d v="2024-09-19T00:00:00"/>
    <x v="4"/>
    <x v="0"/>
    <d v="2024-09-22T00:00:00"/>
    <n v="3"/>
    <x v="0"/>
  </r>
  <r>
    <x v="1003"/>
    <s v="Sofa Set"/>
    <x v="1"/>
    <x v="7"/>
    <x v="0"/>
    <x v="0"/>
    <s v="Hyderabad"/>
    <n v="35377.33"/>
    <n v="0.25"/>
    <n v="26532.997500000001"/>
    <n v="2"/>
    <n v="53065.995000000003"/>
    <n v="13266.5"/>
    <d v="2025-02-21T00:00:00"/>
    <x v="7"/>
    <x v="1"/>
    <d v="2025-03-02T00:00:00"/>
    <n v="9"/>
    <x v="1"/>
  </r>
  <r>
    <x v="1004"/>
    <s v="Dining Table"/>
    <x v="1"/>
    <x v="7"/>
    <x v="0"/>
    <x v="2"/>
    <s v="Patna"/>
    <n v="23167.03"/>
    <n v="0.15"/>
    <n v="19691.9755"/>
    <n v="1"/>
    <n v="19691.9755"/>
    <n v="4922.99"/>
    <d v="2024-03-20T00:00:00"/>
    <x v="1"/>
    <x v="0"/>
    <d v="2024-03-26T00:00:00"/>
    <n v="6"/>
    <x v="1"/>
  </r>
  <r>
    <x v="1005"/>
    <s v="Washing Machine"/>
    <x v="4"/>
    <x v="2"/>
    <x v="1"/>
    <x v="3"/>
    <s v="Ahmedabad"/>
    <n v="22842.91"/>
    <n v="0.3"/>
    <n v="15990.037"/>
    <n v="3"/>
    <n v="47970.111000000004"/>
    <n v="16789.54"/>
    <d v="2024-01-12T00:00:00"/>
    <x v="5"/>
    <x v="0"/>
    <d v="2024-01-15T00:00:00"/>
    <n v="3"/>
    <x v="2"/>
  </r>
  <r>
    <x v="1006"/>
    <s v="Jeans"/>
    <x v="3"/>
    <x v="19"/>
    <x v="0"/>
    <x v="2"/>
    <s v="Patna"/>
    <n v="1401.29"/>
    <n v="0.25"/>
    <n v="1050.9675"/>
    <n v="5"/>
    <n v="5254.8374999999996"/>
    <n v="1313.71"/>
    <d v="2024-09-29T00:00:00"/>
    <x v="4"/>
    <x v="0"/>
    <d v="2024-10-04T00:00:00"/>
    <n v="5"/>
    <x v="0"/>
  </r>
  <r>
    <x v="1007"/>
    <s v="Refrigerator"/>
    <x v="4"/>
    <x v="10"/>
    <x v="1"/>
    <x v="0"/>
    <s v="Chennai"/>
    <n v="28986.55"/>
    <n v="0.15"/>
    <n v="24638.567500000001"/>
    <n v="1"/>
    <n v="24638.567500000001"/>
    <n v="8623.5"/>
    <d v="2024-06-09T00:00:00"/>
    <x v="6"/>
    <x v="0"/>
    <d v="2024-06-15T00:00:00"/>
    <n v="6"/>
    <x v="0"/>
  </r>
  <r>
    <x v="1008"/>
    <s v="Headphones"/>
    <x v="2"/>
    <x v="17"/>
    <x v="0"/>
    <x v="2"/>
    <s v="Kolkata"/>
    <n v="1916.3"/>
    <n v="0.25"/>
    <n v="1437.2249999999999"/>
    <n v="2"/>
    <n v="2874.45"/>
    <n v="718.61"/>
    <d v="2025-05-19T00:00:00"/>
    <x v="3"/>
    <x v="1"/>
    <d v="2025-05-28T00:00:00"/>
    <n v="9"/>
    <x v="1"/>
  </r>
  <r>
    <x v="1009"/>
    <s v="Dining Table"/>
    <x v="1"/>
    <x v="7"/>
    <x v="0"/>
    <x v="3"/>
    <s v="Mumbai"/>
    <n v="26054.74"/>
    <n v="0.1"/>
    <n v="23449.266"/>
    <n v="2"/>
    <n v="46898.531999999999"/>
    <n v="11724.63"/>
    <d v="2024-05-08T00:00:00"/>
    <x v="3"/>
    <x v="0"/>
    <d v="2024-05-18T00:00:00"/>
    <n v="10"/>
    <x v="1"/>
  </r>
  <r>
    <x v="1010"/>
    <s v="Headphones"/>
    <x v="2"/>
    <x v="21"/>
    <x v="2"/>
    <x v="2"/>
    <s v="Kolkata"/>
    <n v="1694.45"/>
    <n v="0.1"/>
    <n v="1525.0050000000001"/>
    <n v="1"/>
    <n v="1525.0050000000001"/>
    <n v="228.75"/>
    <d v="2024-02-12T00:00:00"/>
    <x v="7"/>
    <x v="0"/>
    <d v="2024-02-19T00:00:00"/>
    <n v="7"/>
    <x v="1"/>
  </r>
  <r>
    <x v="1011"/>
    <s v="Refrigerator"/>
    <x v="4"/>
    <x v="2"/>
    <x v="1"/>
    <x v="3"/>
    <s v="Mumbai"/>
    <n v="31523.040000000001"/>
    <n v="0.15"/>
    <n v="26794.583999999999"/>
    <n v="5"/>
    <n v="133972.91999999998"/>
    <n v="46890.52"/>
    <d v="2025-04-20T00:00:00"/>
    <x v="11"/>
    <x v="1"/>
    <d v="2025-04-25T00:00:00"/>
    <n v="5"/>
    <x v="1"/>
  </r>
  <r>
    <x v="1012"/>
    <s v="Microwave"/>
    <x v="4"/>
    <x v="10"/>
    <x v="1"/>
    <x v="0"/>
    <s v="Hyderabad"/>
    <n v="9386.9"/>
    <n v="0.25"/>
    <n v="7040.1749999999993"/>
    <n v="3"/>
    <n v="21120.524999999998"/>
    <n v="7392.18"/>
    <d v="2024-10-29T00:00:00"/>
    <x v="10"/>
    <x v="0"/>
    <d v="2024-11-05T00:00:00"/>
    <n v="7"/>
    <x v="2"/>
  </r>
  <r>
    <x v="1013"/>
    <s v="Headphones"/>
    <x v="2"/>
    <x v="20"/>
    <x v="2"/>
    <x v="2"/>
    <s v="Kolkata"/>
    <n v="1685.34"/>
    <n v="0.2"/>
    <n v="1348.2719999999999"/>
    <n v="4"/>
    <n v="5393.0879999999997"/>
    <n v="808.96"/>
    <d v="2024-01-30T00:00:00"/>
    <x v="5"/>
    <x v="0"/>
    <d v="2024-02-03T00:00:00"/>
    <n v="4"/>
    <x v="2"/>
  </r>
  <r>
    <x v="1014"/>
    <s v="Coffee Table"/>
    <x v="1"/>
    <x v="7"/>
    <x v="0"/>
    <x v="0"/>
    <s v="Hyderabad"/>
    <n v="7491.31"/>
    <n v="0.1"/>
    <n v="6742.1790000000001"/>
    <n v="4"/>
    <n v="26968.716"/>
    <n v="6742.18"/>
    <d v="2025-01-20T00:00:00"/>
    <x v="5"/>
    <x v="1"/>
    <d v="2025-01-24T00:00:00"/>
    <n v="4"/>
    <x v="2"/>
  </r>
  <r>
    <x v="1015"/>
    <s v="Dining Table"/>
    <x v="1"/>
    <x v="1"/>
    <x v="1"/>
    <x v="2"/>
    <s v="Patna"/>
    <n v="28489.79"/>
    <n v="0.25"/>
    <n v="21367.342499999999"/>
    <n v="1"/>
    <n v="21367.342499999999"/>
    <n v="7478.57"/>
    <d v="2025-03-06T00:00:00"/>
    <x v="1"/>
    <x v="1"/>
    <d v="2025-03-10T00:00:00"/>
    <n v="4"/>
    <x v="1"/>
  </r>
  <r>
    <x v="1016"/>
    <s v="Formal Shoes"/>
    <x v="0"/>
    <x v="11"/>
    <x v="1"/>
    <x v="0"/>
    <s v="Bengaluru"/>
    <n v="4265.46"/>
    <n v="0.1"/>
    <n v="3838.9140000000002"/>
    <n v="2"/>
    <n v="7677.8280000000004"/>
    <n v="2687.24"/>
    <d v="2024-06-18T00:00:00"/>
    <x v="6"/>
    <x v="0"/>
    <d v="2024-06-27T00:00:00"/>
    <n v="9"/>
    <x v="0"/>
  </r>
  <r>
    <x v="1017"/>
    <s v="Washing Machine"/>
    <x v="4"/>
    <x v="2"/>
    <x v="1"/>
    <x v="0"/>
    <s v="Bengaluru"/>
    <n v="20621.12"/>
    <n v="0.05"/>
    <n v="19590.063999999998"/>
    <n v="4"/>
    <n v="78360.255999999994"/>
    <n v="27426.09"/>
    <d v="2024-05-05T00:00:00"/>
    <x v="3"/>
    <x v="0"/>
    <d v="2024-05-12T00:00:00"/>
    <n v="7"/>
    <x v="1"/>
  </r>
  <r>
    <x v="1018"/>
    <s v="Microwave"/>
    <x v="4"/>
    <x v="2"/>
    <x v="1"/>
    <x v="2"/>
    <s v="Bhubaneswar"/>
    <n v="9311.0400000000009"/>
    <n v="0.15"/>
    <n v="7914.3840000000009"/>
    <n v="5"/>
    <n v="39571.920000000006"/>
    <n v="13850.17"/>
    <d v="2024-11-10T00:00:00"/>
    <x v="9"/>
    <x v="0"/>
    <d v="2024-11-20T00:00:00"/>
    <n v="10"/>
    <x v="2"/>
  </r>
  <r>
    <x v="1019"/>
    <s v="Laptop"/>
    <x v="2"/>
    <x v="20"/>
    <x v="2"/>
    <x v="2"/>
    <s v="Patna"/>
    <n v="41916.660000000003"/>
    <n v="0.15"/>
    <n v="35629.161"/>
    <n v="5"/>
    <n v="178145.80499999999"/>
    <n v="26721.87"/>
    <d v="2024-01-28T00:00:00"/>
    <x v="5"/>
    <x v="0"/>
    <d v="2024-02-03T00:00:00"/>
    <n v="6"/>
    <x v="2"/>
  </r>
  <r>
    <x v="1020"/>
    <s v="T-Shirt"/>
    <x v="3"/>
    <x v="5"/>
    <x v="2"/>
    <x v="0"/>
    <s v="Chennai"/>
    <n v="633.13"/>
    <n v="0.3"/>
    <n v="443.19099999999997"/>
    <n v="3"/>
    <n v="1329.5729999999999"/>
    <n v="199.44"/>
    <d v="2024-02-23T00:00:00"/>
    <x v="7"/>
    <x v="0"/>
    <d v="2024-03-01T00:00:00"/>
    <n v="7"/>
    <x v="1"/>
  </r>
  <r>
    <x v="1021"/>
    <s v="Laptop"/>
    <x v="2"/>
    <x v="14"/>
    <x v="1"/>
    <x v="0"/>
    <s v="Hyderabad"/>
    <n v="60649.66"/>
    <n v="0.25"/>
    <n v="45487.245000000003"/>
    <n v="2"/>
    <n v="90974.49"/>
    <n v="31841.07"/>
    <d v="2025-04-01T00:00:00"/>
    <x v="11"/>
    <x v="1"/>
    <d v="2025-04-08T00:00:00"/>
    <n v="7"/>
    <x v="1"/>
  </r>
  <r>
    <x v="1022"/>
    <s v="Laptop"/>
    <x v="2"/>
    <x v="21"/>
    <x v="2"/>
    <x v="0"/>
    <s v="Bengaluru"/>
    <n v="43079.63"/>
    <n v="0.15"/>
    <n v="36617.6855"/>
    <n v="5"/>
    <n v="183088.42749999999"/>
    <n v="27463.26"/>
    <d v="2024-09-14T00:00:00"/>
    <x v="4"/>
    <x v="0"/>
    <d v="2024-09-17T00:00:00"/>
    <n v="3"/>
    <x v="0"/>
  </r>
  <r>
    <x v="1023"/>
    <s v="Headphones"/>
    <x v="2"/>
    <x v="20"/>
    <x v="2"/>
    <x v="0"/>
    <s v="Chennai"/>
    <n v="1691.9"/>
    <n v="0"/>
    <n v="1691.9"/>
    <n v="4"/>
    <n v="6767.6"/>
    <n v="1015.14"/>
    <d v="2025-07-24T00:00:00"/>
    <x v="2"/>
    <x v="1"/>
    <d v="2025-08-02T00:00:00"/>
    <n v="9"/>
    <x v="0"/>
  </r>
  <r>
    <x v="1024"/>
    <s v="Dining Table"/>
    <x v="1"/>
    <x v="4"/>
    <x v="1"/>
    <x v="3"/>
    <s v="Ahmedabad"/>
    <n v="32086.15"/>
    <n v="0.05"/>
    <n v="30481.842499999999"/>
    <n v="2"/>
    <n v="60963.684999999998"/>
    <n v="21337.29"/>
    <d v="2024-01-26T00:00:00"/>
    <x v="5"/>
    <x v="0"/>
    <d v="2024-02-05T00:00:00"/>
    <n v="10"/>
    <x v="2"/>
  </r>
  <r>
    <x v="1025"/>
    <s v="Jacket"/>
    <x v="3"/>
    <x v="5"/>
    <x v="2"/>
    <x v="2"/>
    <s v="Patna"/>
    <n v="2307.4899999999998"/>
    <n v="0.3"/>
    <n v="1615.2429999999999"/>
    <n v="8"/>
    <n v="12921.944"/>
    <n v="1211.43"/>
    <d v="2025-01-15T00:00:00"/>
    <x v="5"/>
    <x v="1"/>
    <d v="2025-01-21T00:00:00"/>
    <n v="6"/>
    <x v="2"/>
  </r>
  <r>
    <x v="1026"/>
    <s v="Smartphone"/>
    <x v="2"/>
    <x v="17"/>
    <x v="0"/>
    <x v="0"/>
    <s v="Hyderabad"/>
    <n v="15344.84"/>
    <n v="0.1"/>
    <n v="13810.356"/>
    <n v="1"/>
    <n v="13810.356"/>
    <n v="3452.59"/>
    <d v="2025-01-10T00:00:00"/>
    <x v="5"/>
    <x v="1"/>
    <d v="2025-01-13T00:00:00"/>
    <n v="3"/>
    <x v="2"/>
  </r>
  <r>
    <x v="1027"/>
    <s v="Dining Table"/>
    <x v="1"/>
    <x v="7"/>
    <x v="0"/>
    <x v="2"/>
    <s v="Patna"/>
    <n v="24502.03"/>
    <n v="0.05"/>
    <n v="23276.928500000002"/>
    <n v="5"/>
    <n v="116384.64250000002"/>
    <n v="29096.16"/>
    <d v="2024-07-15T00:00:00"/>
    <x v="2"/>
    <x v="0"/>
    <d v="2024-07-24T00:00:00"/>
    <n v="9"/>
    <x v="0"/>
  </r>
  <r>
    <x v="1028"/>
    <s v="Microwave"/>
    <x v="4"/>
    <x v="12"/>
    <x v="0"/>
    <x v="0"/>
    <s v="Chennai"/>
    <n v="7883.75"/>
    <n v="0"/>
    <n v="7883.75"/>
    <n v="1"/>
    <n v="7883.75"/>
    <n v="1970.94"/>
    <d v="2025-02-09T00:00:00"/>
    <x v="7"/>
    <x v="1"/>
    <d v="2025-02-16T00:00:00"/>
    <n v="7"/>
    <x v="1"/>
  </r>
  <r>
    <x v="1029"/>
    <s v="Jeans"/>
    <x v="3"/>
    <x v="19"/>
    <x v="0"/>
    <x v="2"/>
    <s v="Patna"/>
    <n v="1355.1"/>
    <n v="0.2"/>
    <n v="1084.08"/>
    <n v="5"/>
    <n v="5420.4"/>
    <n v="1355.1"/>
    <d v="2024-05-17T00:00:00"/>
    <x v="3"/>
    <x v="0"/>
    <d v="2024-05-24T00:00:00"/>
    <n v="7"/>
    <x v="1"/>
  </r>
  <r>
    <x v="1030"/>
    <s v="Laptop"/>
    <x v="2"/>
    <x v="21"/>
    <x v="2"/>
    <x v="0"/>
    <s v="Hyderabad"/>
    <n v="40441.19"/>
    <n v="0.2"/>
    <n v="32352.952000000001"/>
    <n v="5"/>
    <n v="161764.76"/>
    <n v="24264.71"/>
    <d v="2025-06-21T00:00:00"/>
    <x v="6"/>
    <x v="1"/>
    <d v="2025-06-25T00:00:00"/>
    <n v="4"/>
    <x v="0"/>
  </r>
  <r>
    <x v="1031"/>
    <s v="Coffee Table"/>
    <x v="1"/>
    <x v="7"/>
    <x v="0"/>
    <x v="2"/>
    <s v="Bhubaneswar"/>
    <n v="7308.6"/>
    <n v="0.1"/>
    <n v="6577.7400000000007"/>
    <n v="3"/>
    <n v="19733.22"/>
    <n v="4933.3100000000004"/>
    <d v="2024-01-24T00:00:00"/>
    <x v="5"/>
    <x v="0"/>
    <d v="2024-02-02T00:00:00"/>
    <n v="9"/>
    <x v="2"/>
  </r>
  <r>
    <x v="1032"/>
    <s v="Bed"/>
    <x v="1"/>
    <x v="18"/>
    <x v="2"/>
    <x v="3"/>
    <s v="Mumbai"/>
    <n v="28335.16"/>
    <n v="0.1"/>
    <n v="25501.644"/>
    <n v="3"/>
    <n v="76504.932000000001"/>
    <n v="11475.74"/>
    <d v="2025-04-02T00:00:00"/>
    <x v="11"/>
    <x v="1"/>
    <d v="2025-04-04T00:00:00"/>
    <n v="2"/>
    <x v="1"/>
  </r>
  <r>
    <x v="1033"/>
    <s v="Dining Table"/>
    <x v="1"/>
    <x v="4"/>
    <x v="1"/>
    <x v="3"/>
    <s v="Mumbai"/>
    <n v="31749.67"/>
    <n v="0.25"/>
    <n v="23812.252499999999"/>
    <n v="5"/>
    <n v="119061.2625"/>
    <n v="41671.440000000002"/>
    <d v="2024-12-17T00:00:00"/>
    <x v="8"/>
    <x v="0"/>
    <d v="2024-12-22T00:00:00"/>
    <n v="5"/>
    <x v="2"/>
  </r>
  <r>
    <x v="1034"/>
    <s v="Sofa Set"/>
    <x v="1"/>
    <x v="18"/>
    <x v="2"/>
    <x v="3"/>
    <s v="Ahmedabad"/>
    <n v="32646.49"/>
    <n v="0"/>
    <n v="32646.49"/>
    <n v="1"/>
    <n v="32646.49"/>
    <n v="4896.97"/>
    <d v="2025-02-16T00:00:00"/>
    <x v="7"/>
    <x v="1"/>
    <d v="2025-02-25T00:00:00"/>
    <n v="9"/>
    <x v="1"/>
  </r>
  <r>
    <x v="1035"/>
    <s v="Dining Table"/>
    <x v="1"/>
    <x v="1"/>
    <x v="1"/>
    <x v="1"/>
    <s v="Delhi"/>
    <n v="30106.61"/>
    <n v="0.1"/>
    <n v="27095.949000000001"/>
    <n v="4"/>
    <n v="108383.796"/>
    <n v="37934.33"/>
    <d v="2025-03-08T00:00:00"/>
    <x v="1"/>
    <x v="1"/>
    <d v="2025-03-17T00:00:00"/>
    <n v="9"/>
    <x v="1"/>
  </r>
  <r>
    <x v="1036"/>
    <s v="Jacket"/>
    <x v="3"/>
    <x v="15"/>
    <x v="1"/>
    <x v="0"/>
    <s v="Chennai"/>
    <n v="3388.02"/>
    <n v="0.05"/>
    <n v="3218.6190000000001"/>
    <n v="7"/>
    <n v="22530.333000000002"/>
    <n v="4506.07"/>
    <d v="2024-01-13T00:00:00"/>
    <x v="5"/>
    <x v="0"/>
    <d v="2024-01-23T00:00:00"/>
    <n v="10"/>
    <x v="2"/>
  </r>
  <r>
    <x v="1037"/>
    <s v="Smartphone"/>
    <x v="2"/>
    <x v="3"/>
    <x v="0"/>
    <x v="2"/>
    <s v="Kolkata"/>
    <n v="14205.57"/>
    <n v="0.15"/>
    <n v="12074.7345"/>
    <n v="1"/>
    <n v="12074.7345"/>
    <n v="3018.68"/>
    <d v="2024-10-14T00:00:00"/>
    <x v="10"/>
    <x v="0"/>
    <d v="2024-10-21T00:00:00"/>
    <n v="7"/>
    <x v="2"/>
  </r>
  <r>
    <x v="1038"/>
    <s v="Bed"/>
    <x v="1"/>
    <x v="7"/>
    <x v="0"/>
    <x v="1"/>
    <s v="Lucknow"/>
    <n v="31217.200000000001"/>
    <n v="0.25"/>
    <n v="23412.9"/>
    <n v="5"/>
    <n v="117064.5"/>
    <n v="29266.12"/>
    <d v="2025-04-14T00:00:00"/>
    <x v="11"/>
    <x v="1"/>
    <d v="2025-04-24T00:00:00"/>
    <n v="10"/>
    <x v="1"/>
  </r>
  <r>
    <x v="1039"/>
    <s v="T-Shirt"/>
    <x v="3"/>
    <x v="5"/>
    <x v="2"/>
    <x v="0"/>
    <s v="Bengaluru"/>
    <n v="681.14"/>
    <n v="0.1"/>
    <n v="613.02599999999995"/>
    <n v="8"/>
    <n v="4904.2079999999996"/>
    <n v="367.81"/>
    <d v="2025-01-14T00:00:00"/>
    <x v="5"/>
    <x v="1"/>
    <d v="2025-01-20T00:00:00"/>
    <n v="6"/>
    <x v="2"/>
  </r>
  <r>
    <x v="1040"/>
    <s v="Coffee Table"/>
    <x v="1"/>
    <x v="1"/>
    <x v="1"/>
    <x v="2"/>
    <s v="Kolkata"/>
    <n v="9106.7199999999993"/>
    <n v="0.05"/>
    <n v="8651.3839999999982"/>
    <n v="4"/>
    <n v="34605.535999999993"/>
    <n v="12111.94"/>
    <d v="2024-04-16T00:00:00"/>
    <x v="11"/>
    <x v="0"/>
    <d v="2024-04-18T00:00:00"/>
    <n v="2"/>
    <x v="1"/>
  </r>
  <r>
    <x v="1041"/>
    <s v="Formal Shoes"/>
    <x v="0"/>
    <x v="11"/>
    <x v="1"/>
    <x v="2"/>
    <s v="Bhubaneswar"/>
    <n v="4128.76"/>
    <n v="0.2"/>
    <n v="3303.0079999999998"/>
    <n v="5"/>
    <n v="16515.04"/>
    <n v="5780.26"/>
    <d v="2024-08-11T00:00:00"/>
    <x v="0"/>
    <x v="0"/>
    <d v="2024-08-20T00:00:00"/>
    <n v="9"/>
    <x v="0"/>
  </r>
  <r>
    <x v="1042"/>
    <s v="Refrigerator"/>
    <x v="4"/>
    <x v="2"/>
    <x v="1"/>
    <x v="2"/>
    <s v="Kolkata"/>
    <n v="28191.37"/>
    <n v="0.15"/>
    <n v="23962.664499999999"/>
    <n v="3"/>
    <n v="71887.993499999997"/>
    <n v="25160.799999999999"/>
    <d v="2025-06-26T00:00:00"/>
    <x v="6"/>
    <x v="1"/>
    <d v="2025-07-03T00:00:00"/>
    <n v="7"/>
    <x v="0"/>
  </r>
  <r>
    <x v="1043"/>
    <s v="Dining Table"/>
    <x v="1"/>
    <x v="1"/>
    <x v="1"/>
    <x v="1"/>
    <s v="Delhi"/>
    <n v="31873.94"/>
    <n v="0.25"/>
    <n v="23905.455000000002"/>
    <n v="3"/>
    <n v="71716.365000000005"/>
    <n v="25100.73"/>
    <d v="2024-02-07T00:00:00"/>
    <x v="7"/>
    <x v="0"/>
    <d v="2024-02-11T00:00:00"/>
    <n v="4"/>
    <x v="1"/>
  </r>
  <r>
    <x v="1044"/>
    <s v="Coffee Table"/>
    <x v="1"/>
    <x v="7"/>
    <x v="0"/>
    <x v="0"/>
    <s v="Chennai"/>
    <n v="7854.91"/>
    <n v="0.3"/>
    <n v="5498.4369999999999"/>
    <n v="5"/>
    <n v="27492.184999999998"/>
    <n v="6873.05"/>
    <d v="2025-03-29T00:00:00"/>
    <x v="1"/>
    <x v="1"/>
    <d v="2025-04-04T00:00:00"/>
    <n v="6"/>
    <x v="1"/>
  </r>
  <r>
    <x v="1045"/>
    <s v="Laptop"/>
    <x v="2"/>
    <x v="3"/>
    <x v="0"/>
    <x v="0"/>
    <s v="Hyderabad"/>
    <n v="48828.11"/>
    <n v="0.05"/>
    <n v="46386.7045"/>
    <n v="4"/>
    <n v="185546.818"/>
    <n v="46386.71"/>
    <d v="2024-09-24T00:00:00"/>
    <x v="4"/>
    <x v="0"/>
    <d v="2024-09-28T00:00:00"/>
    <n v="4"/>
    <x v="0"/>
  </r>
  <r>
    <x v="1046"/>
    <s v="Jeans"/>
    <x v="3"/>
    <x v="15"/>
    <x v="1"/>
    <x v="2"/>
    <s v="Kolkata"/>
    <n v="1635.48"/>
    <n v="0"/>
    <n v="1635.48"/>
    <n v="5"/>
    <n v="8177.4"/>
    <n v="2289.67"/>
    <d v="2025-01-24T00:00:00"/>
    <x v="5"/>
    <x v="1"/>
    <d v="2025-01-31T00:00:00"/>
    <n v="7"/>
    <x v="2"/>
  </r>
  <r>
    <x v="1047"/>
    <s v="Bed"/>
    <x v="1"/>
    <x v="7"/>
    <x v="0"/>
    <x v="3"/>
    <s v="Pune"/>
    <n v="33636.17"/>
    <n v="0.2"/>
    <n v="26908.936000000002"/>
    <n v="1"/>
    <n v="26908.936000000002"/>
    <n v="6727.23"/>
    <d v="2025-06-09T00:00:00"/>
    <x v="6"/>
    <x v="1"/>
    <d v="2025-06-19T00:00:00"/>
    <n v="10"/>
    <x v="0"/>
  </r>
  <r>
    <x v="1048"/>
    <s v="Headphones"/>
    <x v="2"/>
    <x v="17"/>
    <x v="0"/>
    <x v="0"/>
    <s v="Chennai"/>
    <n v="1922.4"/>
    <n v="0.15"/>
    <n v="1634.04"/>
    <n v="4"/>
    <n v="6536.16"/>
    <n v="1634.04"/>
    <d v="2024-12-24T00:00:00"/>
    <x v="8"/>
    <x v="0"/>
    <d v="2024-12-31T00:00:00"/>
    <n v="7"/>
    <x v="2"/>
  </r>
  <r>
    <x v="1049"/>
    <s v="Jeans"/>
    <x v="3"/>
    <x v="13"/>
    <x v="1"/>
    <x v="1"/>
    <s v="Delhi"/>
    <n v="1877.69"/>
    <n v="0.25"/>
    <n v="1408.2674999999999"/>
    <n v="1"/>
    <n v="1408.2674999999999"/>
    <n v="492.89"/>
    <d v="2024-08-20T00:00:00"/>
    <x v="0"/>
    <x v="0"/>
    <d v="2024-08-25T00:00:00"/>
    <n v="5"/>
    <x v="0"/>
  </r>
  <r>
    <x v="1050"/>
    <s v="Microwave"/>
    <x v="4"/>
    <x v="12"/>
    <x v="0"/>
    <x v="3"/>
    <s v="Mumbai"/>
    <n v="8407.94"/>
    <n v="0.1"/>
    <n v="7567.1460000000006"/>
    <n v="5"/>
    <n v="37835.730000000003"/>
    <n v="9458.93"/>
    <d v="2024-07-29T00:00:00"/>
    <x v="2"/>
    <x v="0"/>
    <d v="2024-07-31T00:00:00"/>
    <n v="2"/>
    <x v="0"/>
  </r>
  <r>
    <x v="1051"/>
    <s v="Dining Table"/>
    <x v="1"/>
    <x v="4"/>
    <x v="1"/>
    <x v="2"/>
    <s v="Bhubaneswar"/>
    <n v="29551.17"/>
    <n v="0.25"/>
    <n v="22163.377499999999"/>
    <n v="5"/>
    <n v="110816.8875"/>
    <n v="38785.910000000003"/>
    <d v="2024-02-06T00:00:00"/>
    <x v="7"/>
    <x v="0"/>
    <d v="2024-02-16T00:00:00"/>
    <n v="10"/>
    <x v="1"/>
  </r>
  <r>
    <x v="1052"/>
    <s v="Bed"/>
    <x v="1"/>
    <x v="1"/>
    <x v="1"/>
    <x v="0"/>
    <s v="Bengaluru"/>
    <n v="36003.51"/>
    <n v="0.05"/>
    <n v="34203.334499999997"/>
    <n v="5"/>
    <n v="171016.67249999999"/>
    <n v="59855.83"/>
    <d v="2024-03-01T00:00:00"/>
    <x v="1"/>
    <x v="0"/>
    <d v="2024-03-07T00:00:00"/>
    <n v="6"/>
    <x v="1"/>
  </r>
  <r>
    <x v="1053"/>
    <s v="Jeans"/>
    <x v="3"/>
    <x v="16"/>
    <x v="2"/>
    <x v="2"/>
    <s v="Patna"/>
    <n v="1219.95"/>
    <n v="0.25"/>
    <n v="914.96250000000009"/>
    <n v="5"/>
    <n v="4574.8125"/>
    <n v="274.49"/>
    <d v="2024-01-22T00:00:00"/>
    <x v="5"/>
    <x v="0"/>
    <d v="2024-01-31T00:00:00"/>
    <n v="9"/>
    <x v="2"/>
  </r>
  <r>
    <x v="1054"/>
    <s v="Sneakers"/>
    <x v="0"/>
    <x v="6"/>
    <x v="2"/>
    <x v="2"/>
    <s v="Patna"/>
    <n v="1949.44"/>
    <n v="0.3"/>
    <n v="1364.6079999999999"/>
    <n v="2"/>
    <n v="2729.2159999999999"/>
    <n v="409.38"/>
    <d v="2024-12-07T00:00:00"/>
    <x v="8"/>
    <x v="0"/>
    <d v="2024-12-10T00:00:00"/>
    <n v="3"/>
    <x v="2"/>
  </r>
  <r>
    <x v="1055"/>
    <s v="Refrigerator"/>
    <x v="4"/>
    <x v="8"/>
    <x v="2"/>
    <x v="1"/>
    <s v="Delhi"/>
    <n v="21084.94"/>
    <n v="0.05"/>
    <n v="20030.692999999999"/>
    <n v="1"/>
    <n v="20030.692999999999"/>
    <n v="3004.6"/>
    <d v="2025-02-13T00:00:00"/>
    <x v="7"/>
    <x v="1"/>
    <d v="2025-02-21T00:00:00"/>
    <n v="8"/>
    <x v="1"/>
  </r>
  <r>
    <x v="1056"/>
    <s v="Formal Shoes"/>
    <x v="0"/>
    <x v="0"/>
    <x v="0"/>
    <x v="1"/>
    <s v="Delhi"/>
    <n v="3732.18"/>
    <n v="0.1"/>
    <n v="3358.962"/>
    <n v="5"/>
    <n v="16794.810000000001"/>
    <n v="4198.7"/>
    <d v="2024-07-27T00:00:00"/>
    <x v="2"/>
    <x v="0"/>
    <d v="2024-08-05T00:00:00"/>
    <n v="9"/>
    <x v="0"/>
  </r>
  <r>
    <x v="1057"/>
    <s v="Formal Shoes"/>
    <x v="0"/>
    <x v="6"/>
    <x v="2"/>
    <x v="3"/>
    <s v="Mumbai"/>
    <n v="3181.86"/>
    <n v="0.25"/>
    <n v="2386.395"/>
    <n v="2"/>
    <n v="4772.79"/>
    <n v="715.92"/>
    <d v="2024-03-16T00:00:00"/>
    <x v="1"/>
    <x v="0"/>
    <d v="2024-03-22T00:00:00"/>
    <n v="6"/>
    <x v="1"/>
  </r>
  <r>
    <x v="1058"/>
    <s v="Bed"/>
    <x v="1"/>
    <x v="18"/>
    <x v="2"/>
    <x v="0"/>
    <s v="Bengaluru"/>
    <n v="25719.33"/>
    <n v="0.3"/>
    <n v="18003.530999999999"/>
    <n v="5"/>
    <n v="90017.654999999999"/>
    <n v="13502.65"/>
    <d v="2025-07-19T00:00:00"/>
    <x v="2"/>
    <x v="1"/>
    <d v="2025-07-29T00:00:00"/>
    <n v="10"/>
    <x v="0"/>
  </r>
  <r>
    <x v="1059"/>
    <s v="Microwave"/>
    <x v="4"/>
    <x v="10"/>
    <x v="1"/>
    <x v="0"/>
    <s v="Chennai"/>
    <n v="9751.65"/>
    <n v="0.15"/>
    <n v="8288.9025000000001"/>
    <n v="4"/>
    <n v="33155.61"/>
    <n v="11604.46"/>
    <d v="2025-02-13T00:00:00"/>
    <x v="7"/>
    <x v="1"/>
    <d v="2025-02-17T00:00:00"/>
    <n v="4"/>
    <x v="1"/>
  </r>
  <r>
    <x v="1060"/>
    <s v="Refrigerator"/>
    <x v="4"/>
    <x v="10"/>
    <x v="1"/>
    <x v="1"/>
    <s v="Lucknow"/>
    <n v="31018.36"/>
    <n v="0.2"/>
    <n v="24814.687999999998"/>
    <n v="2"/>
    <n v="49629.375999999997"/>
    <n v="17370.28"/>
    <d v="2024-10-26T00:00:00"/>
    <x v="10"/>
    <x v="0"/>
    <d v="2024-11-01T00:00:00"/>
    <n v="6"/>
    <x v="2"/>
  </r>
  <r>
    <x v="1061"/>
    <s v="Bed"/>
    <x v="1"/>
    <x v="18"/>
    <x v="2"/>
    <x v="0"/>
    <s v="Chennai"/>
    <n v="24324.959999999999"/>
    <n v="0.1"/>
    <n v="21892.464"/>
    <n v="2"/>
    <n v="43784.928"/>
    <n v="6567.74"/>
    <d v="2024-12-20T00:00:00"/>
    <x v="8"/>
    <x v="0"/>
    <d v="2024-12-30T00:00:00"/>
    <n v="10"/>
    <x v="2"/>
  </r>
  <r>
    <x v="1062"/>
    <s v="Headphones"/>
    <x v="2"/>
    <x v="21"/>
    <x v="2"/>
    <x v="0"/>
    <s v="Chennai"/>
    <n v="1595.31"/>
    <n v="0.15"/>
    <n v="1356.0135"/>
    <n v="2"/>
    <n v="2712.027"/>
    <n v="406.8"/>
    <d v="2024-03-31T00:00:00"/>
    <x v="1"/>
    <x v="0"/>
    <d v="2024-04-02T00:00:00"/>
    <n v="2"/>
    <x v="1"/>
  </r>
  <r>
    <x v="1063"/>
    <s v="Coffee Table"/>
    <x v="1"/>
    <x v="18"/>
    <x v="2"/>
    <x v="3"/>
    <s v="Mumbai"/>
    <n v="7458.88"/>
    <n v="0.15"/>
    <n v="6340.0479999999998"/>
    <n v="3"/>
    <n v="19020.144"/>
    <n v="2853.02"/>
    <d v="2024-11-09T00:00:00"/>
    <x v="9"/>
    <x v="0"/>
    <d v="2024-11-12T00:00:00"/>
    <n v="3"/>
    <x v="2"/>
  </r>
  <r>
    <x v="1064"/>
    <s v="Washing Machine"/>
    <x v="4"/>
    <x v="10"/>
    <x v="1"/>
    <x v="1"/>
    <s v="Lucknow"/>
    <n v="21980.49"/>
    <n v="0"/>
    <n v="21980.49"/>
    <n v="2"/>
    <n v="43960.98"/>
    <n v="15386.34"/>
    <d v="2024-06-24T00:00:00"/>
    <x v="6"/>
    <x v="0"/>
    <d v="2024-06-30T00:00:00"/>
    <n v="6"/>
    <x v="0"/>
  </r>
  <r>
    <x v="1065"/>
    <s v="T-Shirt"/>
    <x v="3"/>
    <x v="16"/>
    <x v="2"/>
    <x v="2"/>
    <s v="Kolkata"/>
    <n v="616.08000000000004"/>
    <n v="0.15"/>
    <n v="523.66800000000001"/>
    <n v="1"/>
    <n v="523.66800000000001"/>
    <n v="78.55"/>
    <d v="2024-05-08T00:00:00"/>
    <x v="3"/>
    <x v="0"/>
    <d v="2024-05-18T00:00:00"/>
    <n v="10"/>
    <x v="1"/>
  </r>
  <r>
    <x v="1066"/>
    <s v="Formal Shoes"/>
    <x v="0"/>
    <x v="11"/>
    <x v="1"/>
    <x v="1"/>
    <s v="Jaipur"/>
    <n v="4404.55"/>
    <n v="0.25"/>
    <n v="3303.4124999999999"/>
    <n v="1"/>
    <n v="3303.4124999999999"/>
    <n v="1156.19"/>
    <d v="2024-05-18T00:00:00"/>
    <x v="3"/>
    <x v="0"/>
    <d v="2024-05-24T00:00:00"/>
    <n v="6"/>
    <x v="1"/>
  </r>
  <r>
    <x v="1067"/>
    <s v="Laptop"/>
    <x v="2"/>
    <x v="3"/>
    <x v="0"/>
    <x v="2"/>
    <s v="Patna"/>
    <n v="47643.09"/>
    <n v="0.3"/>
    <n v="33350.162999999993"/>
    <n v="3"/>
    <n v="100050.48899999997"/>
    <n v="25012.62"/>
    <d v="2024-06-22T00:00:00"/>
    <x v="6"/>
    <x v="0"/>
    <d v="2024-06-28T00:00:00"/>
    <n v="6"/>
    <x v="0"/>
  </r>
  <r>
    <x v="1068"/>
    <s v="Dining Table"/>
    <x v="1"/>
    <x v="1"/>
    <x v="1"/>
    <x v="1"/>
    <s v="Lucknow"/>
    <n v="30682.03"/>
    <n v="0"/>
    <n v="30682.03"/>
    <n v="2"/>
    <n v="61364.06"/>
    <n v="21477.42"/>
    <d v="2025-06-23T00:00:00"/>
    <x v="6"/>
    <x v="1"/>
    <d v="2025-06-29T00:00:00"/>
    <n v="6"/>
    <x v="0"/>
  </r>
  <r>
    <x v="1069"/>
    <s v="Refrigerator"/>
    <x v="4"/>
    <x v="12"/>
    <x v="0"/>
    <x v="1"/>
    <s v="Lucknow"/>
    <n v="25400.63"/>
    <n v="0.25"/>
    <n v="19050.4725"/>
    <n v="5"/>
    <n v="95252.362500000003"/>
    <n v="23813.09"/>
    <d v="2025-06-23T00:00:00"/>
    <x v="6"/>
    <x v="1"/>
    <d v="2025-06-25T00:00:00"/>
    <n v="2"/>
    <x v="0"/>
  </r>
  <r>
    <x v="1070"/>
    <s v="Jacket"/>
    <x v="3"/>
    <x v="13"/>
    <x v="1"/>
    <x v="2"/>
    <s v="Patna"/>
    <n v="3512.46"/>
    <n v="0.1"/>
    <n v="3161.2139999999999"/>
    <n v="4"/>
    <n v="12644.856"/>
    <n v="4425.7"/>
    <d v="2025-03-11T00:00:00"/>
    <x v="1"/>
    <x v="1"/>
    <d v="2025-03-18T00:00:00"/>
    <n v="7"/>
    <x v="1"/>
  </r>
  <r>
    <x v="1071"/>
    <s v="Formal Shoes"/>
    <x v="0"/>
    <x v="11"/>
    <x v="1"/>
    <x v="3"/>
    <s v="Pune"/>
    <n v="4742.08"/>
    <n v="0.25"/>
    <n v="3556.56"/>
    <n v="1"/>
    <n v="3556.56"/>
    <n v="1244.8"/>
    <d v="2024-08-16T00:00:00"/>
    <x v="0"/>
    <x v="0"/>
    <d v="2024-08-25T00:00:00"/>
    <n v="9"/>
    <x v="0"/>
  </r>
  <r>
    <x v="1072"/>
    <s v="Smartphone"/>
    <x v="2"/>
    <x v="17"/>
    <x v="0"/>
    <x v="3"/>
    <s v="Pune"/>
    <n v="16112.3"/>
    <n v="0.2"/>
    <n v="12889.84"/>
    <n v="2"/>
    <n v="25779.68"/>
    <n v="6444.92"/>
    <d v="2024-06-17T00:00:00"/>
    <x v="6"/>
    <x v="0"/>
    <d v="2024-06-27T00:00:00"/>
    <n v="10"/>
    <x v="0"/>
  </r>
  <r>
    <x v="1073"/>
    <s v="Microwave"/>
    <x v="4"/>
    <x v="8"/>
    <x v="2"/>
    <x v="3"/>
    <s v="Pune"/>
    <n v="7673.37"/>
    <n v="0.05"/>
    <n v="7289.7014999999992"/>
    <n v="5"/>
    <n v="36448.507499999992"/>
    <n v="5467.28"/>
    <d v="2024-03-20T00:00:00"/>
    <x v="1"/>
    <x v="0"/>
    <d v="2024-03-23T00:00:00"/>
    <n v="3"/>
    <x v="1"/>
  </r>
  <r>
    <x v="1074"/>
    <s v="Sneakers"/>
    <x v="0"/>
    <x v="11"/>
    <x v="1"/>
    <x v="1"/>
    <s v="Jaipur"/>
    <n v="2982.78"/>
    <n v="0.15"/>
    <n v="2535.3629999999998"/>
    <n v="5"/>
    <n v="12676.814999999999"/>
    <n v="4436.8900000000003"/>
    <d v="2024-03-28T00:00:00"/>
    <x v="1"/>
    <x v="0"/>
    <d v="2024-04-04T00:00:00"/>
    <n v="7"/>
    <x v="1"/>
  </r>
  <r>
    <x v="1075"/>
    <s v="Washing Machine"/>
    <x v="4"/>
    <x v="12"/>
    <x v="0"/>
    <x v="3"/>
    <s v="Pune"/>
    <n v="19557.900000000001"/>
    <n v="0"/>
    <n v="19557.900000000001"/>
    <n v="3"/>
    <n v="58673.700000000004"/>
    <n v="14668.42"/>
    <d v="2025-02-14T00:00:00"/>
    <x v="7"/>
    <x v="1"/>
    <d v="2025-02-21T00:00:00"/>
    <n v="7"/>
    <x v="1"/>
  </r>
  <r>
    <x v="1076"/>
    <s v="Washing Machine"/>
    <x v="4"/>
    <x v="8"/>
    <x v="2"/>
    <x v="0"/>
    <s v="Hyderabad"/>
    <n v="14955.69"/>
    <n v="0.1"/>
    <n v="13460.120999999999"/>
    <n v="3"/>
    <n v="40380.362999999998"/>
    <n v="6057.05"/>
    <d v="2024-10-30T00:00:00"/>
    <x v="10"/>
    <x v="0"/>
    <d v="2024-11-09T00:00:00"/>
    <n v="10"/>
    <x v="2"/>
  </r>
  <r>
    <x v="1077"/>
    <s v="Bed"/>
    <x v="1"/>
    <x v="4"/>
    <x v="1"/>
    <x v="3"/>
    <s v="Pune"/>
    <n v="39961.64"/>
    <n v="0.1"/>
    <n v="35965.476000000002"/>
    <n v="3"/>
    <n v="107896.42800000001"/>
    <n v="37763.75"/>
    <d v="2024-10-03T00:00:00"/>
    <x v="10"/>
    <x v="0"/>
    <d v="2024-10-06T00:00:00"/>
    <n v="3"/>
    <x v="2"/>
  </r>
  <r>
    <x v="1078"/>
    <s v="Formal Shoes"/>
    <x v="0"/>
    <x v="6"/>
    <x v="2"/>
    <x v="1"/>
    <s v="Lucknow"/>
    <n v="3180.35"/>
    <n v="0.2"/>
    <n v="2544.2800000000002"/>
    <n v="2"/>
    <n v="5088.5600000000004"/>
    <n v="763.28"/>
    <d v="2024-02-23T00:00:00"/>
    <x v="7"/>
    <x v="0"/>
    <d v="2024-03-01T00:00:00"/>
    <n v="7"/>
    <x v="1"/>
  </r>
  <r>
    <x v="1079"/>
    <s v="Bed"/>
    <x v="1"/>
    <x v="1"/>
    <x v="1"/>
    <x v="0"/>
    <s v="Bengaluru"/>
    <n v="34923.839999999997"/>
    <n v="0.25"/>
    <n v="26192.880000000001"/>
    <n v="3"/>
    <n v="78578.64"/>
    <n v="27502.52"/>
    <d v="2024-11-26T00:00:00"/>
    <x v="9"/>
    <x v="0"/>
    <d v="2024-11-28T00:00:00"/>
    <n v="2"/>
    <x v="2"/>
  </r>
  <r>
    <x v="1080"/>
    <s v="Smartphone"/>
    <x v="2"/>
    <x v="20"/>
    <x v="2"/>
    <x v="2"/>
    <s v="Bhubaneswar"/>
    <n v="12109.14"/>
    <n v="0.1"/>
    <n v="10898.226000000001"/>
    <n v="4"/>
    <n v="43592.904000000002"/>
    <n v="6538.94"/>
    <d v="2025-04-15T00:00:00"/>
    <x v="11"/>
    <x v="1"/>
    <d v="2025-04-18T00:00:00"/>
    <n v="3"/>
    <x v="1"/>
  </r>
  <r>
    <x v="1081"/>
    <s v="Sneakers"/>
    <x v="0"/>
    <x v="11"/>
    <x v="1"/>
    <x v="1"/>
    <s v="Lucknow"/>
    <n v="3220.01"/>
    <n v="0"/>
    <n v="3220.01"/>
    <n v="4"/>
    <n v="12880.04"/>
    <n v="4508.01"/>
    <d v="2024-11-08T00:00:00"/>
    <x v="9"/>
    <x v="0"/>
    <d v="2024-11-18T00:00:00"/>
    <n v="10"/>
    <x v="2"/>
  </r>
  <r>
    <x v="1082"/>
    <s v="Headphones"/>
    <x v="2"/>
    <x v="2"/>
    <x v="1"/>
    <x v="1"/>
    <s v="Lucknow"/>
    <n v="2407.7399999999998"/>
    <n v="0.05"/>
    <n v="2287.3530000000001"/>
    <n v="5"/>
    <n v="11436.764999999999"/>
    <n v="4002.87"/>
    <d v="2024-08-11T00:00:00"/>
    <x v="0"/>
    <x v="0"/>
    <d v="2024-08-20T00:00:00"/>
    <n v="9"/>
    <x v="0"/>
  </r>
  <r>
    <x v="1083"/>
    <s v="Dining Table"/>
    <x v="1"/>
    <x v="4"/>
    <x v="1"/>
    <x v="0"/>
    <s v="Chennai"/>
    <n v="28964.85"/>
    <n v="0.3"/>
    <n v="20275.395"/>
    <n v="1"/>
    <n v="20275.395"/>
    <n v="7096.39"/>
    <d v="2024-06-02T00:00:00"/>
    <x v="6"/>
    <x v="0"/>
    <d v="2024-06-09T00:00:00"/>
    <n v="7"/>
    <x v="0"/>
  </r>
  <r>
    <x v="1084"/>
    <s v="Bed"/>
    <x v="1"/>
    <x v="1"/>
    <x v="1"/>
    <x v="1"/>
    <s v="Jaipur"/>
    <n v="37828.78"/>
    <n v="0"/>
    <n v="37828.78"/>
    <n v="3"/>
    <n v="113486.34"/>
    <n v="39720.22"/>
    <d v="2024-05-09T00:00:00"/>
    <x v="3"/>
    <x v="0"/>
    <d v="2024-05-15T00:00:00"/>
    <n v="6"/>
    <x v="1"/>
  </r>
  <r>
    <x v="1085"/>
    <s v="Dining Table"/>
    <x v="1"/>
    <x v="4"/>
    <x v="1"/>
    <x v="3"/>
    <s v="Ahmedabad"/>
    <n v="32546.99"/>
    <n v="0.25"/>
    <n v="24410.2425"/>
    <n v="5"/>
    <n v="122051.21249999999"/>
    <n v="42717.919999999998"/>
    <d v="2024-05-06T00:00:00"/>
    <x v="3"/>
    <x v="0"/>
    <d v="2024-05-15T00:00:00"/>
    <n v="9"/>
    <x v="1"/>
  </r>
  <r>
    <x v="1086"/>
    <s v="Dining Table"/>
    <x v="1"/>
    <x v="18"/>
    <x v="2"/>
    <x v="0"/>
    <s v="Chennai"/>
    <n v="21463.48"/>
    <n v="0.25"/>
    <n v="16097.61"/>
    <n v="2"/>
    <n v="32195.22"/>
    <n v="4829.28"/>
    <d v="2025-01-17T00:00:00"/>
    <x v="5"/>
    <x v="1"/>
    <d v="2025-01-21T00:00:00"/>
    <n v="4"/>
    <x v="2"/>
  </r>
  <r>
    <x v="1087"/>
    <s v="Refrigerator"/>
    <x v="4"/>
    <x v="8"/>
    <x v="2"/>
    <x v="0"/>
    <s v="Hyderabad"/>
    <n v="20792.11"/>
    <n v="0.25"/>
    <n v="15594.0825"/>
    <n v="4"/>
    <n v="62376.33"/>
    <n v="9356.4500000000007"/>
    <d v="2024-03-06T00:00:00"/>
    <x v="1"/>
    <x v="0"/>
    <d v="2024-03-11T00:00:00"/>
    <n v="5"/>
    <x v="1"/>
  </r>
  <r>
    <x v="1088"/>
    <s v="Headphones"/>
    <x v="2"/>
    <x v="17"/>
    <x v="0"/>
    <x v="1"/>
    <s v="Delhi"/>
    <n v="2168.63"/>
    <n v="0.25"/>
    <n v="1626.4725000000001"/>
    <n v="1"/>
    <n v="1626.4725000000001"/>
    <n v="406.62"/>
    <d v="2024-08-17T00:00:00"/>
    <x v="0"/>
    <x v="0"/>
    <d v="2024-08-25T00:00:00"/>
    <n v="8"/>
    <x v="0"/>
  </r>
  <r>
    <x v="1089"/>
    <s v="Formal Shoes"/>
    <x v="0"/>
    <x v="11"/>
    <x v="1"/>
    <x v="1"/>
    <s v="Lucknow"/>
    <n v="4524.0200000000004"/>
    <n v="0.3"/>
    <n v="3166.8139999999999"/>
    <n v="2"/>
    <n v="6333.6279999999997"/>
    <n v="2216.77"/>
    <d v="2025-04-24T00:00:00"/>
    <x v="11"/>
    <x v="1"/>
    <d v="2025-04-26T00:00:00"/>
    <n v="2"/>
    <x v="1"/>
  </r>
  <r>
    <x v="1090"/>
    <s v="Headphones"/>
    <x v="2"/>
    <x v="17"/>
    <x v="0"/>
    <x v="1"/>
    <s v="Jaipur"/>
    <n v="2066.04"/>
    <n v="0.2"/>
    <n v="1652.8320000000001"/>
    <n v="3"/>
    <n v="4958.4960000000001"/>
    <n v="1239.6199999999999"/>
    <d v="2024-08-05T00:00:00"/>
    <x v="0"/>
    <x v="0"/>
    <d v="2024-08-12T00:00:00"/>
    <n v="7"/>
    <x v="0"/>
  </r>
  <r>
    <x v="1091"/>
    <s v="Headphones"/>
    <x v="2"/>
    <x v="17"/>
    <x v="0"/>
    <x v="3"/>
    <s v="Pune"/>
    <n v="2061.41"/>
    <n v="0.15"/>
    <n v="1752.1985"/>
    <n v="5"/>
    <n v="8760.9925000000003"/>
    <n v="2190.25"/>
    <d v="2024-04-03T00:00:00"/>
    <x v="11"/>
    <x v="0"/>
    <d v="2024-04-06T00:00:00"/>
    <n v="3"/>
    <x v="1"/>
  </r>
  <r>
    <x v="1092"/>
    <s v="Microwave"/>
    <x v="4"/>
    <x v="12"/>
    <x v="0"/>
    <x v="2"/>
    <s v="Patna"/>
    <n v="7958.01"/>
    <n v="0.2"/>
    <n v="6366.4080000000004"/>
    <n v="4"/>
    <n v="25465.632000000001"/>
    <n v="6366.41"/>
    <d v="2025-07-08T00:00:00"/>
    <x v="2"/>
    <x v="1"/>
    <d v="2025-07-14T00:00:00"/>
    <n v="6"/>
    <x v="0"/>
  </r>
  <r>
    <x v="1093"/>
    <s v="Sofa Set"/>
    <x v="1"/>
    <x v="1"/>
    <x v="1"/>
    <x v="0"/>
    <s v="Chennai"/>
    <n v="39685.480000000003"/>
    <n v="0.05"/>
    <n v="37701.205999999998"/>
    <n v="5"/>
    <n v="188506.03"/>
    <n v="65977.11"/>
    <d v="2025-02-20T00:00:00"/>
    <x v="7"/>
    <x v="1"/>
    <d v="2025-02-25T00:00:00"/>
    <n v="5"/>
    <x v="1"/>
  </r>
  <r>
    <x v="1094"/>
    <s v="Washing Machine"/>
    <x v="4"/>
    <x v="10"/>
    <x v="1"/>
    <x v="1"/>
    <s v="Lucknow"/>
    <n v="22134.87"/>
    <n v="0"/>
    <n v="22134.87"/>
    <n v="4"/>
    <n v="88539.48"/>
    <n v="30988.82"/>
    <d v="2025-03-01T00:00:00"/>
    <x v="1"/>
    <x v="1"/>
    <d v="2025-03-04T00:00:00"/>
    <n v="3"/>
    <x v="1"/>
  </r>
  <r>
    <x v="1095"/>
    <s v="Smartphone"/>
    <x v="2"/>
    <x v="17"/>
    <x v="0"/>
    <x v="3"/>
    <s v="Pune"/>
    <n v="15877.32"/>
    <n v="0"/>
    <n v="15877.32"/>
    <n v="4"/>
    <n v="63509.279999999999"/>
    <n v="15877.32"/>
    <d v="2025-05-26T00:00:00"/>
    <x v="3"/>
    <x v="1"/>
    <d v="2025-05-28T00:00:00"/>
    <n v="2"/>
    <x v="1"/>
  </r>
  <r>
    <x v="1096"/>
    <s v="Washing Machine"/>
    <x v="4"/>
    <x v="8"/>
    <x v="2"/>
    <x v="3"/>
    <s v="Pune"/>
    <n v="15935.55"/>
    <n v="0.15"/>
    <n v="13545.217500000001"/>
    <n v="1"/>
    <n v="13545.217500000001"/>
    <n v="2031.78"/>
    <d v="2024-05-21T00:00:00"/>
    <x v="3"/>
    <x v="0"/>
    <d v="2024-05-24T00:00:00"/>
    <n v="3"/>
    <x v="1"/>
  </r>
  <r>
    <x v="1097"/>
    <s v="Smartphone"/>
    <x v="2"/>
    <x v="20"/>
    <x v="2"/>
    <x v="3"/>
    <s v="Ahmedabad"/>
    <n v="14143.54"/>
    <n v="0.1"/>
    <n v="12729.186"/>
    <n v="3"/>
    <n v="38187.557999999997"/>
    <n v="5728.13"/>
    <d v="2025-06-27T00:00:00"/>
    <x v="6"/>
    <x v="1"/>
    <d v="2025-07-02T00:00:00"/>
    <n v="5"/>
    <x v="0"/>
  </r>
  <r>
    <x v="1098"/>
    <s v="Laptop"/>
    <x v="2"/>
    <x v="21"/>
    <x v="2"/>
    <x v="2"/>
    <s v="Bhubaneswar"/>
    <n v="41092.699999999997"/>
    <n v="0.15"/>
    <n v="34928.794999999998"/>
    <n v="3"/>
    <n v="104786.38499999999"/>
    <n v="15717.96"/>
    <d v="2024-10-03T00:00:00"/>
    <x v="10"/>
    <x v="0"/>
    <d v="2024-10-06T00:00:00"/>
    <n v="3"/>
    <x v="2"/>
  </r>
  <r>
    <x v="1099"/>
    <s v="T-Shirt"/>
    <x v="3"/>
    <x v="5"/>
    <x v="2"/>
    <x v="2"/>
    <s v="Patna"/>
    <n v="636.46"/>
    <n v="0.15"/>
    <n v="540.99099999999999"/>
    <n v="6"/>
    <n v="3245.9459999999999"/>
    <n v="243.45"/>
    <d v="2024-12-16T00:00:00"/>
    <x v="8"/>
    <x v="0"/>
    <d v="2024-12-21T00:00:00"/>
    <n v="5"/>
    <x v="2"/>
  </r>
  <r>
    <x v="1100"/>
    <s v="Washing Machine"/>
    <x v="4"/>
    <x v="12"/>
    <x v="0"/>
    <x v="1"/>
    <s v="Delhi"/>
    <n v="18382.73"/>
    <n v="0.05"/>
    <n v="17463.593499999999"/>
    <n v="1"/>
    <n v="17463.593499999999"/>
    <n v="4365.8999999999996"/>
    <d v="2025-06-08T00:00:00"/>
    <x v="6"/>
    <x v="1"/>
    <d v="2025-06-15T00:00:00"/>
    <n v="7"/>
    <x v="0"/>
  </r>
  <r>
    <x v="1101"/>
    <s v="Dining Table"/>
    <x v="1"/>
    <x v="7"/>
    <x v="0"/>
    <x v="0"/>
    <s v="Chennai"/>
    <n v="24380.04"/>
    <n v="0.05"/>
    <n v="23161.038"/>
    <n v="1"/>
    <n v="23161.038"/>
    <n v="5790.26"/>
    <d v="2024-10-31T00:00:00"/>
    <x v="10"/>
    <x v="0"/>
    <d v="2024-11-05T00:00:00"/>
    <n v="5"/>
    <x v="2"/>
  </r>
  <r>
    <x v="1102"/>
    <s v="Jacket"/>
    <x v="3"/>
    <x v="16"/>
    <x v="2"/>
    <x v="2"/>
    <s v="Patna"/>
    <n v="2381.81"/>
    <n v="0.25"/>
    <n v="1786.3575000000001"/>
    <n v="3"/>
    <n v="5359.0725000000002"/>
    <n v="803.86"/>
    <d v="2024-06-06T00:00:00"/>
    <x v="6"/>
    <x v="0"/>
    <d v="2024-06-08T00:00:00"/>
    <n v="2"/>
    <x v="0"/>
  </r>
  <r>
    <x v="1103"/>
    <s v="Laptop"/>
    <x v="2"/>
    <x v="2"/>
    <x v="1"/>
    <x v="0"/>
    <s v="Chennai"/>
    <n v="56217.39"/>
    <n v="0.1"/>
    <n v="50595.650999999998"/>
    <n v="1"/>
    <n v="50595.650999999998"/>
    <n v="17708.48"/>
    <d v="2024-09-26T00:00:00"/>
    <x v="4"/>
    <x v="0"/>
    <d v="2024-10-05T00:00:00"/>
    <n v="9"/>
    <x v="0"/>
  </r>
  <r>
    <x v="1104"/>
    <s v="Smartphone"/>
    <x v="2"/>
    <x v="2"/>
    <x v="1"/>
    <x v="3"/>
    <s v="Mumbai"/>
    <n v="18721.5"/>
    <n v="0.25"/>
    <n v="14041.125"/>
    <n v="1"/>
    <n v="14041.125"/>
    <n v="4914.3900000000003"/>
    <d v="2024-10-17T00:00:00"/>
    <x v="10"/>
    <x v="0"/>
    <d v="2024-10-22T00:00:00"/>
    <n v="5"/>
    <x v="2"/>
  </r>
  <r>
    <x v="1105"/>
    <s v="Microwave"/>
    <x v="4"/>
    <x v="12"/>
    <x v="0"/>
    <x v="1"/>
    <s v="Delhi"/>
    <n v="8607.89"/>
    <n v="0.3"/>
    <n v="6025.5229999999992"/>
    <n v="1"/>
    <n v="6025.5229999999992"/>
    <n v="1506.38"/>
    <d v="2024-10-30T00:00:00"/>
    <x v="10"/>
    <x v="0"/>
    <d v="2024-11-01T00:00:00"/>
    <n v="2"/>
    <x v="2"/>
  </r>
  <r>
    <x v="1106"/>
    <s v="Smartphone"/>
    <x v="2"/>
    <x v="20"/>
    <x v="2"/>
    <x v="1"/>
    <s v="Delhi"/>
    <n v="13445.68"/>
    <n v="0"/>
    <n v="13445.68"/>
    <n v="1"/>
    <n v="13445.68"/>
    <n v="2016.85"/>
    <d v="2025-05-04T00:00:00"/>
    <x v="3"/>
    <x v="1"/>
    <d v="2025-05-11T00:00:00"/>
    <n v="7"/>
    <x v="1"/>
  </r>
  <r>
    <x v="1107"/>
    <s v="Washing Machine"/>
    <x v="4"/>
    <x v="2"/>
    <x v="1"/>
    <x v="2"/>
    <s v="Patna"/>
    <n v="20829.37"/>
    <n v="0.1"/>
    <n v="18746.433000000001"/>
    <n v="5"/>
    <n v="93732.165000000008"/>
    <n v="32806.26"/>
    <d v="2024-01-19T00:00:00"/>
    <x v="5"/>
    <x v="0"/>
    <d v="2024-01-28T00:00:00"/>
    <n v="9"/>
    <x v="2"/>
  </r>
  <r>
    <x v="1108"/>
    <s v="Jeans"/>
    <x v="3"/>
    <x v="9"/>
    <x v="1"/>
    <x v="3"/>
    <s v="Mumbai"/>
    <n v="1851.03"/>
    <n v="0.15"/>
    <n v="1573.3755000000001"/>
    <n v="5"/>
    <n v="7866.8775000000005"/>
    <n v="2753.41"/>
    <d v="2025-05-11T00:00:00"/>
    <x v="3"/>
    <x v="1"/>
    <d v="2025-05-20T00:00:00"/>
    <n v="9"/>
    <x v="1"/>
  </r>
  <r>
    <x v="1109"/>
    <s v="Sofa Set"/>
    <x v="1"/>
    <x v="1"/>
    <x v="1"/>
    <x v="0"/>
    <s v="Hyderabad"/>
    <n v="39672.26"/>
    <n v="0.15"/>
    <n v="33721.421000000002"/>
    <n v="3"/>
    <n v="101164.26300000001"/>
    <n v="35407.49"/>
    <d v="2024-10-05T00:00:00"/>
    <x v="10"/>
    <x v="0"/>
    <d v="2024-10-09T00:00:00"/>
    <n v="4"/>
    <x v="2"/>
  </r>
  <r>
    <x v="1110"/>
    <s v="Jacket"/>
    <x v="3"/>
    <x v="13"/>
    <x v="1"/>
    <x v="0"/>
    <s v="Chennai"/>
    <n v="3381.89"/>
    <n v="0.15"/>
    <n v="2874.6064999999999"/>
    <n v="3"/>
    <n v="8623.8194999999996"/>
    <n v="3018.34"/>
    <d v="2025-04-04T00:00:00"/>
    <x v="11"/>
    <x v="1"/>
    <d v="2025-04-09T00:00:00"/>
    <n v="5"/>
    <x v="1"/>
  </r>
  <r>
    <x v="1111"/>
    <s v="Washing Machine"/>
    <x v="4"/>
    <x v="8"/>
    <x v="2"/>
    <x v="2"/>
    <s v="Kolkata"/>
    <n v="13972.89"/>
    <n v="0.3"/>
    <n v="9781.0229999999992"/>
    <n v="3"/>
    <n v="29343.068999999996"/>
    <n v="4401.46"/>
    <d v="2024-11-18T00:00:00"/>
    <x v="9"/>
    <x v="0"/>
    <d v="2024-11-27T00:00:00"/>
    <n v="9"/>
    <x v="2"/>
  </r>
  <r>
    <x v="1112"/>
    <s v="Bed"/>
    <x v="1"/>
    <x v="7"/>
    <x v="0"/>
    <x v="0"/>
    <s v="Bengaluru"/>
    <n v="30469.040000000001"/>
    <n v="0.2"/>
    <n v="24375.232"/>
    <n v="1"/>
    <n v="24375.232"/>
    <n v="6093.81"/>
    <d v="2024-09-23T00:00:00"/>
    <x v="4"/>
    <x v="0"/>
    <d v="2024-09-28T00:00:00"/>
    <n v="5"/>
    <x v="0"/>
  </r>
  <r>
    <x v="1113"/>
    <s v="Dining Table"/>
    <x v="1"/>
    <x v="7"/>
    <x v="0"/>
    <x v="0"/>
    <s v="Hyderabad"/>
    <n v="23837.13"/>
    <n v="0.2"/>
    <n v="19069.704000000002"/>
    <n v="5"/>
    <n v="95348.52"/>
    <n v="23837.13"/>
    <d v="2024-11-02T00:00:00"/>
    <x v="9"/>
    <x v="0"/>
    <d v="2024-11-11T00:00:00"/>
    <n v="9"/>
    <x v="2"/>
  </r>
  <r>
    <x v="1114"/>
    <s v="Smartphone"/>
    <x v="2"/>
    <x v="21"/>
    <x v="2"/>
    <x v="0"/>
    <s v="Hyderabad"/>
    <n v="11912.68"/>
    <n v="0"/>
    <n v="11912.68"/>
    <n v="3"/>
    <n v="35738.04"/>
    <n v="5360.71"/>
    <d v="2024-12-17T00:00:00"/>
    <x v="8"/>
    <x v="0"/>
    <d v="2024-12-22T00:00:00"/>
    <n v="5"/>
    <x v="2"/>
  </r>
  <r>
    <x v="1115"/>
    <s v="Headphones"/>
    <x v="2"/>
    <x v="17"/>
    <x v="0"/>
    <x v="2"/>
    <s v="Patna"/>
    <n v="1954.68"/>
    <n v="0.1"/>
    <n v="1759.212"/>
    <n v="5"/>
    <n v="8796.06"/>
    <n v="2199.0100000000002"/>
    <d v="2024-09-05T00:00:00"/>
    <x v="4"/>
    <x v="0"/>
    <d v="2024-09-08T00:00:00"/>
    <n v="3"/>
    <x v="0"/>
  </r>
  <r>
    <x v="1116"/>
    <s v="Laptop"/>
    <x v="2"/>
    <x v="17"/>
    <x v="0"/>
    <x v="2"/>
    <s v="Patna"/>
    <n v="48996.75"/>
    <n v="0.2"/>
    <n v="39197.4"/>
    <n v="4"/>
    <n v="156789.6"/>
    <n v="39197.4"/>
    <d v="2024-02-16T00:00:00"/>
    <x v="7"/>
    <x v="0"/>
    <d v="2024-02-19T00:00:00"/>
    <n v="3"/>
    <x v="1"/>
  </r>
  <r>
    <x v="1117"/>
    <s v="T-Shirt"/>
    <x v="3"/>
    <x v="15"/>
    <x v="1"/>
    <x v="3"/>
    <s v="Pune"/>
    <n v="1002.94"/>
    <n v="0.2"/>
    <n v="802.35200000000009"/>
    <n v="1"/>
    <n v="802.35200000000009"/>
    <n v="280.82"/>
    <d v="2025-06-12T00:00:00"/>
    <x v="6"/>
    <x v="1"/>
    <d v="2025-06-16T00:00:00"/>
    <n v="4"/>
    <x v="0"/>
  </r>
  <r>
    <x v="1118"/>
    <s v="Headphones"/>
    <x v="2"/>
    <x v="20"/>
    <x v="2"/>
    <x v="3"/>
    <s v="Ahmedabad"/>
    <n v="1752.61"/>
    <n v="0.3"/>
    <n v="1226.827"/>
    <n v="5"/>
    <n v="6134.1350000000002"/>
    <n v="920.12"/>
    <d v="2024-08-01T00:00:00"/>
    <x v="0"/>
    <x v="0"/>
    <d v="2024-08-05T00:00:00"/>
    <n v="4"/>
    <x v="0"/>
  </r>
  <r>
    <x v="1119"/>
    <s v="Coffee Table"/>
    <x v="1"/>
    <x v="4"/>
    <x v="1"/>
    <x v="1"/>
    <s v="Delhi"/>
    <n v="10169.02"/>
    <n v="0.1"/>
    <n v="9152.1180000000004"/>
    <n v="5"/>
    <n v="45760.590000000004"/>
    <n v="16016.21"/>
    <d v="2024-09-22T00:00:00"/>
    <x v="4"/>
    <x v="0"/>
    <d v="2024-09-29T00:00:00"/>
    <n v="7"/>
    <x v="0"/>
  </r>
  <r>
    <x v="1120"/>
    <s v="T-Shirt"/>
    <x v="3"/>
    <x v="16"/>
    <x v="2"/>
    <x v="0"/>
    <s v="Bengaluru"/>
    <n v="661.89"/>
    <n v="0.2"/>
    <n v="529.51200000000006"/>
    <n v="4"/>
    <n v="2118.0480000000002"/>
    <n v="238.28"/>
    <d v="2024-12-21T00:00:00"/>
    <x v="8"/>
    <x v="0"/>
    <d v="2024-12-29T00:00:00"/>
    <n v="8"/>
    <x v="2"/>
  </r>
  <r>
    <x v="1121"/>
    <s v="Smartphone"/>
    <x v="2"/>
    <x v="2"/>
    <x v="1"/>
    <x v="1"/>
    <s v="Delhi"/>
    <n v="18953.05"/>
    <n v="0.1"/>
    <n v="17057.744999999999"/>
    <n v="4"/>
    <n v="68230.98"/>
    <n v="23880.84"/>
    <d v="2024-11-25T00:00:00"/>
    <x v="9"/>
    <x v="0"/>
    <d v="2024-12-03T00:00:00"/>
    <n v="8"/>
    <x v="2"/>
  </r>
  <r>
    <x v="1122"/>
    <s v="Smartphone"/>
    <x v="2"/>
    <x v="2"/>
    <x v="1"/>
    <x v="1"/>
    <s v="Delhi"/>
    <n v="19058.490000000002"/>
    <n v="0.15"/>
    <n v="16199.7165"/>
    <n v="4"/>
    <n v="64798.866000000002"/>
    <n v="22679.599999999999"/>
    <d v="2024-06-04T00:00:00"/>
    <x v="6"/>
    <x v="0"/>
    <d v="2024-06-06T00:00:00"/>
    <n v="2"/>
    <x v="0"/>
  </r>
  <r>
    <x v="1123"/>
    <s v="Jacket"/>
    <x v="3"/>
    <x v="15"/>
    <x v="1"/>
    <x v="1"/>
    <s v="Delhi"/>
    <n v="3577.78"/>
    <n v="0.05"/>
    <n v="3398.8910000000001"/>
    <n v="5"/>
    <n v="16994.455000000002"/>
    <n v="1189.6099999999999"/>
    <d v="2024-11-12T00:00:00"/>
    <x v="9"/>
    <x v="0"/>
    <d v="2024-11-19T00:00:00"/>
    <n v="7"/>
    <x v="2"/>
  </r>
  <r>
    <x v="1124"/>
    <s v="Microwave"/>
    <x v="4"/>
    <x v="8"/>
    <x v="2"/>
    <x v="1"/>
    <s v="Lucknow"/>
    <n v="6782.28"/>
    <n v="0.05"/>
    <n v="6443.1659999999993"/>
    <n v="5"/>
    <n v="32215.829999999994"/>
    <n v="4832.37"/>
    <d v="2024-06-28T00:00:00"/>
    <x v="6"/>
    <x v="0"/>
    <d v="2024-07-07T00:00:00"/>
    <n v="9"/>
    <x v="0"/>
  </r>
  <r>
    <x v="1125"/>
    <s v="T-Shirt"/>
    <x v="3"/>
    <x v="15"/>
    <x v="1"/>
    <x v="0"/>
    <s v="Bengaluru"/>
    <n v="980.52"/>
    <n v="0"/>
    <n v="980.52"/>
    <n v="3"/>
    <n v="2941.56"/>
    <n v="1029.55"/>
    <d v="2024-07-07T00:00:00"/>
    <x v="2"/>
    <x v="0"/>
    <d v="2024-07-09T00:00:00"/>
    <n v="2"/>
    <x v="0"/>
  </r>
  <r>
    <x v="1126"/>
    <s v="T-Shirt"/>
    <x v="3"/>
    <x v="13"/>
    <x v="1"/>
    <x v="0"/>
    <s v="Hyderabad"/>
    <n v="934.48"/>
    <n v="0"/>
    <n v="934.48"/>
    <n v="4"/>
    <n v="3737.92"/>
    <n v="981.2"/>
    <d v="2024-10-28T00:00:00"/>
    <x v="10"/>
    <x v="0"/>
    <d v="2024-10-30T00:00:00"/>
    <n v="2"/>
    <x v="2"/>
  </r>
  <r>
    <x v="1127"/>
    <s v="Jacket"/>
    <x v="3"/>
    <x v="16"/>
    <x v="2"/>
    <x v="1"/>
    <s v="Delhi"/>
    <n v="2546.87"/>
    <n v="0.2"/>
    <n v="2037.4960000000001"/>
    <n v="8"/>
    <n v="16299.968000000001"/>
    <n v="305.62"/>
    <d v="2024-11-01T00:00:00"/>
    <x v="9"/>
    <x v="0"/>
    <d v="2024-11-10T00:00:00"/>
    <n v="9"/>
    <x v="2"/>
  </r>
  <r>
    <x v="1128"/>
    <s v="Coffee Table"/>
    <x v="1"/>
    <x v="1"/>
    <x v="1"/>
    <x v="2"/>
    <s v="Patna"/>
    <n v="9213.06"/>
    <n v="0.2"/>
    <n v="7370.4480000000003"/>
    <n v="1"/>
    <n v="7370.4480000000003"/>
    <n v="2579.66"/>
    <d v="2024-02-14T00:00:00"/>
    <x v="7"/>
    <x v="0"/>
    <d v="2024-02-20T00:00:00"/>
    <n v="6"/>
    <x v="1"/>
  </r>
  <r>
    <x v="1129"/>
    <s v="Smartphone"/>
    <x v="2"/>
    <x v="21"/>
    <x v="2"/>
    <x v="0"/>
    <s v="Chennai"/>
    <n v="12299.52"/>
    <n v="0.1"/>
    <n v="11069.567999999999"/>
    <n v="5"/>
    <n v="55347.839999999997"/>
    <n v="8302.18"/>
    <d v="2024-05-31T00:00:00"/>
    <x v="3"/>
    <x v="0"/>
    <d v="2024-06-09T00:00:00"/>
    <n v="9"/>
    <x v="1"/>
  </r>
  <r>
    <x v="1130"/>
    <s v="Refrigerator"/>
    <x v="4"/>
    <x v="2"/>
    <x v="1"/>
    <x v="1"/>
    <s v="Jaipur"/>
    <n v="31393.23"/>
    <n v="0.3"/>
    <n v="21975.260999999999"/>
    <n v="2"/>
    <n v="43950.521999999997"/>
    <n v="15382.68"/>
    <d v="2024-05-22T00:00:00"/>
    <x v="3"/>
    <x v="0"/>
    <d v="2024-05-29T00:00:00"/>
    <n v="7"/>
    <x v="1"/>
  </r>
  <r>
    <x v="1131"/>
    <s v="T-Shirt"/>
    <x v="3"/>
    <x v="16"/>
    <x v="2"/>
    <x v="3"/>
    <s v="Mumbai"/>
    <n v="699.6"/>
    <n v="0.15"/>
    <n v="594.66"/>
    <n v="5"/>
    <n v="2973.2999999999997"/>
    <n v="267.60000000000002"/>
    <d v="2025-01-26T00:00:00"/>
    <x v="5"/>
    <x v="1"/>
    <d v="2025-02-03T00:00:00"/>
    <n v="8"/>
    <x v="2"/>
  </r>
  <r>
    <x v="1132"/>
    <s v="Washing Machine"/>
    <x v="4"/>
    <x v="10"/>
    <x v="1"/>
    <x v="1"/>
    <s v="Lucknow"/>
    <n v="22125.599999999999"/>
    <n v="0.3"/>
    <n v="15487.92"/>
    <n v="1"/>
    <n v="15487.92"/>
    <n v="5420.77"/>
    <d v="2025-06-09T00:00:00"/>
    <x v="6"/>
    <x v="1"/>
    <d v="2025-06-15T00:00:00"/>
    <n v="6"/>
    <x v="0"/>
  </r>
  <r>
    <x v="1133"/>
    <s v="Microwave"/>
    <x v="4"/>
    <x v="10"/>
    <x v="1"/>
    <x v="1"/>
    <s v="Jaipur"/>
    <n v="9957.09"/>
    <n v="0"/>
    <n v="9957.09"/>
    <n v="1"/>
    <n v="9957.09"/>
    <n v="3484.98"/>
    <d v="2024-03-27T00:00:00"/>
    <x v="1"/>
    <x v="0"/>
    <d v="2024-03-29T00:00:00"/>
    <n v="2"/>
    <x v="1"/>
  </r>
  <r>
    <x v="1134"/>
    <s v="Washing Machine"/>
    <x v="4"/>
    <x v="12"/>
    <x v="0"/>
    <x v="0"/>
    <s v="Bengaluru"/>
    <n v="18316.259999999998"/>
    <n v="0.1"/>
    <n v="16484.633999999998"/>
    <n v="5"/>
    <n v="82423.169999999984"/>
    <n v="20605.79"/>
    <d v="2024-01-18T00:00:00"/>
    <x v="5"/>
    <x v="0"/>
    <d v="2024-01-26T00:00:00"/>
    <n v="8"/>
    <x v="2"/>
  </r>
  <r>
    <x v="1135"/>
    <s v="T-Shirt"/>
    <x v="3"/>
    <x v="5"/>
    <x v="2"/>
    <x v="0"/>
    <s v="Chennai"/>
    <n v="661.85"/>
    <n v="0"/>
    <n v="661.85"/>
    <n v="5"/>
    <n v="3309.25"/>
    <n v="496.39"/>
    <d v="2025-07-04T00:00:00"/>
    <x v="2"/>
    <x v="1"/>
    <d v="2025-07-07T00:00:00"/>
    <n v="3"/>
    <x v="0"/>
  </r>
  <r>
    <x v="1136"/>
    <s v="Dining Table"/>
    <x v="1"/>
    <x v="7"/>
    <x v="0"/>
    <x v="2"/>
    <s v="Kolkata"/>
    <n v="23471.75"/>
    <n v="0.25"/>
    <n v="17603.8125"/>
    <n v="4"/>
    <n v="70415.25"/>
    <n v="17603.810000000001"/>
    <d v="2025-04-19T00:00:00"/>
    <x v="11"/>
    <x v="1"/>
    <d v="2025-04-24T00:00:00"/>
    <n v="5"/>
    <x v="1"/>
  </r>
  <r>
    <x v="1137"/>
    <s v="Jacket"/>
    <x v="3"/>
    <x v="19"/>
    <x v="0"/>
    <x v="3"/>
    <s v="Pune"/>
    <n v="3250.91"/>
    <n v="0.05"/>
    <n v="3088.3645000000001"/>
    <n v="3"/>
    <n v="9265.0935000000009"/>
    <n v="2316.27"/>
    <d v="2025-01-02T00:00:00"/>
    <x v="5"/>
    <x v="1"/>
    <d v="2025-01-04T00:00:00"/>
    <n v="2"/>
    <x v="2"/>
  </r>
  <r>
    <x v="1138"/>
    <s v="Microwave"/>
    <x v="4"/>
    <x v="12"/>
    <x v="0"/>
    <x v="0"/>
    <s v="Bengaluru"/>
    <n v="7626.39"/>
    <n v="0.1"/>
    <n v="6863.7510000000002"/>
    <n v="2"/>
    <n v="13727.502"/>
    <n v="3431.88"/>
    <d v="2024-02-19T00:00:00"/>
    <x v="7"/>
    <x v="0"/>
    <d v="2024-02-22T00:00:00"/>
    <n v="3"/>
    <x v="1"/>
  </r>
  <r>
    <x v="1139"/>
    <s v="Laptop"/>
    <x v="2"/>
    <x v="2"/>
    <x v="1"/>
    <x v="1"/>
    <s v="Delhi"/>
    <n v="63806.71"/>
    <n v="0.05"/>
    <n v="60616.374499999998"/>
    <n v="1"/>
    <n v="60616.374499999998"/>
    <n v="21215.73"/>
    <d v="2024-05-31T00:00:00"/>
    <x v="3"/>
    <x v="0"/>
    <d v="2024-06-06T00:00:00"/>
    <n v="6"/>
    <x v="1"/>
  </r>
  <r>
    <x v="1140"/>
    <s v="Bed"/>
    <x v="1"/>
    <x v="18"/>
    <x v="2"/>
    <x v="2"/>
    <s v="Patna"/>
    <n v="24547.26"/>
    <n v="0.3"/>
    <n v="17183.081999999999"/>
    <n v="2"/>
    <n v="34366.163999999997"/>
    <n v="5154.92"/>
    <d v="2024-02-14T00:00:00"/>
    <x v="7"/>
    <x v="0"/>
    <d v="2024-02-21T00:00:00"/>
    <n v="7"/>
    <x v="1"/>
  </r>
  <r>
    <x v="1141"/>
    <s v="Sneakers"/>
    <x v="0"/>
    <x v="11"/>
    <x v="1"/>
    <x v="1"/>
    <s v="Delhi"/>
    <n v="3141.77"/>
    <n v="0.05"/>
    <n v="2984.6815000000001"/>
    <n v="4"/>
    <n v="11938.726000000001"/>
    <n v="4178.5600000000004"/>
    <d v="2024-02-21T00:00:00"/>
    <x v="7"/>
    <x v="0"/>
    <d v="2024-03-02T00:00:00"/>
    <n v="10"/>
    <x v="1"/>
  </r>
  <r>
    <x v="1142"/>
    <s v="Jacket"/>
    <x v="3"/>
    <x v="5"/>
    <x v="2"/>
    <x v="1"/>
    <s v="Lucknow"/>
    <n v="2782.19"/>
    <n v="0"/>
    <n v="2782.19"/>
    <n v="5"/>
    <n v="13910.95"/>
    <n v="2086.64"/>
    <d v="2025-02-08T00:00:00"/>
    <x v="7"/>
    <x v="1"/>
    <d v="2025-02-13T00:00:00"/>
    <n v="5"/>
    <x v="1"/>
  </r>
  <r>
    <x v="1143"/>
    <s v="Jacket"/>
    <x v="3"/>
    <x v="16"/>
    <x v="2"/>
    <x v="2"/>
    <s v="Kolkata"/>
    <n v="2512.7800000000002"/>
    <n v="0.15"/>
    <n v="2135.8629999999998"/>
    <n v="2"/>
    <n v="4271.7259999999997"/>
    <n v="640.76"/>
    <d v="2025-03-15T00:00:00"/>
    <x v="1"/>
    <x v="1"/>
    <d v="2025-03-24T00:00:00"/>
    <n v="9"/>
    <x v="1"/>
  </r>
  <r>
    <x v="1144"/>
    <s v="Laptop"/>
    <x v="2"/>
    <x v="21"/>
    <x v="2"/>
    <x v="2"/>
    <s v="Patna"/>
    <n v="38674.239999999998"/>
    <n v="0.25"/>
    <n v="29005.68"/>
    <n v="4"/>
    <n v="116022.72"/>
    <n v="17403.41"/>
    <d v="2024-04-15T00:00:00"/>
    <x v="11"/>
    <x v="0"/>
    <d v="2024-04-22T00:00:00"/>
    <n v="7"/>
    <x v="1"/>
  </r>
  <r>
    <x v="1145"/>
    <s v="Smartphone"/>
    <x v="2"/>
    <x v="21"/>
    <x v="2"/>
    <x v="2"/>
    <s v="Bhubaneswar"/>
    <n v="11913.2"/>
    <n v="0"/>
    <n v="11913.2"/>
    <n v="3"/>
    <n v="35739.600000000006"/>
    <n v="5360.94"/>
    <d v="2024-01-21T00:00:00"/>
    <x v="5"/>
    <x v="0"/>
    <d v="2024-01-28T00:00:00"/>
    <n v="7"/>
    <x v="2"/>
  </r>
  <r>
    <x v="1146"/>
    <s v="Laptop"/>
    <x v="2"/>
    <x v="20"/>
    <x v="2"/>
    <x v="1"/>
    <s v="Lucknow"/>
    <n v="43356.14"/>
    <n v="0.15"/>
    <n v="36852.718999999997"/>
    <n v="3"/>
    <n v="110558.15699999999"/>
    <n v="16583.72"/>
    <d v="2024-10-16T00:00:00"/>
    <x v="10"/>
    <x v="0"/>
    <d v="2024-10-19T00:00:00"/>
    <n v="3"/>
    <x v="2"/>
  </r>
  <r>
    <x v="1147"/>
    <s v="Refrigerator"/>
    <x v="4"/>
    <x v="10"/>
    <x v="1"/>
    <x v="3"/>
    <s v="Ahmedabad"/>
    <n v="33873.589999999997"/>
    <n v="0.3"/>
    <n v="23711.512999999999"/>
    <n v="3"/>
    <n v="71134.53899999999"/>
    <n v="24897.09"/>
    <d v="2024-05-27T00:00:00"/>
    <x v="3"/>
    <x v="0"/>
    <d v="2024-06-05T00:00:00"/>
    <n v="9"/>
    <x v="1"/>
  </r>
  <r>
    <x v="1148"/>
    <s v="T-Shirt"/>
    <x v="3"/>
    <x v="5"/>
    <x v="2"/>
    <x v="2"/>
    <s v="Bhubaneswar"/>
    <n v="674.09"/>
    <n v="0.2"/>
    <n v="539.27200000000005"/>
    <n v="1"/>
    <n v="539.27200000000005"/>
    <n v="80.89"/>
    <d v="2025-01-01T00:00:00"/>
    <x v="5"/>
    <x v="1"/>
    <d v="2025-01-11T00:00:00"/>
    <n v="10"/>
    <x v="2"/>
  </r>
  <r>
    <x v="1149"/>
    <s v="Smartphone"/>
    <x v="2"/>
    <x v="14"/>
    <x v="1"/>
    <x v="0"/>
    <s v="Bengaluru"/>
    <n v="18276.27"/>
    <n v="0.1"/>
    <n v="16448.643"/>
    <n v="2"/>
    <n v="32897.286"/>
    <n v="11514.05"/>
    <d v="2024-09-28T00:00:00"/>
    <x v="4"/>
    <x v="0"/>
    <d v="2024-10-01T00:00:00"/>
    <n v="3"/>
    <x v="0"/>
  </r>
  <r>
    <x v="1150"/>
    <s v="Coffee Table"/>
    <x v="1"/>
    <x v="4"/>
    <x v="1"/>
    <x v="2"/>
    <s v="Kolkata"/>
    <n v="8729.69"/>
    <n v="0"/>
    <n v="8729.69"/>
    <n v="2"/>
    <n v="17459.38"/>
    <n v="6110.78"/>
    <d v="2024-04-15T00:00:00"/>
    <x v="11"/>
    <x v="0"/>
    <d v="2024-04-17T00:00:00"/>
    <n v="2"/>
    <x v="1"/>
  </r>
  <r>
    <x v="1151"/>
    <s v="T-Shirt"/>
    <x v="3"/>
    <x v="19"/>
    <x v="0"/>
    <x v="2"/>
    <s v="Patna"/>
    <n v="736.57"/>
    <n v="0.25"/>
    <n v="552.42750000000001"/>
    <n v="3"/>
    <n v="1657.2825"/>
    <n v="414.32"/>
    <d v="2024-10-01T00:00:00"/>
    <x v="10"/>
    <x v="0"/>
    <d v="2024-10-10T00:00:00"/>
    <n v="9"/>
    <x v="2"/>
  </r>
  <r>
    <x v="1152"/>
    <s v="Coffee Table"/>
    <x v="1"/>
    <x v="18"/>
    <x v="2"/>
    <x v="1"/>
    <s v="Lucknow"/>
    <n v="6751.45"/>
    <n v="0"/>
    <n v="6751.45"/>
    <n v="4"/>
    <n v="27005.8"/>
    <n v="4050.87"/>
    <d v="2025-07-19T00:00:00"/>
    <x v="2"/>
    <x v="1"/>
    <d v="2025-07-25T00:00:00"/>
    <n v="6"/>
    <x v="0"/>
  </r>
  <r>
    <x v="1153"/>
    <s v="Laptop"/>
    <x v="2"/>
    <x v="21"/>
    <x v="2"/>
    <x v="2"/>
    <s v="Patna"/>
    <n v="41412.19"/>
    <n v="0.15"/>
    <n v="35200.361499999999"/>
    <n v="4"/>
    <n v="140801.446"/>
    <n v="21120.22"/>
    <d v="2024-02-08T00:00:00"/>
    <x v="7"/>
    <x v="0"/>
    <d v="2024-02-15T00:00:00"/>
    <n v="7"/>
    <x v="1"/>
  </r>
  <r>
    <x v="1154"/>
    <s v="Smartphone"/>
    <x v="2"/>
    <x v="20"/>
    <x v="2"/>
    <x v="0"/>
    <s v="Chennai"/>
    <n v="12538.44"/>
    <n v="0.1"/>
    <n v="11284.596"/>
    <n v="4"/>
    <n v="45138.383999999998"/>
    <n v="6770.76"/>
    <d v="2024-05-13T00:00:00"/>
    <x v="3"/>
    <x v="0"/>
    <d v="2024-05-22T00:00:00"/>
    <n v="9"/>
    <x v="1"/>
  </r>
  <r>
    <x v="1155"/>
    <s v="Microwave"/>
    <x v="4"/>
    <x v="8"/>
    <x v="2"/>
    <x v="0"/>
    <s v="Bengaluru"/>
    <n v="6763.01"/>
    <n v="0.1"/>
    <n v="6086.7090000000007"/>
    <n v="1"/>
    <n v="6086.7090000000007"/>
    <n v="913.01"/>
    <d v="2024-04-02T00:00:00"/>
    <x v="11"/>
    <x v="0"/>
    <d v="2024-04-05T00:00:00"/>
    <n v="3"/>
    <x v="1"/>
  </r>
  <r>
    <x v="1156"/>
    <s v="T-Shirt"/>
    <x v="3"/>
    <x v="15"/>
    <x v="1"/>
    <x v="3"/>
    <s v="Mumbai"/>
    <n v="1023.36"/>
    <n v="0.15"/>
    <n v="869.85599999999999"/>
    <n v="3"/>
    <n v="2609.5680000000002"/>
    <n v="913.35"/>
    <d v="2024-11-05T00:00:00"/>
    <x v="9"/>
    <x v="0"/>
    <d v="2024-11-14T00:00:00"/>
    <n v="9"/>
    <x v="2"/>
  </r>
  <r>
    <x v="1157"/>
    <s v="Jeans"/>
    <x v="3"/>
    <x v="19"/>
    <x v="0"/>
    <x v="0"/>
    <s v="Chennai"/>
    <n v="1495.29"/>
    <n v="0.3"/>
    <n v="1046.703"/>
    <n v="3"/>
    <n v="3140.1089999999999"/>
    <n v="785.03"/>
    <d v="2024-09-25T00:00:00"/>
    <x v="4"/>
    <x v="0"/>
    <d v="2024-10-01T00:00:00"/>
    <n v="6"/>
    <x v="0"/>
  </r>
  <r>
    <x v="1158"/>
    <s v="Washing Machine"/>
    <x v="4"/>
    <x v="8"/>
    <x v="2"/>
    <x v="1"/>
    <s v="Lucknow"/>
    <n v="15227.88"/>
    <n v="0"/>
    <n v="15227.88"/>
    <n v="5"/>
    <n v="76139.399999999994"/>
    <n v="11420.91"/>
    <d v="2024-05-07T00:00:00"/>
    <x v="3"/>
    <x v="0"/>
    <d v="2024-05-11T00:00:00"/>
    <n v="4"/>
    <x v="1"/>
  </r>
  <r>
    <x v="1159"/>
    <s v="Laptop"/>
    <x v="2"/>
    <x v="2"/>
    <x v="1"/>
    <x v="2"/>
    <s v="Patna"/>
    <n v="59766.13"/>
    <n v="0.2"/>
    <n v="47812.904000000002"/>
    <n v="2"/>
    <n v="95625.808000000005"/>
    <n v="33469.03"/>
    <d v="2024-06-11T00:00:00"/>
    <x v="6"/>
    <x v="0"/>
    <d v="2024-06-16T00:00:00"/>
    <n v="5"/>
    <x v="0"/>
  </r>
  <r>
    <x v="1160"/>
    <s v="Sneakers"/>
    <x v="0"/>
    <x v="6"/>
    <x v="2"/>
    <x v="0"/>
    <s v="Hyderabad"/>
    <n v="2068.0700000000002"/>
    <n v="0.15"/>
    <n v="1757.8595"/>
    <n v="7"/>
    <n v="12305.0165"/>
    <n v="263.68"/>
    <d v="2024-07-21T00:00:00"/>
    <x v="2"/>
    <x v="0"/>
    <d v="2024-07-28T00:00:00"/>
    <n v="7"/>
    <x v="0"/>
  </r>
  <r>
    <x v="1161"/>
    <s v="Smartphone"/>
    <x v="2"/>
    <x v="20"/>
    <x v="2"/>
    <x v="2"/>
    <s v="Bhubaneswar"/>
    <n v="12327.23"/>
    <n v="0.3"/>
    <n v="8629.0609999999997"/>
    <n v="5"/>
    <n v="43145.305"/>
    <n v="6471.8"/>
    <d v="2024-09-13T00:00:00"/>
    <x v="4"/>
    <x v="0"/>
    <d v="2024-09-16T00:00:00"/>
    <n v="3"/>
    <x v="0"/>
  </r>
  <r>
    <x v="1162"/>
    <s v="Sneakers"/>
    <x v="0"/>
    <x v="11"/>
    <x v="1"/>
    <x v="1"/>
    <s v="Jaipur"/>
    <n v="3270.78"/>
    <n v="0"/>
    <n v="3270.78"/>
    <n v="5"/>
    <n v="16353.900000000001"/>
    <n v="3434.32"/>
    <d v="2025-07-23T00:00:00"/>
    <x v="2"/>
    <x v="1"/>
    <d v="2025-07-27T00:00:00"/>
    <n v="4"/>
    <x v="0"/>
  </r>
  <r>
    <x v="1163"/>
    <s v="Smartphone"/>
    <x v="2"/>
    <x v="14"/>
    <x v="1"/>
    <x v="2"/>
    <s v="Patna"/>
    <n v="16847.2"/>
    <n v="0.25"/>
    <n v="12635.4"/>
    <n v="3"/>
    <n v="37906.199999999997"/>
    <n v="13267.17"/>
    <d v="2024-03-02T00:00:00"/>
    <x v="1"/>
    <x v="0"/>
    <d v="2024-03-10T00:00:00"/>
    <n v="8"/>
    <x v="1"/>
  </r>
  <r>
    <x v="1164"/>
    <s v="Bed"/>
    <x v="1"/>
    <x v="7"/>
    <x v="0"/>
    <x v="1"/>
    <s v="Jaipur"/>
    <n v="31111.24"/>
    <n v="0.2"/>
    <n v="24888.991999999998"/>
    <n v="5"/>
    <n v="124444.95999999999"/>
    <n v="31111.24"/>
    <d v="2025-04-19T00:00:00"/>
    <x v="11"/>
    <x v="1"/>
    <d v="2025-04-24T00:00:00"/>
    <n v="5"/>
    <x v="1"/>
  </r>
  <r>
    <x v="1165"/>
    <s v="Sofa Set"/>
    <x v="1"/>
    <x v="7"/>
    <x v="0"/>
    <x v="0"/>
    <s v="Chennai"/>
    <n v="35070.92"/>
    <n v="0.1"/>
    <n v="31563.828000000001"/>
    <n v="3"/>
    <n v="94691.483999999997"/>
    <n v="23672.87"/>
    <d v="2025-05-23T00:00:00"/>
    <x v="3"/>
    <x v="1"/>
    <d v="2025-06-01T00:00:00"/>
    <n v="9"/>
    <x v="1"/>
  </r>
  <r>
    <x v="1166"/>
    <s v="Washing Machine"/>
    <x v="4"/>
    <x v="12"/>
    <x v="0"/>
    <x v="0"/>
    <s v="Chennai"/>
    <n v="17367.490000000002"/>
    <n v="0"/>
    <n v="17367.490000000002"/>
    <n v="3"/>
    <n v="52102.47"/>
    <n v="13025.62"/>
    <d v="2025-01-13T00:00:00"/>
    <x v="5"/>
    <x v="1"/>
    <d v="2025-01-21T00:00:00"/>
    <n v="8"/>
    <x v="2"/>
  </r>
  <r>
    <x v="1167"/>
    <s v="Smartphone"/>
    <x v="2"/>
    <x v="14"/>
    <x v="1"/>
    <x v="2"/>
    <s v="Patna"/>
    <n v="16586.05"/>
    <n v="0.2"/>
    <n v="13268.84"/>
    <n v="1"/>
    <n v="13268.84"/>
    <n v="4644.09"/>
    <d v="2025-01-18T00:00:00"/>
    <x v="5"/>
    <x v="1"/>
    <d v="2025-01-27T00:00:00"/>
    <n v="9"/>
    <x v="2"/>
  </r>
  <r>
    <x v="1168"/>
    <s v="Jeans"/>
    <x v="3"/>
    <x v="5"/>
    <x v="2"/>
    <x v="3"/>
    <s v="Ahmedabad"/>
    <n v="1311.11"/>
    <n v="0.25"/>
    <n v="983.33249999999998"/>
    <n v="3"/>
    <n v="2949.9974999999999"/>
    <n v="442.5"/>
    <d v="2024-12-23T00:00:00"/>
    <x v="8"/>
    <x v="0"/>
    <d v="2024-12-27T00:00:00"/>
    <n v="4"/>
    <x v="2"/>
  </r>
  <r>
    <x v="1169"/>
    <s v="Laptop"/>
    <x v="2"/>
    <x v="21"/>
    <x v="2"/>
    <x v="3"/>
    <s v="Mumbai"/>
    <n v="45141.04"/>
    <n v="0.15"/>
    <n v="38369.883999999998"/>
    <n v="3"/>
    <n v="115109.652"/>
    <n v="17266.45"/>
    <d v="2025-03-23T00:00:00"/>
    <x v="1"/>
    <x v="1"/>
    <d v="2025-03-28T00:00:00"/>
    <n v="5"/>
    <x v="1"/>
  </r>
  <r>
    <x v="1170"/>
    <s v="Bed"/>
    <x v="1"/>
    <x v="7"/>
    <x v="0"/>
    <x v="1"/>
    <s v="Delhi"/>
    <n v="32655.95"/>
    <n v="0.05"/>
    <n v="31023.1525"/>
    <n v="4"/>
    <n v="124092.61"/>
    <n v="31023.15"/>
    <d v="2025-04-20T00:00:00"/>
    <x v="11"/>
    <x v="1"/>
    <d v="2025-04-22T00:00:00"/>
    <n v="2"/>
    <x v="1"/>
  </r>
  <r>
    <x v="1171"/>
    <s v="Washing Machine"/>
    <x v="4"/>
    <x v="2"/>
    <x v="1"/>
    <x v="1"/>
    <s v="Delhi"/>
    <n v="23515.77"/>
    <n v="0.05"/>
    <n v="22339.981500000002"/>
    <n v="4"/>
    <n v="89359.926000000007"/>
    <n v="31275.98"/>
    <d v="2024-12-16T00:00:00"/>
    <x v="8"/>
    <x v="0"/>
    <d v="2024-12-25T00:00:00"/>
    <n v="9"/>
    <x v="2"/>
  </r>
  <r>
    <x v="1172"/>
    <s v="T-Shirt"/>
    <x v="3"/>
    <x v="15"/>
    <x v="1"/>
    <x v="0"/>
    <s v="Bengaluru"/>
    <n v="896.74"/>
    <n v="0.3"/>
    <n v="627.71799999999996"/>
    <n v="4"/>
    <n v="2510.8719999999998"/>
    <n v="878.8"/>
    <d v="2024-02-01T00:00:00"/>
    <x v="7"/>
    <x v="0"/>
    <d v="2024-02-04T00:00:00"/>
    <n v="3"/>
    <x v="1"/>
  </r>
  <r>
    <x v="1173"/>
    <s v="Microwave"/>
    <x v="4"/>
    <x v="8"/>
    <x v="2"/>
    <x v="1"/>
    <s v="Jaipur"/>
    <n v="7318.79"/>
    <n v="0.3"/>
    <n v="5123.1529999999993"/>
    <n v="3"/>
    <n v="15369.458999999999"/>
    <n v="2305.42"/>
    <d v="2025-03-24T00:00:00"/>
    <x v="1"/>
    <x v="1"/>
    <d v="2025-03-26T00:00:00"/>
    <n v="2"/>
    <x v="1"/>
  </r>
  <r>
    <x v="1174"/>
    <s v="Microwave"/>
    <x v="4"/>
    <x v="10"/>
    <x v="1"/>
    <x v="0"/>
    <s v="Hyderabad"/>
    <n v="9829.91"/>
    <n v="0.05"/>
    <n v="9338.414499999999"/>
    <n v="3"/>
    <n v="28015.243499999997"/>
    <n v="9805.33"/>
    <d v="2025-05-05T00:00:00"/>
    <x v="3"/>
    <x v="1"/>
    <d v="2025-05-08T00:00:00"/>
    <n v="3"/>
    <x v="1"/>
  </r>
  <r>
    <x v="1175"/>
    <s v="Laptop"/>
    <x v="2"/>
    <x v="21"/>
    <x v="2"/>
    <x v="3"/>
    <s v="Ahmedabad"/>
    <n v="45841.86"/>
    <n v="0.05"/>
    <n v="43549.767"/>
    <n v="2"/>
    <n v="87099.534"/>
    <n v="13064.93"/>
    <d v="2024-03-21T00:00:00"/>
    <x v="1"/>
    <x v="0"/>
    <d v="2024-03-25T00:00:00"/>
    <n v="4"/>
    <x v="1"/>
  </r>
  <r>
    <x v="1176"/>
    <s v="Coffee Table"/>
    <x v="1"/>
    <x v="4"/>
    <x v="1"/>
    <x v="3"/>
    <s v="Pune"/>
    <n v="10735.75"/>
    <n v="0"/>
    <n v="10735.75"/>
    <n v="2"/>
    <n v="21471.5"/>
    <n v="7515.02"/>
    <d v="2024-05-17T00:00:00"/>
    <x v="3"/>
    <x v="0"/>
    <d v="2024-05-24T00:00:00"/>
    <n v="7"/>
    <x v="1"/>
  </r>
  <r>
    <x v="1177"/>
    <s v="Jacket"/>
    <x v="3"/>
    <x v="9"/>
    <x v="1"/>
    <x v="3"/>
    <s v="Pune"/>
    <n v="3708.02"/>
    <n v="0"/>
    <n v="3708.02"/>
    <n v="3"/>
    <n v="11124.06"/>
    <n v="3893.42"/>
    <d v="2025-06-25T00:00:00"/>
    <x v="6"/>
    <x v="1"/>
    <d v="2025-07-03T00:00:00"/>
    <n v="8"/>
    <x v="0"/>
  </r>
  <r>
    <x v="1178"/>
    <s v="Dining Table"/>
    <x v="1"/>
    <x v="4"/>
    <x v="1"/>
    <x v="2"/>
    <s v="Bhubaneswar"/>
    <n v="28487.33"/>
    <n v="0.2"/>
    <n v="22789.864000000001"/>
    <n v="4"/>
    <n v="91159.456000000006"/>
    <n v="31905.81"/>
    <d v="2025-04-25T00:00:00"/>
    <x v="11"/>
    <x v="1"/>
    <d v="2025-05-05T00:00:00"/>
    <n v="10"/>
    <x v="1"/>
  </r>
  <r>
    <x v="1179"/>
    <s v="Jeans"/>
    <x v="3"/>
    <x v="9"/>
    <x v="1"/>
    <x v="3"/>
    <s v="Pune"/>
    <n v="2008.06"/>
    <n v="0.1"/>
    <n v="1807.2539999999999"/>
    <n v="2"/>
    <n v="3614.5079999999998"/>
    <n v="1265.08"/>
    <d v="2024-02-29T00:00:00"/>
    <x v="7"/>
    <x v="0"/>
    <d v="2024-03-10T00:00:00"/>
    <n v="10"/>
    <x v="1"/>
  </r>
  <r>
    <x v="1180"/>
    <s v="Headphones"/>
    <x v="2"/>
    <x v="20"/>
    <x v="2"/>
    <x v="1"/>
    <s v="Jaipur"/>
    <n v="1730.57"/>
    <n v="0.05"/>
    <n v="1644.0415"/>
    <n v="3"/>
    <n v="4932.1244999999999"/>
    <n v="739.82"/>
    <d v="2024-05-03T00:00:00"/>
    <x v="3"/>
    <x v="0"/>
    <d v="2024-05-13T00:00:00"/>
    <n v="10"/>
    <x v="1"/>
  </r>
  <r>
    <x v="1181"/>
    <s v="Formal Shoes"/>
    <x v="0"/>
    <x v="0"/>
    <x v="0"/>
    <x v="0"/>
    <s v="Bengaluru"/>
    <n v="3402.44"/>
    <n v="0.3"/>
    <n v="2381.7080000000001"/>
    <n v="3"/>
    <n v="7145.1239999999998"/>
    <n v="1786.28"/>
    <d v="2024-10-09T00:00:00"/>
    <x v="10"/>
    <x v="0"/>
    <d v="2024-10-18T00:00:00"/>
    <n v="9"/>
    <x v="2"/>
  </r>
  <r>
    <x v="1182"/>
    <s v="Smartphone"/>
    <x v="2"/>
    <x v="3"/>
    <x v="0"/>
    <x v="0"/>
    <s v="Hyderabad"/>
    <n v="14314.31"/>
    <n v="0.15"/>
    <n v="12167.163500000001"/>
    <n v="3"/>
    <n v="36501.4905"/>
    <n v="9125.3700000000008"/>
    <d v="2024-04-24T00:00:00"/>
    <x v="11"/>
    <x v="0"/>
    <d v="2024-05-02T00:00:00"/>
    <n v="8"/>
    <x v="1"/>
  </r>
  <r>
    <x v="1183"/>
    <s v="Sofa Set"/>
    <x v="1"/>
    <x v="18"/>
    <x v="2"/>
    <x v="3"/>
    <s v="Pune"/>
    <n v="31034.75"/>
    <n v="0.3"/>
    <n v="21724.325000000001"/>
    <n v="1"/>
    <n v="21724.325000000001"/>
    <n v="3258.65"/>
    <d v="2024-03-03T00:00:00"/>
    <x v="1"/>
    <x v="0"/>
    <d v="2024-03-07T00:00:00"/>
    <n v="4"/>
    <x v="1"/>
  </r>
  <r>
    <x v="1184"/>
    <s v="Coffee Table"/>
    <x v="1"/>
    <x v="1"/>
    <x v="1"/>
    <x v="2"/>
    <s v="Patna"/>
    <n v="9512.07"/>
    <n v="0.15"/>
    <n v="8085.2594999999992"/>
    <n v="5"/>
    <n v="40426.297499999993"/>
    <n v="14149.2"/>
    <d v="2024-09-10T00:00:00"/>
    <x v="4"/>
    <x v="0"/>
    <d v="2024-09-12T00:00:00"/>
    <n v="2"/>
    <x v="0"/>
  </r>
  <r>
    <x v="1185"/>
    <s v="Laptop"/>
    <x v="2"/>
    <x v="2"/>
    <x v="1"/>
    <x v="0"/>
    <s v="Hyderabad"/>
    <n v="60486.69"/>
    <n v="0.1"/>
    <n v="54438.021000000001"/>
    <n v="2"/>
    <n v="108876.042"/>
    <n v="38106.61"/>
    <d v="2024-06-11T00:00:00"/>
    <x v="6"/>
    <x v="0"/>
    <d v="2024-06-15T00:00:00"/>
    <n v="4"/>
    <x v="0"/>
  </r>
  <r>
    <x v="1186"/>
    <s v="Laptop"/>
    <x v="2"/>
    <x v="14"/>
    <x v="1"/>
    <x v="2"/>
    <s v="Patna"/>
    <n v="58921.3"/>
    <n v="0.05"/>
    <n v="55975.235000000001"/>
    <n v="2"/>
    <n v="111950.47"/>
    <n v="39182.660000000003"/>
    <d v="2025-04-18T00:00:00"/>
    <x v="11"/>
    <x v="1"/>
    <d v="2025-04-27T00:00:00"/>
    <n v="9"/>
    <x v="1"/>
  </r>
  <r>
    <x v="1187"/>
    <s v="Coffee Table"/>
    <x v="1"/>
    <x v="18"/>
    <x v="2"/>
    <x v="3"/>
    <s v="Ahmedabad"/>
    <n v="7048.09"/>
    <n v="0.2"/>
    <n v="5638.4720000000007"/>
    <n v="4"/>
    <n v="22553.888000000003"/>
    <n v="3383.08"/>
    <d v="2025-01-23T00:00:00"/>
    <x v="5"/>
    <x v="1"/>
    <d v="2025-01-27T00:00:00"/>
    <n v="4"/>
    <x v="2"/>
  </r>
  <r>
    <x v="1188"/>
    <s v="Bed"/>
    <x v="1"/>
    <x v="1"/>
    <x v="1"/>
    <x v="1"/>
    <s v="Lucknow"/>
    <n v="36118.46"/>
    <n v="0"/>
    <n v="36118.46"/>
    <n v="5"/>
    <n v="180592.3"/>
    <n v="63207.3"/>
    <d v="2024-05-16T00:00:00"/>
    <x v="3"/>
    <x v="0"/>
    <d v="2024-05-22T00:00:00"/>
    <n v="6"/>
    <x v="1"/>
  </r>
  <r>
    <x v="1189"/>
    <s v="Microwave"/>
    <x v="4"/>
    <x v="12"/>
    <x v="0"/>
    <x v="0"/>
    <s v="Bengaluru"/>
    <n v="7580.6"/>
    <n v="0.2"/>
    <n v="6064.48"/>
    <n v="3"/>
    <n v="18193.439999999999"/>
    <n v="4548.3599999999997"/>
    <d v="2025-05-01T00:00:00"/>
    <x v="3"/>
    <x v="1"/>
    <d v="2025-05-09T00:00:00"/>
    <n v="8"/>
    <x v="1"/>
  </r>
  <r>
    <x v="1190"/>
    <s v="Formal Shoes"/>
    <x v="0"/>
    <x v="11"/>
    <x v="1"/>
    <x v="1"/>
    <s v="Delhi"/>
    <n v="4414.79"/>
    <n v="0.1"/>
    <n v="3973.3110000000001"/>
    <n v="5"/>
    <n v="19866.555"/>
    <n v="6953.3"/>
    <d v="2024-06-24T00:00:00"/>
    <x v="6"/>
    <x v="0"/>
    <d v="2024-07-03T00:00:00"/>
    <n v="9"/>
    <x v="0"/>
  </r>
  <r>
    <x v="1191"/>
    <s v="Refrigerator"/>
    <x v="4"/>
    <x v="8"/>
    <x v="2"/>
    <x v="3"/>
    <s v="Pune"/>
    <n v="22524.14"/>
    <n v="0.2"/>
    <n v="18019.312000000002"/>
    <n v="2"/>
    <n v="36038.624000000003"/>
    <n v="5405.79"/>
    <d v="2025-01-23T00:00:00"/>
    <x v="5"/>
    <x v="1"/>
    <d v="2025-01-31T00:00:00"/>
    <n v="8"/>
    <x v="2"/>
  </r>
  <r>
    <x v="1192"/>
    <s v="Headphones"/>
    <x v="2"/>
    <x v="2"/>
    <x v="1"/>
    <x v="3"/>
    <s v="Ahmedabad"/>
    <n v="2482.9699999999998"/>
    <n v="0.05"/>
    <n v="2358.8215"/>
    <n v="1"/>
    <n v="2358.8215"/>
    <n v="825.59"/>
    <d v="2025-01-15T00:00:00"/>
    <x v="5"/>
    <x v="1"/>
    <d v="2025-01-25T00:00:00"/>
    <n v="10"/>
    <x v="2"/>
  </r>
  <r>
    <x v="1193"/>
    <s v="Headphones"/>
    <x v="2"/>
    <x v="20"/>
    <x v="2"/>
    <x v="1"/>
    <s v="Delhi"/>
    <n v="1810.76"/>
    <n v="0.05"/>
    <n v="1720.222"/>
    <n v="1"/>
    <n v="1720.222"/>
    <n v="258.02999999999997"/>
    <d v="2024-11-12T00:00:00"/>
    <x v="9"/>
    <x v="0"/>
    <d v="2024-11-22T00:00:00"/>
    <n v="10"/>
    <x v="2"/>
  </r>
  <r>
    <x v="1194"/>
    <s v="Laptop"/>
    <x v="2"/>
    <x v="21"/>
    <x v="2"/>
    <x v="3"/>
    <s v="Mumbai"/>
    <n v="44044.98"/>
    <n v="0.2"/>
    <n v="35235.983999999997"/>
    <n v="1"/>
    <n v="35235.983999999997"/>
    <n v="5285.4"/>
    <d v="2024-06-19T00:00:00"/>
    <x v="6"/>
    <x v="0"/>
    <d v="2024-06-27T00:00:00"/>
    <n v="8"/>
    <x v="0"/>
  </r>
  <r>
    <x v="1195"/>
    <s v="Laptop"/>
    <x v="2"/>
    <x v="17"/>
    <x v="0"/>
    <x v="3"/>
    <s v="Mumbai"/>
    <n v="54612.22"/>
    <n v="0.2"/>
    <n v="43689.776000000013"/>
    <n v="2"/>
    <n v="87379.552000000025"/>
    <n v="21844.89"/>
    <d v="2024-06-26T00:00:00"/>
    <x v="6"/>
    <x v="0"/>
    <d v="2024-06-30T00:00:00"/>
    <n v="4"/>
    <x v="0"/>
  </r>
  <r>
    <x v="1196"/>
    <s v="Jeans"/>
    <x v="3"/>
    <x v="19"/>
    <x v="0"/>
    <x v="2"/>
    <s v="Bhubaneswar"/>
    <n v="1389.71"/>
    <n v="0"/>
    <n v="1389.71"/>
    <n v="2"/>
    <n v="2779.42"/>
    <n v="694.86"/>
    <d v="2025-05-13T00:00:00"/>
    <x v="3"/>
    <x v="1"/>
    <d v="2025-05-18T00:00:00"/>
    <n v="5"/>
    <x v="1"/>
  </r>
  <r>
    <x v="1197"/>
    <s v="Coffee Table"/>
    <x v="1"/>
    <x v="7"/>
    <x v="0"/>
    <x v="2"/>
    <s v="Patna"/>
    <n v="7533.25"/>
    <n v="0.25"/>
    <n v="5649.9375"/>
    <n v="5"/>
    <n v="28249.6875"/>
    <n v="7062.42"/>
    <d v="2024-02-26T00:00:00"/>
    <x v="7"/>
    <x v="0"/>
    <d v="2024-03-02T00:00:00"/>
    <n v="5"/>
    <x v="1"/>
  </r>
  <r>
    <x v="1198"/>
    <s v="Formal Shoes"/>
    <x v="0"/>
    <x v="11"/>
    <x v="1"/>
    <x v="0"/>
    <s v="Hyderabad"/>
    <n v="4295.24"/>
    <n v="0.05"/>
    <n v="4080.4780000000001"/>
    <n v="4"/>
    <n v="16321.912"/>
    <n v="5712.67"/>
    <d v="2024-05-19T00:00:00"/>
    <x v="3"/>
    <x v="0"/>
    <d v="2024-05-29T00:00:00"/>
    <n v="10"/>
    <x v="1"/>
  </r>
  <r>
    <x v="1199"/>
    <s v="Refrigerator"/>
    <x v="4"/>
    <x v="8"/>
    <x v="2"/>
    <x v="1"/>
    <s v="Delhi"/>
    <n v="22650.2"/>
    <n v="0.15"/>
    <n v="19252.669999999998"/>
    <n v="1"/>
    <n v="19252.669999999998"/>
    <n v="2887.9"/>
    <d v="2025-07-15T00:00:00"/>
    <x v="2"/>
    <x v="1"/>
    <d v="2025-07-25T00:00:00"/>
    <n v="1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Clothing"/>
    <x v="0"/>
    <s v="Max"/>
    <x v="0"/>
  </r>
  <r>
    <x v="1"/>
    <s v="Clothing"/>
    <x v="0"/>
    <s v="Roadster"/>
    <x v="0"/>
  </r>
  <r>
    <x v="2"/>
    <s v="Clothing"/>
    <x v="0"/>
    <s v="H&amp;M"/>
    <x v="1"/>
  </r>
  <r>
    <x v="3"/>
    <s v="Clothing"/>
    <x v="0"/>
    <s v="Zara"/>
    <x v="2"/>
  </r>
  <r>
    <x v="4"/>
    <s v="Clothing"/>
    <x v="0"/>
    <s v="Levis"/>
    <x v="2"/>
  </r>
  <r>
    <x v="5"/>
    <s v="Clothing"/>
    <x v="0"/>
    <s v="Nike"/>
    <x v="2"/>
  </r>
  <r>
    <x v="6"/>
    <s v="Clothing"/>
    <x v="1"/>
    <s v="Max"/>
    <x v="0"/>
  </r>
  <r>
    <x v="7"/>
    <s v="Clothing"/>
    <x v="1"/>
    <s v="Roadster"/>
    <x v="0"/>
  </r>
  <r>
    <x v="8"/>
    <s v="Clothing"/>
    <x v="1"/>
    <s v="H&amp;M"/>
    <x v="1"/>
  </r>
  <r>
    <x v="9"/>
    <s v="Clothing"/>
    <x v="1"/>
    <s v="Zara"/>
    <x v="2"/>
  </r>
  <r>
    <x v="10"/>
    <s v="Clothing"/>
    <x v="1"/>
    <s v="Levis"/>
    <x v="2"/>
  </r>
  <r>
    <x v="11"/>
    <s v="Clothing"/>
    <x v="1"/>
    <s v="Nike"/>
    <x v="2"/>
  </r>
  <r>
    <x v="12"/>
    <s v="Clothing"/>
    <x v="2"/>
    <s v="Max"/>
    <x v="0"/>
  </r>
  <r>
    <x v="13"/>
    <s v="Clothing"/>
    <x v="2"/>
    <s v="Roadster"/>
    <x v="0"/>
  </r>
  <r>
    <x v="14"/>
    <s v="Clothing"/>
    <x v="2"/>
    <s v="H&amp;M"/>
    <x v="1"/>
  </r>
  <r>
    <x v="15"/>
    <s v="Clothing"/>
    <x v="2"/>
    <s v="Zara"/>
    <x v="2"/>
  </r>
  <r>
    <x v="16"/>
    <s v="Clothing"/>
    <x v="2"/>
    <s v="Levis"/>
    <x v="2"/>
  </r>
  <r>
    <x v="17"/>
    <s v="Clothing"/>
    <x v="2"/>
    <s v="Nike"/>
    <x v="2"/>
  </r>
  <r>
    <x v="18"/>
    <s v="Electronics"/>
    <x v="3"/>
    <s v="Xiaomi"/>
    <x v="0"/>
  </r>
  <r>
    <x v="19"/>
    <s v="Electronics"/>
    <x v="3"/>
    <s v="Realme"/>
    <x v="0"/>
  </r>
  <r>
    <x v="20"/>
    <s v="Electronics"/>
    <x v="3"/>
    <s v="Dell"/>
    <x v="1"/>
  </r>
  <r>
    <x v="21"/>
    <s v="Electronics"/>
    <x v="3"/>
    <s v="HP"/>
    <x v="1"/>
  </r>
  <r>
    <x v="22"/>
    <s v="Electronics"/>
    <x v="3"/>
    <s v="Samsung"/>
    <x v="2"/>
  </r>
  <r>
    <x v="23"/>
    <s v="Electronics"/>
    <x v="3"/>
    <s v="Apple"/>
    <x v="2"/>
  </r>
  <r>
    <x v="24"/>
    <s v="Electronics"/>
    <x v="4"/>
    <s v="Xiaomi"/>
    <x v="0"/>
  </r>
  <r>
    <x v="25"/>
    <s v="Electronics"/>
    <x v="4"/>
    <s v="Realme"/>
    <x v="0"/>
  </r>
  <r>
    <x v="26"/>
    <s v="Electronics"/>
    <x v="4"/>
    <s v="Dell"/>
    <x v="1"/>
  </r>
  <r>
    <x v="27"/>
    <s v="Electronics"/>
    <x v="4"/>
    <s v="HP"/>
    <x v="1"/>
  </r>
  <r>
    <x v="28"/>
    <s v="Electronics"/>
    <x v="4"/>
    <s v="Samsung"/>
    <x v="2"/>
  </r>
  <r>
    <x v="29"/>
    <s v="Electronics"/>
    <x v="4"/>
    <s v="Apple"/>
    <x v="2"/>
  </r>
  <r>
    <x v="30"/>
    <s v="Electronics"/>
    <x v="5"/>
    <s v="Xiaomi"/>
    <x v="0"/>
  </r>
  <r>
    <x v="31"/>
    <s v="Electronics"/>
    <x v="5"/>
    <s v="Realme"/>
    <x v="0"/>
  </r>
  <r>
    <x v="32"/>
    <s v="Electronics"/>
    <x v="5"/>
    <s v="Dell"/>
    <x v="1"/>
  </r>
  <r>
    <x v="33"/>
    <s v="Electronics"/>
    <x v="5"/>
    <s v="HP"/>
    <x v="1"/>
  </r>
  <r>
    <x v="34"/>
    <s v="Electronics"/>
    <x v="5"/>
    <s v="Samsung"/>
    <x v="2"/>
  </r>
  <r>
    <x v="35"/>
    <s v="Electronics"/>
    <x v="5"/>
    <s v="Apple"/>
    <x v="2"/>
  </r>
  <r>
    <x v="36"/>
    <s v="Footwear"/>
    <x v="6"/>
    <s v="Bata"/>
    <x v="0"/>
  </r>
  <r>
    <x v="37"/>
    <s v="Footwear"/>
    <x v="6"/>
    <s v="Puma"/>
    <x v="1"/>
  </r>
  <r>
    <x v="38"/>
    <s v="Footwear"/>
    <x v="6"/>
    <s v="Adidas"/>
    <x v="2"/>
  </r>
  <r>
    <x v="39"/>
    <s v="Footwear"/>
    <x v="7"/>
    <s v="Bata"/>
    <x v="0"/>
  </r>
  <r>
    <x v="40"/>
    <s v="Footwear"/>
    <x v="7"/>
    <s v="Puma"/>
    <x v="1"/>
  </r>
  <r>
    <x v="41"/>
    <s v="Footwear"/>
    <x v="7"/>
    <s v="Adidas"/>
    <x v="2"/>
  </r>
  <r>
    <x v="42"/>
    <s v="Furniture"/>
    <x v="8"/>
    <s v="Nilkamal"/>
    <x v="0"/>
  </r>
  <r>
    <x v="43"/>
    <s v="Furniture"/>
    <x v="8"/>
    <s v="HomeTown"/>
    <x v="1"/>
  </r>
  <r>
    <x v="44"/>
    <s v="Furniture"/>
    <x v="8"/>
    <s v="Godrej Interio"/>
    <x v="2"/>
  </r>
  <r>
    <x v="45"/>
    <s v="Furniture"/>
    <x v="8"/>
    <s v="Ikea"/>
    <x v="2"/>
  </r>
  <r>
    <x v="46"/>
    <s v="Furniture"/>
    <x v="9"/>
    <s v="Nilkamal"/>
    <x v="0"/>
  </r>
  <r>
    <x v="47"/>
    <s v="Furniture"/>
    <x v="9"/>
    <s v="HomeTown"/>
    <x v="1"/>
  </r>
  <r>
    <x v="48"/>
    <s v="Furniture"/>
    <x v="9"/>
    <s v="Godrej Interio"/>
    <x v="2"/>
  </r>
  <r>
    <x v="49"/>
    <s v="Furniture"/>
    <x v="9"/>
    <s v="Ikea"/>
    <x v="2"/>
  </r>
  <r>
    <x v="50"/>
    <s v="Furniture"/>
    <x v="10"/>
    <s v="Nilkamal"/>
    <x v="0"/>
  </r>
  <r>
    <x v="51"/>
    <s v="Furniture"/>
    <x v="10"/>
    <s v="HomeTown"/>
    <x v="1"/>
  </r>
  <r>
    <x v="52"/>
    <s v="Furniture"/>
    <x v="10"/>
    <s v="Godrej Interio"/>
    <x v="2"/>
  </r>
  <r>
    <x v="53"/>
    <s v="Furniture"/>
    <x v="10"/>
    <s v="Ikea"/>
    <x v="2"/>
  </r>
  <r>
    <x v="54"/>
    <s v="Furniture"/>
    <x v="11"/>
    <s v="Nilkamal"/>
    <x v="0"/>
  </r>
  <r>
    <x v="55"/>
    <s v="Furniture"/>
    <x v="11"/>
    <s v="HomeTown"/>
    <x v="1"/>
  </r>
  <r>
    <x v="56"/>
    <s v="Furniture"/>
    <x v="11"/>
    <s v="Godrej Interio"/>
    <x v="2"/>
  </r>
  <r>
    <x v="57"/>
    <s v="Furniture"/>
    <x v="11"/>
    <s v="Ikea"/>
    <x v="2"/>
  </r>
  <r>
    <x v="58"/>
    <s v="Home Appliance"/>
    <x v="12"/>
    <s v="Godrej"/>
    <x v="0"/>
  </r>
  <r>
    <x v="59"/>
    <s v="Home Appliance"/>
    <x v="12"/>
    <s v="Whirlpool"/>
    <x v="1"/>
  </r>
  <r>
    <x v="60"/>
    <s v="Home Appliance"/>
    <x v="12"/>
    <s v="Samsung"/>
    <x v="2"/>
  </r>
  <r>
    <x v="61"/>
    <s v="Home Appliance"/>
    <x v="12"/>
    <s v="LG"/>
    <x v="2"/>
  </r>
  <r>
    <x v="62"/>
    <s v="Home Appliance"/>
    <x v="13"/>
    <s v="Godrej"/>
    <x v="0"/>
  </r>
  <r>
    <x v="63"/>
    <s v="Home Appliance"/>
    <x v="13"/>
    <s v="Whirlpool"/>
    <x v="1"/>
  </r>
  <r>
    <x v="64"/>
    <s v="Home Appliance"/>
    <x v="13"/>
    <s v="Samsung"/>
    <x v="2"/>
  </r>
  <r>
    <x v="65"/>
    <s v="Home Appliance"/>
    <x v="13"/>
    <s v="LG"/>
    <x v="2"/>
  </r>
  <r>
    <x v="66"/>
    <s v="Home Appliance"/>
    <x v="14"/>
    <s v="Godrej"/>
    <x v="0"/>
  </r>
  <r>
    <x v="67"/>
    <s v="Home Appliance"/>
    <x v="14"/>
    <s v="Whirlpool"/>
    <x v="1"/>
  </r>
  <r>
    <x v="68"/>
    <s v="Home Appliance"/>
    <x v="14"/>
    <s v="Samsung"/>
    <x v="2"/>
  </r>
  <r>
    <x v="69"/>
    <s v="Home Appliance"/>
    <x v="14"/>
    <s v="LG"/>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Footwear"/>
    <s v="Puma"/>
    <s v="Standard"/>
    <s v="South"/>
    <x v="0"/>
    <n v="2514.6"/>
    <x v="0"/>
    <n v="2514.6"/>
    <n v="2"/>
    <x v="0"/>
    <n v="1257.3"/>
    <d v="2024-08-17T00:00:00"/>
    <x v="0"/>
  </r>
  <r>
    <x v="1"/>
    <s v="Furniture"/>
    <s v="Godrej Interio"/>
    <s v="Premium"/>
    <s v="North"/>
    <x v="1"/>
    <n v="9954.58"/>
    <x v="1"/>
    <n v="7963.6640000000007"/>
    <n v="4"/>
    <x v="1"/>
    <n v="11149.13"/>
    <d v="2024-03-31T00:00:00"/>
    <x v="1"/>
  </r>
  <r>
    <x v="2"/>
    <s v="Electronics"/>
    <s v="Samsung"/>
    <s v="Premium"/>
    <s v="North"/>
    <x v="2"/>
    <n v="61044.5"/>
    <x v="2"/>
    <n v="57992.274999999987"/>
    <n v="1"/>
    <x v="2"/>
    <n v="20297.29"/>
    <d v="2024-07-08T00:00:00"/>
    <x v="2"/>
  </r>
  <r>
    <x v="3"/>
    <s v="Electronics"/>
    <s v="Dell"/>
    <s v="Standard"/>
    <s v="East"/>
    <x v="3"/>
    <n v="1933.16"/>
    <x v="3"/>
    <n v="1739.8440000000001"/>
    <n v="5"/>
    <x v="3"/>
    <n v="2174.8000000000002"/>
    <d v="2024-05-17T00:00:00"/>
    <x v="3"/>
  </r>
  <r>
    <x v="4"/>
    <s v="Furniture"/>
    <s v="Ikea"/>
    <s v="Premium"/>
    <s v="East"/>
    <x v="3"/>
    <n v="33576.85"/>
    <x v="4"/>
    <n v="23503.794999999998"/>
    <n v="3"/>
    <x v="4"/>
    <n v="24678.98"/>
    <d v="2024-03-12T00:00:00"/>
    <x v="4"/>
  </r>
  <r>
    <x v="5"/>
    <s v="Clothing"/>
    <s v="Max"/>
    <s v="Budget"/>
    <s v="North"/>
    <x v="2"/>
    <n v="2617.88"/>
    <x v="1"/>
    <n v="2094.3040000000001"/>
    <n v="3"/>
    <x v="5"/>
    <n v="942.44"/>
    <d v="2025-05-04T00:00:00"/>
    <x v="5"/>
  </r>
  <r>
    <x v="1"/>
    <s v="Furniture"/>
    <s v="Ikea"/>
    <s v="Premium"/>
    <s v="North"/>
    <x v="4"/>
    <n v="10447.25"/>
    <x v="0"/>
    <n v="10447.25"/>
    <n v="4"/>
    <x v="6"/>
    <n v="14626.15"/>
    <d v="2025-05-21T00:00:00"/>
    <x v="6"/>
  </r>
  <r>
    <x v="6"/>
    <s v="Footwear"/>
    <s v="Bata"/>
    <s v="Budget"/>
    <s v="South"/>
    <x v="5"/>
    <n v="2887.51"/>
    <x v="5"/>
    <n v="2454.3834999999999"/>
    <n v="2"/>
    <x v="7"/>
    <n v="736.32"/>
    <d v="2024-09-02T00:00:00"/>
    <x v="7"/>
  </r>
  <r>
    <x v="7"/>
    <s v="Home Appliance"/>
    <s v="Samsung"/>
    <s v="Premium"/>
    <s v="South"/>
    <x v="5"/>
    <n v="28339.06"/>
    <x v="2"/>
    <n v="26922.107"/>
    <n v="2"/>
    <x v="8"/>
    <n v="18845.47"/>
    <d v="2025-07-20T00:00:00"/>
    <x v="8"/>
  </r>
  <r>
    <x v="7"/>
    <s v="Home Appliance"/>
    <s v="Samsung"/>
    <s v="Premium"/>
    <s v="South"/>
    <x v="6"/>
    <n v="29172.62"/>
    <x v="1"/>
    <n v="23338.096000000001"/>
    <n v="4"/>
    <x v="9"/>
    <n v="32673.33"/>
    <d v="2025-01-03T00:00:00"/>
    <x v="9"/>
  </r>
  <r>
    <x v="8"/>
    <s v="Furniture"/>
    <s v="HomeTown"/>
    <s v="Standard"/>
    <s v="East"/>
    <x v="3"/>
    <n v="22864.48"/>
    <x v="1"/>
    <n v="18291.583999999999"/>
    <n v="2"/>
    <x v="10"/>
    <n v="9145.7900000000009"/>
    <d v="2025-03-13T00:00:00"/>
    <x v="10"/>
  </r>
  <r>
    <x v="7"/>
    <s v="Home Appliance"/>
    <s v="Godrej"/>
    <s v="Budget"/>
    <s v="South"/>
    <x v="5"/>
    <n v="21784.17"/>
    <x v="4"/>
    <n v="15248.919"/>
    <n v="1"/>
    <x v="11"/>
    <n v="2287.34"/>
    <d v="2025-07-16T00:00:00"/>
    <x v="11"/>
  </r>
  <r>
    <x v="1"/>
    <s v="Furniture"/>
    <s v="Ikea"/>
    <s v="Premium"/>
    <s v="North"/>
    <x v="1"/>
    <n v="9589.74"/>
    <x v="3"/>
    <n v="8630.7659999999996"/>
    <n v="4"/>
    <x v="12"/>
    <n v="12083.07"/>
    <d v="2025-06-28T00:00:00"/>
    <x v="12"/>
  </r>
  <r>
    <x v="9"/>
    <s v="Clothing"/>
    <s v="Zara"/>
    <s v="Premium"/>
    <s v="North"/>
    <x v="1"/>
    <n v="997.83"/>
    <x v="2"/>
    <n v="947.93849999999998"/>
    <n v="4"/>
    <x v="13"/>
    <n v="1327.11"/>
    <d v="2024-09-27T00:00:00"/>
    <x v="13"/>
  </r>
  <r>
    <x v="3"/>
    <s v="Electronics"/>
    <s v="Samsung"/>
    <s v="Premium"/>
    <s v="North"/>
    <x v="4"/>
    <n v="2432.71"/>
    <x v="2"/>
    <n v="2311.0745000000002"/>
    <n v="3"/>
    <x v="14"/>
    <n v="2426.63"/>
    <d v="2024-05-13T00:00:00"/>
    <x v="14"/>
  </r>
  <r>
    <x v="8"/>
    <s v="Furniture"/>
    <s v="Ikea"/>
    <s v="Premium"/>
    <s v="West"/>
    <x v="7"/>
    <n v="31215.98"/>
    <x v="1"/>
    <n v="24972.784"/>
    <n v="2"/>
    <x v="15"/>
    <n v="17480.95"/>
    <d v="2025-05-16T00:00:00"/>
    <x v="15"/>
  </r>
  <r>
    <x v="1"/>
    <s v="Furniture"/>
    <s v="Godrej Interio"/>
    <s v="Premium"/>
    <s v="South"/>
    <x v="6"/>
    <n v="9213.39"/>
    <x v="3"/>
    <n v="8292.0509999999995"/>
    <n v="3"/>
    <x v="16"/>
    <n v="8706.65"/>
    <d v="2025-03-03T00:00:00"/>
    <x v="16"/>
  </r>
  <r>
    <x v="6"/>
    <s v="Footwear"/>
    <s v="Puma"/>
    <s v="Standard"/>
    <s v="South"/>
    <x v="0"/>
    <n v="3464.41"/>
    <x v="5"/>
    <n v="2944.7485000000001"/>
    <n v="1"/>
    <x v="17"/>
    <n v="736.19"/>
    <d v="2025-02-23T00:00:00"/>
    <x v="17"/>
  </r>
  <r>
    <x v="10"/>
    <s v="Furniture"/>
    <s v="HomeTown"/>
    <s v="Standard"/>
    <s v="East"/>
    <x v="8"/>
    <n v="33492.07"/>
    <x v="1"/>
    <n v="26793.655999999999"/>
    <n v="4"/>
    <x v="18"/>
    <n v="26793.65"/>
    <d v="2024-12-28T00:00:00"/>
    <x v="18"/>
  </r>
  <r>
    <x v="8"/>
    <s v="Furniture"/>
    <s v="HomeTown"/>
    <s v="Standard"/>
    <s v="South"/>
    <x v="5"/>
    <n v="23758.83"/>
    <x v="0"/>
    <n v="23758.83"/>
    <n v="3"/>
    <x v="19"/>
    <n v="17819.12"/>
    <d v="2024-09-05T00:00:00"/>
    <x v="19"/>
  </r>
  <r>
    <x v="11"/>
    <s v="Home Appliance"/>
    <s v="LG"/>
    <s v="Premium"/>
    <s v="West"/>
    <x v="9"/>
    <n v="10756.52"/>
    <x v="5"/>
    <n v="9143.0419999999995"/>
    <n v="1"/>
    <x v="20"/>
    <n v="3200.06"/>
    <d v="2025-06-26T00:00:00"/>
    <x v="20"/>
  </r>
  <r>
    <x v="2"/>
    <s v="Electronics"/>
    <s v="Dell"/>
    <s v="Standard"/>
    <s v="East"/>
    <x v="8"/>
    <n v="48286.45"/>
    <x v="6"/>
    <n v="36214.837499999987"/>
    <n v="2"/>
    <x v="21"/>
    <n v="18107.419999999998"/>
    <d v="2024-09-26T00:00:00"/>
    <x v="21"/>
  </r>
  <r>
    <x v="2"/>
    <s v="Electronics"/>
    <s v="Dell"/>
    <s v="Standard"/>
    <s v="West"/>
    <x v="9"/>
    <n v="56451.93"/>
    <x v="3"/>
    <n v="50806.737000000001"/>
    <n v="5"/>
    <x v="22"/>
    <n v="63508.42"/>
    <d v="2025-07-12T00:00:00"/>
    <x v="22"/>
  </r>
  <r>
    <x v="11"/>
    <s v="Home Appliance"/>
    <s v="LG"/>
    <s v="Premium"/>
    <s v="North"/>
    <x v="1"/>
    <n v="9870.3700000000008"/>
    <x v="3"/>
    <n v="8883.3330000000005"/>
    <n v="3"/>
    <x v="23"/>
    <n v="9327.5"/>
    <d v="2025-07-04T00:00:00"/>
    <x v="23"/>
  </r>
  <r>
    <x v="12"/>
    <s v="Clothing"/>
    <s v="Zara"/>
    <s v="Premium"/>
    <s v="West"/>
    <x v="9"/>
    <n v="1933.01"/>
    <x v="2"/>
    <n v="1836.3595"/>
    <n v="2"/>
    <x v="24"/>
    <n v="1285.45"/>
    <d v="2024-08-16T00:00:00"/>
    <x v="24"/>
  </r>
  <r>
    <x v="0"/>
    <s v="Footwear"/>
    <s v="Adidas"/>
    <s v="Premium"/>
    <s v="South"/>
    <x v="6"/>
    <n v="2996.39"/>
    <x v="3"/>
    <n v="2696.7510000000002"/>
    <n v="5"/>
    <x v="25"/>
    <n v="4719.3100000000004"/>
    <d v="2024-06-29T00:00:00"/>
    <x v="25"/>
  </r>
  <r>
    <x v="6"/>
    <s v="Footwear"/>
    <s v="Adidas"/>
    <s v="Premium"/>
    <s v="North"/>
    <x v="2"/>
    <n v="4505.47"/>
    <x v="3"/>
    <n v="4054.9229999999998"/>
    <n v="2"/>
    <x v="26"/>
    <n v="2838.45"/>
    <d v="2024-05-12T00:00:00"/>
    <x v="26"/>
  </r>
  <r>
    <x v="13"/>
    <s v="Home Appliance"/>
    <s v="Whirlpool"/>
    <s v="Standard"/>
    <s v="North"/>
    <x v="2"/>
    <n v="18678.7"/>
    <x v="1"/>
    <n v="14942.96"/>
    <n v="3"/>
    <x v="27"/>
    <n v="11207.22"/>
    <d v="2024-12-11T00:00:00"/>
    <x v="27"/>
  </r>
  <r>
    <x v="9"/>
    <s v="Clothing"/>
    <s v="Levis"/>
    <s v="Premium"/>
    <s v="East"/>
    <x v="10"/>
    <n v="921.47"/>
    <x v="6"/>
    <n v="691.10249999999996"/>
    <n v="2"/>
    <x v="28"/>
    <n v="483.77"/>
    <d v="2024-03-10T00:00:00"/>
    <x v="28"/>
  </r>
  <r>
    <x v="12"/>
    <s v="Clothing"/>
    <s v="Levis"/>
    <s v="Premium"/>
    <s v="South"/>
    <x v="6"/>
    <n v="1692.8"/>
    <x v="4"/>
    <n v="1184.96"/>
    <n v="3"/>
    <x v="29"/>
    <n v="1244.21"/>
    <d v="2025-01-27T00:00:00"/>
    <x v="29"/>
  </r>
  <r>
    <x v="0"/>
    <s v="Footwear"/>
    <s v="Puma"/>
    <s v="Standard"/>
    <s v="North"/>
    <x v="2"/>
    <n v="2711.92"/>
    <x v="4"/>
    <n v="1898.3440000000001"/>
    <n v="5"/>
    <x v="30"/>
    <n v="2372.9299999999998"/>
    <d v="2024-09-05T00:00:00"/>
    <x v="30"/>
  </r>
  <r>
    <x v="4"/>
    <s v="Furniture"/>
    <s v="Godrej Interio"/>
    <s v="Premium"/>
    <s v="West"/>
    <x v="11"/>
    <n v="37732.339999999997"/>
    <x v="3"/>
    <n v="33959.106"/>
    <n v="5"/>
    <x v="31"/>
    <n v="59428.44"/>
    <d v="2025-07-15T00:00:00"/>
    <x v="31"/>
  </r>
  <r>
    <x v="13"/>
    <s v="Home Appliance"/>
    <s v="Samsung"/>
    <s v="Premium"/>
    <s v="South"/>
    <x v="6"/>
    <n v="22097.24"/>
    <x v="2"/>
    <n v="20992.378000000001"/>
    <n v="2"/>
    <x v="32"/>
    <n v="14694.67"/>
    <d v="2024-12-19T00:00:00"/>
    <x v="32"/>
  </r>
  <r>
    <x v="2"/>
    <s v="Electronics"/>
    <s v="Apple"/>
    <s v="Premium"/>
    <s v="East"/>
    <x v="3"/>
    <n v="55406.400000000001"/>
    <x v="4"/>
    <n v="38784.480000000003"/>
    <n v="1"/>
    <x v="33"/>
    <n v="13574.57"/>
    <d v="2024-01-27T00:00:00"/>
    <x v="33"/>
  </r>
  <r>
    <x v="14"/>
    <s v="Electronics"/>
    <s v="Samsung"/>
    <s v="Premium"/>
    <s v="North"/>
    <x v="2"/>
    <n v="18139.45"/>
    <x v="5"/>
    <n v="15418.532499999999"/>
    <n v="5"/>
    <x v="34"/>
    <n v="26982.43"/>
    <d v="2024-08-13T00:00:00"/>
    <x v="34"/>
  </r>
  <r>
    <x v="10"/>
    <s v="Furniture"/>
    <s v="HomeTown"/>
    <s v="Standard"/>
    <s v="East"/>
    <x v="8"/>
    <n v="33771.68"/>
    <x v="0"/>
    <n v="33771.68"/>
    <n v="2"/>
    <x v="35"/>
    <n v="16885.84"/>
    <d v="2024-06-01T00:00:00"/>
    <x v="35"/>
  </r>
  <r>
    <x v="8"/>
    <s v="Furniture"/>
    <s v="Godrej Interio"/>
    <s v="Premium"/>
    <s v="North"/>
    <x v="1"/>
    <n v="32016.9"/>
    <x v="6"/>
    <n v="24012.674999999999"/>
    <n v="1"/>
    <x v="36"/>
    <n v="8404.44"/>
    <d v="2024-02-01T00:00:00"/>
    <x v="36"/>
  </r>
  <r>
    <x v="13"/>
    <s v="Home Appliance"/>
    <s v="LG"/>
    <s v="Premium"/>
    <s v="South"/>
    <x v="6"/>
    <n v="20170.16"/>
    <x v="5"/>
    <n v="17144.635999999999"/>
    <n v="2"/>
    <x v="37"/>
    <n v="12001.24"/>
    <d v="2024-05-16T00:00:00"/>
    <x v="37"/>
  </r>
  <r>
    <x v="11"/>
    <s v="Home Appliance"/>
    <s v="Samsung"/>
    <s v="Premium"/>
    <s v="East"/>
    <x v="8"/>
    <n v="9140.74"/>
    <x v="2"/>
    <n v="8683.7029999999995"/>
    <n v="4"/>
    <x v="38"/>
    <n v="12157.18"/>
    <d v="2024-02-03T00:00:00"/>
    <x v="38"/>
  </r>
  <r>
    <x v="12"/>
    <s v="Clothing"/>
    <s v="Nike"/>
    <s v="Premium"/>
    <s v="West"/>
    <x v="7"/>
    <n v="1912.2"/>
    <x v="5"/>
    <n v="1625.37"/>
    <n v="1"/>
    <x v="39"/>
    <n v="568.88"/>
    <d v="2024-12-08T00:00:00"/>
    <x v="39"/>
  </r>
  <r>
    <x v="8"/>
    <s v="Furniture"/>
    <s v="Ikea"/>
    <s v="Premium"/>
    <s v="North"/>
    <x v="1"/>
    <n v="32317.35"/>
    <x v="5"/>
    <n v="27469.747500000001"/>
    <n v="1"/>
    <x v="40"/>
    <n v="9614.41"/>
    <d v="2024-05-05T00:00:00"/>
    <x v="40"/>
  </r>
  <r>
    <x v="12"/>
    <s v="Clothing"/>
    <s v="Roadster"/>
    <s v="Budget"/>
    <s v="North"/>
    <x v="2"/>
    <n v="1306.53"/>
    <x v="0"/>
    <n v="1306.53"/>
    <n v="2"/>
    <x v="41"/>
    <n v="391.96"/>
    <d v="2024-12-03T00:00:00"/>
    <x v="41"/>
  </r>
  <r>
    <x v="6"/>
    <s v="Footwear"/>
    <s v="Adidas"/>
    <s v="Premium"/>
    <s v="South"/>
    <x v="5"/>
    <n v="4149.3900000000003"/>
    <x v="0"/>
    <n v="4149.3900000000003"/>
    <n v="5"/>
    <x v="42"/>
    <n v="7261.43"/>
    <d v="2024-09-13T00:00:00"/>
    <x v="42"/>
  </r>
  <r>
    <x v="3"/>
    <s v="Electronics"/>
    <s v="Samsung"/>
    <s v="Premium"/>
    <s v="West"/>
    <x v="7"/>
    <n v="2708.04"/>
    <x v="3"/>
    <n v="2437.2359999999999"/>
    <n v="2"/>
    <x v="43"/>
    <n v="1706.06"/>
    <d v="2024-08-09T00:00:00"/>
    <x v="43"/>
  </r>
  <r>
    <x v="5"/>
    <s v="Clothing"/>
    <s v="Roadster"/>
    <s v="Budget"/>
    <s v="East"/>
    <x v="8"/>
    <n v="2409.36"/>
    <x v="3"/>
    <n v="2168.424"/>
    <n v="5"/>
    <x v="44"/>
    <n v="1626.32"/>
    <d v="2024-11-17T00:00:00"/>
    <x v="44"/>
  </r>
  <r>
    <x v="1"/>
    <s v="Furniture"/>
    <s v="HomeTown"/>
    <s v="Standard"/>
    <s v="South"/>
    <x v="5"/>
    <n v="7838.4"/>
    <x v="3"/>
    <n v="7054.5599999999986"/>
    <n v="3"/>
    <x v="45"/>
    <n v="5290.92"/>
    <d v="2024-10-10T00:00:00"/>
    <x v="45"/>
  </r>
  <r>
    <x v="11"/>
    <s v="Home Appliance"/>
    <s v="Whirlpool"/>
    <s v="Standard"/>
    <s v="South"/>
    <x v="0"/>
    <n v="7974.64"/>
    <x v="2"/>
    <n v="7575.9080000000004"/>
    <n v="4"/>
    <x v="46"/>
    <n v="7575.91"/>
    <d v="2024-09-18T00:00:00"/>
    <x v="46"/>
  </r>
  <r>
    <x v="0"/>
    <s v="Footwear"/>
    <s v="Bata"/>
    <s v="Budget"/>
    <s v="North"/>
    <x v="1"/>
    <n v="2279.29"/>
    <x v="3"/>
    <n v="2051.3609999999999"/>
    <n v="3"/>
    <x v="47"/>
    <n v="923.11"/>
    <d v="2024-11-14T00:00:00"/>
    <x v="47"/>
  </r>
  <r>
    <x v="8"/>
    <s v="Furniture"/>
    <s v="HomeTown"/>
    <s v="Standard"/>
    <s v="East"/>
    <x v="10"/>
    <n v="24093.82"/>
    <x v="5"/>
    <n v="20479.746999999999"/>
    <n v="3"/>
    <x v="48"/>
    <n v="15359.81"/>
    <d v="2024-03-06T00:00:00"/>
    <x v="48"/>
  </r>
  <r>
    <x v="5"/>
    <s v="Clothing"/>
    <s v="Levis"/>
    <s v="Premium"/>
    <s v="East"/>
    <x v="3"/>
    <n v="3521.78"/>
    <x v="1"/>
    <n v="2817.424"/>
    <n v="1"/>
    <x v="49"/>
    <n v="986.1"/>
    <d v="2025-07-11T00:00:00"/>
    <x v="49"/>
  </r>
  <r>
    <x v="4"/>
    <s v="Furniture"/>
    <s v="Ikea"/>
    <s v="Premium"/>
    <s v="North"/>
    <x v="4"/>
    <n v="37999.440000000002"/>
    <x v="5"/>
    <n v="32299.524000000001"/>
    <n v="4"/>
    <x v="50"/>
    <n v="45219.33"/>
    <d v="2024-03-23T00:00:00"/>
    <x v="50"/>
  </r>
  <r>
    <x v="3"/>
    <s v="Electronics"/>
    <s v="HP"/>
    <s v="Standard"/>
    <s v="West"/>
    <x v="11"/>
    <n v="2264.2600000000002"/>
    <x v="3"/>
    <n v="2037.8340000000001"/>
    <n v="1"/>
    <x v="51"/>
    <n v="509.46"/>
    <d v="2024-07-26T00:00:00"/>
    <x v="51"/>
  </r>
  <r>
    <x v="4"/>
    <s v="Furniture"/>
    <s v="HomeTown"/>
    <s v="Standard"/>
    <s v="North"/>
    <x v="1"/>
    <n v="30390.89"/>
    <x v="4"/>
    <n v="21273.623"/>
    <n v="1"/>
    <x v="52"/>
    <n v="5318.4"/>
    <d v="2024-10-31T00:00:00"/>
    <x v="52"/>
  </r>
  <r>
    <x v="6"/>
    <s v="Footwear"/>
    <s v="Bata"/>
    <s v="Budget"/>
    <s v="West"/>
    <x v="7"/>
    <n v="3221.61"/>
    <x v="0"/>
    <n v="3221.61"/>
    <n v="4"/>
    <x v="53"/>
    <n v="1932.97"/>
    <d v="2024-07-14T00:00:00"/>
    <x v="53"/>
  </r>
  <r>
    <x v="4"/>
    <s v="Furniture"/>
    <s v="Godrej Interio"/>
    <s v="Premium"/>
    <s v="West"/>
    <x v="9"/>
    <n v="38868.050000000003"/>
    <x v="5"/>
    <n v="33037.842499999999"/>
    <n v="5"/>
    <x v="54"/>
    <n v="57816.22"/>
    <d v="2024-04-18T00:00:00"/>
    <x v="54"/>
  </r>
  <r>
    <x v="14"/>
    <s v="Electronics"/>
    <s v="HP"/>
    <s v="Standard"/>
    <s v="North"/>
    <x v="4"/>
    <n v="15205.15"/>
    <x v="1"/>
    <n v="12164.12"/>
    <n v="2"/>
    <x v="55"/>
    <n v="6082.06"/>
    <d v="2024-03-29T00:00:00"/>
    <x v="55"/>
  </r>
  <r>
    <x v="11"/>
    <s v="Home Appliance"/>
    <s v="LG"/>
    <s v="Premium"/>
    <s v="West"/>
    <x v="9"/>
    <n v="9906.2999999999993"/>
    <x v="0"/>
    <n v="9906.2999999999993"/>
    <n v="1"/>
    <x v="56"/>
    <n v="3467.2"/>
    <d v="2024-04-02T00:00:00"/>
    <x v="56"/>
  </r>
  <r>
    <x v="6"/>
    <s v="Footwear"/>
    <s v="Bata"/>
    <s v="Budget"/>
    <s v="South"/>
    <x v="5"/>
    <n v="2953.88"/>
    <x v="0"/>
    <n v="2953.88"/>
    <n v="2"/>
    <x v="57"/>
    <n v="886.16"/>
    <d v="2025-02-23T00:00:00"/>
    <x v="57"/>
  </r>
  <r>
    <x v="4"/>
    <s v="Furniture"/>
    <s v="Godrej Interio"/>
    <s v="Premium"/>
    <s v="South"/>
    <x v="6"/>
    <n v="33698.019999999997"/>
    <x v="4"/>
    <n v="23588.614000000001"/>
    <n v="4"/>
    <x v="58"/>
    <n v="33024.06"/>
    <d v="2024-05-11T00:00:00"/>
    <x v="58"/>
  </r>
  <r>
    <x v="13"/>
    <s v="Home Appliance"/>
    <s v="Godrej"/>
    <s v="Budget"/>
    <s v="North"/>
    <x v="4"/>
    <n v="15856.72"/>
    <x v="0"/>
    <n v="15856.72"/>
    <n v="4"/>
    <x v="59"/>
    <n v="9514.0300000000007"/>
    <d v="2025-05-08T00:00:00"/>
    <x v="59"/>
  </r>
  <r>
    <x v="4"/>
    <s v="Furniture"/>
    <s v="Ikea"/>
    <s v="Premium"/>
    <s v="South"/>
    <x v="0"/>
    <n v="36481.4"/>
    <x v="3"/>
    <n v="32833.26"/>
    <n v="4"/>
    <x v="60"/>
    <n v="45966.559999999998"/>
    <d v="2024-10-06T00:00:00"/>
    <x v="60"/>
  </r>
  <r>
    <x v="3"/>
    <s v="Electronics"/>
    <s v="HP"/>
    <s v="Standard"/>
    <s v="East"/>
    <x v="8"/>
    <n v="1865.58"/>
    <x v="4"/>
    <n v="1305.9059999999999"/>
    <n v="5"/>
    <x v="61"/>
    <n v="1632.38"/>
    <d v="2024-03-23T00:00:00"/>
    <x v="61"/>
  </r>
  <r>
    <x v="0"/>
    <s v="Footwear"/>
    <s v="Bata"/>
    <s v="Budget"/>
    <s v="North"/>
    <x v="2"/>
    <n v="2138.88"/>
    <x v="2"/>
    <n v="2031.9359999999999"/>
    <n v="3"/>
    <x v="62"/>
    <n v="914.37"/>
    <d v="2025-05-15T00:00:00"/>
    <x v="62"/>
  </r>
  <r>
    <x v="8"/>
    <s v="Furniture"/>
    <s v="Nilkamal"/>
    <s v="Budget"/>
    <s v="South"/>
    <x v="6"/>
    <n v="20674.8"/>
    <x v="6"/>
    <n v="15506.1"/>
    <n v="1"/>
    <x v="63"/>
    <n v="2325.91"/>
    <d v="2024-02-22T00:00:00"/>
    <x v="63"/>
  </r>
  <r>
    <x v="9"/>
    <s v="Clothing"/>
    <s v="Levis"/>
    <s v="Premium"/>
    <s v="North"/>
    <x v="4"/>
    <n v="988.16"/>
    <x v="3"/>
    <n v="889.34399999999994"/>
    <n v="3"/>
    <x v="64"/>
    <n v="933.81"/>
    <d v="2024-10-22T00:00:00"/>
    <x v="64"/>
  </r>
  <r>
    <x v="9"/>
    <s v="Clothing"/>
    <s v="Levis"/>
    <s v="Premium"/>
    <s v="East"/>
    <x v="10"/>
    <n v="867.72"/>
    <x v="4"/>
    <n v="607.404"/>
    <n v="4"/>
    <x v="65"/>
    <n v="850.37"/>
    <d v="2025-06-16T00:00:00"/>
    <x v="65"/>
  </r>
  <r>
    <x v="6"/>
    <s v="Footwear"/>
    <s v="Bata"/>
    <s v="Budget"/>
    <s v="West"/>
    <x v="9"/>
    <n v="3121.39"/>
    <x v="0"/>
    <n v="3121.39"/>
    <n v="4"/>
    <x v="66"/>
    <n v="1872.83"/>
    <d v="2024-08-23T00:00:00"/>
    <x v="66"/>
  </r>
  <r>
    <x v="7"/>
    <s v="Home Appliance"/>
    <s v="Whirlpool"/>
    <s v="Standard"/>
    <s v="North"/>
    <x v="2"/>
    <n v="26867.57"/>
    <x v="5"/>
    <n v="22837.434499999999"/>
    <n v="2"/>
    <x v="67"/>
    <n v="11418.72"/>
    <d v="2025-07-21T00:00:00"/>
    <x v="31"/>
  </r>
  <r>
    <x v="1"/>
    <s v="Furniture"/>
    <s v="Nilkamal"/>
    <s v="Budget"/>
    <s v="North"/>
    <x v="2"/>
    <n v="7177.71"/>
    <x v="5"/>
    <n v="6101.0535"/>
    <n v="5"/>
    <x v="68"/>
    <n v="4575.79"/>
    <d v="2025-04-03T00:00:00"/>
    <x v="67"/>
  </r>
  <r>
    <x v="13"/>
    <s v="Home Appliance"/>
    <s v="Whirlpool"/>
    <s v="Standard"/>
    <s v="South"/>
    <x v="6"/>
    <n v="16933.96"/>
    <x v="4"/>
    <n v="11853.772000000001"/>
    <n v="2"/>
    <x v="69"/>
    <n v="5926.89"/>
    <d v="2025-05-23T00:00:00"/>
    <x v="68"/>
  </r>
  <r>
    <x v="11"/>
    <s v="Home Appliance"/>
    <s v="Godrej"/>
    <s v="Budget"/>
    <s v="South"/>
    <x v="5"/>
    <n v="6657.58"/>
    <x v="2"/>
    <n v="6324.701"/>
    <n v="5"/>
    <x v="70"/>
    <n v="4743.53"/>
    <d v="2025-06-28T00:00:00"/>
    <x v="69"/>
  </r>
  <r>
    <x v="1"/>
    <s v="Furniture"/>
    <s v="Ikea"/>
    <s v="Premium"/>
    <s v="East"/>
    <x v="10"/>
    <n v="9127.9"/>
    <x v="3"/>
    <n v="8215.11"/>
    <n v="3"/>
    <x v="71"/>
    <n v="8625.8700000000008"/>
    <d v="2024-08-17T00:00:00"/>
    <x v="34"/>
  </r>
  <r>
    <x v="12"/>
    <s v="Clothing"/>
    <s v="H&amp;M"/>
    <s v="Standard"/>
    <s v="West"/>
    <x v="7"/>
    <n v="1566.61"/>
    <x v="3"/>
    <n v="1409.9490000000001"/>
    <n v="4"/>
    <x v="72"/>
    <n v="1409.95"/>
    <d v="2024-06-13T00:00:00"/>
    <x v="70"/>
  </r>
  <r>
    <x v="3"/>
    <s v="Electronics"/>
    <s v="Xiaomi"/>
    <s v="Budget"/>
    <s v="South"/>
    <x v="5"/>
    <n v="1654.29"/>
    <x v="2"/>
    <n v="1571.5754999999999"/>
    <n v="4"/>
    <x v="73"/>
    <n v="942.94"/>
    <d v="2024-05-09T00:00:00"/>
    <x v="71"/>
  </r>
  <r>
    <x v="4"/>
    <s v="Furniture"/>
    <s v="HomeTown"/>
    <s v="Standard"/>
    <s v="South"/>
    <x v="0"/>
    <n v="28366.95"/>
    <x v="3"/>
    <n v="25530.255000000001"/>
    <n v="1"/>
    <x v="74"/>
    <n v="6382.56"/>
    <d v="2024-05-29T00:00:00"/>
    <x v="72"/>
  </r>
  <r>
    <x v="5"/>
    <s v="Clothing"/>
    <s v="Levis"/>
    <s v="Premium"/>
    <s v="West"/>
    <x v="9"/>
    <n v="3778.09"/>
    <x v="5"/>
    <n v="3211.3764999999999"/>
    <n v="3"/>
    <x v="75"/>
    <n v="3371.95"/>
    <d v="2024-12-20T00:00:00"/>
    <x v="73"/>
  </r>
  <r>
    <x v="7"/>
    <s v="Home Appliance"/>
    <s v="Godrej"/>
    <s v="Budget"/>
    <s v="South"/>
    <x v="0"/>
    <n v="21417.46"/>
    <x v="3"/>
    <n v="19275.714"/>
    <n v="4"/>
    <x v="76"/>
    <n v="11565.43"/>
    <d v="2025-05-26T00:00:00"/>
    <x v="74"/>
  </r>
  <r>
    <x v="9"/>
    <s v="Clothing"/>
    <s v="Zara"/>
    <s v="Premium"/>
    <s v="West"/>
    <x v="7"/>
    <n v="1021.58"/>
    <x v="1"/>
    <n v="817.26400000000012"/>
    <n v="5"/>
    <x v="77"/>
    <n v="1430.21"/>
    <d v="2024-08-27T00:00:00"/>
    <x v="75"/>
  </r>
  <r>
    <x v="3"/>
    <s v="Electronics"/>
    <s v="Xiaomi"/>
    <s v="Budget"/>
    <s v="West"/>
    <x v="9"/>
    <n v="1845.41"/>
    <x v="3"/>
    <n v="1660.8689999999999"/>
    <n v="4"/>
    <x v="78"/>
    <n v="996.52"/>
    <d v="2025-06-30T00:00:00"/>
    <x v="76"/>
  </r>
  <r>
    <x v="10"/>
    <s v="Furniture"/>
    <s v="Godrej Interio"/>
    <s v="Premium"/>
    <s v="East"/>
    <x v="10"/>
    <n v="41647.199999999997"/>
    <x v="2"/>
    <n v="39564.839999999997"/>
    <n v="1"/>
    <x v="79"/>
    <n v="13847.69"/>
    <d v="2024-08-08T00:00:00"/>
    <x v="43"/>
  </r>
  <r>
    <x v="11"/>
    <s v="Home Appliance"/>
    <s v="LG"/>
    <s v="Premium"/>
    <s v="North"/>
    <x v="1"/>
    <n v="10182.44"/>
    <x v="5"/>
    <n v="8655.0740000000005"/>
    <n v="5"/>
    <x v="80"/>
    <n v="15146.38"/>
    <d v="2024-01-24T00:00:00"/>
    <x v="77"/>
  </r>
  <r>
    <x v="3"/>
    <s v="Electronics"/>
    <s v="Apple"/>
    <s v="Premium"/>
    <s v="East"/>
    <x v="3"/>
    <n v="2231.2600000000002"/>
    <x v="0"/>
    <n v="2231.2600000000002"/>
    <n v="3"/>
    <x v="81"/>
    <n v="2342.8200000000002"/>
    <d v="2024-04-27T00:00:00"/>
    <x v="78"/>
  </r>
  <r>
    <x v="1"/>
    <s v="Furniture"/>
    <s v="Ikea"/>
    <s v="Premium"/>
    <s v="South"/>
    <x v="0"/>
    <n v="8998.4"/>
    <x v="5"/>
    <n v="7648.6399999999994"/>
    <n v="5"/>
    <x v="82"/>
    <n v="13385.12"/>
    <d v="2025-05-10T00:00:00"/>
    <x v="79"/>
  </r>
  <r>
    <x v="9"/>
    <s v="Clothing"/>
    <s v="Max"/>
    <s v="Budget"/>
    <s v="East"/>
    <x v="8"/>
    <n v="640.91"/>
    <x v="2"/>
    <n v="608.86449999999991"/>
    <n v="1"/>
    <x v="83"/>
    <n v="91.33"/>
    <d v="2025-01-07T00:00:00"/>
    <x v="80"/>
  </r>
  <r>
    <x v="12"/>
    <s v="Clothing"/>
    <s v="Nike"/>
    <s v="Premium"/>
    <s v="South"/>
    <x v="6"/>
    <n v="1772.79"/>
    <x v="6"/>
    <n v="1329.5925"/>
    <n v="3"/>
    <x v="84"/>
    <n v="1396.07"/>
    <d v="2024-09-26T00:00:00"/>
    <x v="21"/>
  </r>
  <r>
    <x v="8"/>
    <s v="Furniture"/>
    <s v="Ikea"/>
    <s v="Premium"/>
    <s v="West"/>
    <x v="7"/>
    <n v="32833.29"/>
    <x v="6"/>
    <n v="24624.967499999999"/>
    <n v="4"/>
    <x v="85"/>
    <n v="34474.949999999997"/>
    <d v="2025-01-30T00:00:00"/>
    <x v="81"/>
  </r>
  <r>
    <x v="6"/>
    <s v="Footwear"/>
    <s v="Bata"/>
    <s v="Budget"/>
    <s v="North"/>
    <x v="1"/>
    <n v="3119.46"/>
    <x v="0"/>
    <n v="3119.46"/>
    <n v="3"/>
    <x v="86"/>
    <n v="1403.76"/>
    <d v="2024-08-14T00:00:00"/>
    <x v="82"/>
  </r>
  <r>
    <x v="0"/>
    <s v="Footwear"/>
    <s v="Puma"/>
    <s v="Standard"/>
    <s v="West"/>
    <x v="7"/>
    <n v="2584.13"/>
    <x v="2"/>
    <n v="2454.9234999999999"/>
    <n v="1"/>
    <x v="87"/>
    <n v="613.73"/>
    <d v="2025-02-21T00:00:00"/>
    <x v="17"/>
  </r>
  <r>
    <x v="1"/>
    <s v="Furniture"/>
    <s v="Godrej Interio"/>
    <s v="Premium"/>
    <s v="North"/>
    <x v="1"/>
    <n v="10119.06"/>
    <x v="0"/>
    <n v="10119.06"/>
    <n v="1"/>
    <x v="88"/>
    <n v="3541.67"/>
    <d v="2024-10-23T00:00:00"/>
    <x v="83"/>
  </r>
  <r>
    <x v="12"/>
    <s v="Clothing"/>
    <s v="Nike"/>
    <s v="Premium"/>
    <s v="East"/>
    <x v="10"/>
    <n v="1771.68"/>
    <x v="3"/>
    <n v="1594.5119999999999"/>
    <n v="1"/>
    <x v="89"/>
    <n v="558.08000000000004"/>
    <d v="2025-07-17T00:00:00"/>
    <x v="84"/>
  </r>
  <r>
    <x v="9"/>
    <s v="Clothing"/>
    <s v="H&amp;M"/>
    <s v="Standard"/>
    <s v="East"/>
    <x v="10"/>
    <n v="779.92"/>
    <x v="4"/>
    <n v="545.94399999999996"/>
    <n v="2"/>
    <x v="90"/>
    <n v="272.97000000000003"/>
    <d v="2024-07-02T00:00:00"/>
    <x v="25"/>
  </r>
  <r>
    <x v="14"/>
    <s v="Electronics"/>
    <s v="Dell"/>
    <s v="Standard"/>
    <s v="East"/>
    <x v="10"/>
    <n v="13857.92"/>
    <x v="3"/>
    <n v="12472.128000000001"/>
    <n v="5"/>
    <x v="91"/>
    <n v="15590.16"/>
    <d v="2024-07-04T00:00:00"/>
    <x v="85"/>
  </r>
  <r>
    <x v="14"/>
    <s v="Electronics"/>
    <s v="Samsung"/>
    <s v="Premium"/>
    <s v="South"/>
    <x v="6"/>
    <n v="17036.240000000002"/>
    <x v="2"/>
    <n v="16184.428"/>
    <n v="4"/>
    <x v="92"/>
    <n v="22658.2"/>
    <d v="2025-04-25T00:00:00"/>
    <x v="86"/>
  </r>
  <r>
    <x v="6"/>
    <s v="Footwear"/>
    <s v="Bata"/>
    <s v="Budget"/>
    <s v="East"/>
    <x v="3"/>
    <n v="2710.11"/>
    <x v="4"/>
    <n v="1897.077"/>
    <n v="2"/>
    <x v="93"/>
    <n v="569.12"/>
    <d v="2024-05-22T00:00:00"/>
    <x v="87"/>
  </r>
  <r>
    <x v="9"/>
    <s v="Clothing"/>
    <s v="Roadster"/>
    <s v="Budget"/>
    <s v="South"/>
    <x v="5"/>
    <n v="690.92"/>
    <x v="6"/>
    <n v="518.18999999999994"/>
    <n v="4"/>
    <x v="94"/>
    <n v="310.91000000000003"/>
    <d v="2024-04-30T00:00:00"/>
    <x v="40"/>
  </r>
  <r>
    <x v="6"/>
    <s v="Footwear"/>
    <s v="Puma"/>
    <s v="Standard"/>
    <s v="South"/>
    <x v="5"/>
    <n v="3295.92"/>
    <x v="4"/>
    <n v="2307.1439999999998"/>
    <n v="3"/>
    <x v="95"/>
    <n v="1730.36"/>
    <d v="2024-02-27T00:00:00"/>
    <x v="88"/>
  </r>
  <r>
    <x v="7"/>
    <s v="Home Appliance"/>
    <s v="Whirlpool"/>
    <s v="Standard"/>
    <s v="South"/>
    <x v="0"/>
    <n v="24026.25"/>
    <x v="1"/>
    <n v="19221"/>
    <n v="4"/>
    <x v="96"/>
    <n v="19221"/>
    <d v="2024-06-28T00:00:00"/>
    <x v="89"/>
  </r>
  <r>
    <x v="14"/>
    <s v="Electronics"/>
    <s v="Samsung"/>
    <s v="Premium"/>
    <s v="South"/>
    <x v="6"/>
    <n v="18094.669999999998"/>
    <x v="6"/>
    <n v="13571.002500000001"/>
    <n v="1"/>
    <x v="97"/>
    <n v="4749.8500000000004"/>
    <d v="2025-07-23T00:00:00"/>
    <x v="90"/>
  </r>
  <r>
    <x v="10"/>
    <s v="Furniture"/>
    <s v="Nilkamal"/>
    <s v="Budget"/>
    <s v="North"/>
    <x v="2"/>
    <n v="31619.33"/>
    <x v="6"/>
    <n v="23714.497500000001"/>
    <n v="4"/>
    <x v="98"/>
    <n v="14228.7"/>
    <d v="2025-01-31T00:00:00"/>
    <x v="91"/>
  </r>
  <r>
    <x v="1"/>
    <s v="Furniture"/>
    <s v="HomeTown"/>
    <s v="Standard"/>
    <s v="West"/>
    <x v="11"/>
    <n v="8655.0499999999993"/>
    <x v="0"/>
    <n v="8655.0499999999993"/>
    <n v="4"/>
    <x v="99"/>
    <n v="8655.0499999999993"/>
    <d v="2024-03-08T00:00:00"/>
    <x v="4"/>
  </r>
  <r>
    <x v="9"/>
    <s v="Clothing"/>
    <s v="Levis"/>
    <s v="Premium"/>
    <s v="North"/>
    <x v="1"/>
    <n v="962.8"/>
    <x v="1"/>
    <n v="770.24"/>
    <n v="5"/>
    <x v="100"/>
    <n v="1347.92"/>
    <d v="2024-09-26T00:00:00"/>
    <x v="92"/>
  </r>
  <r>
    <x v="6"/>
    <s v="Footwear"/>
    <s v="Bata"/>
    <s v="Budget"/>
    <s v="West"/>
    <x v="9"/>
    <n v="3284.7"/>
    <x v="6"/>
    <n v="2463.5250000000001"/>
    <n v="2"/>
    <x v="101"/>
    <n v="739.06"/>
    <d v="2025-04-28T00:00:00"/>
    <x v="93"/>
  </r>
  <r>
    <x v="10"/>
    <s v="Furniture"/>
    <s v="Ikea"/>
    <s v="Premium"/>
    <s v="North"/>
    <x v="1"/>
    <n v="44532.26"/>
    <x v="0"/>
    <n v="44532.26"/>
    <n v="5"/>
    <x v="102"/>
    <n v="77931.45"/>
    <d v="2024-08-18T00:00:00"/>
    <x v="24"/>
  </r>
  <r>
    <x v="7"/>
    <s v="Home Appliance"/>
    <s v="Samsung"/>
    <s v="Premium"/>
    <s v="East"/>
    <x v="10"/>
    <n v="29464.09"/>
    <x v="3"/>
    <n v="26517.681"/>
    <n v="1"/>
    <x v="103"/>
    <n v="9281.19"/>
    <d v="2024-03-09T00:00:00"/>
    <x v="94"/>
  </r>
  <r>
    <x v="1"/>
    <s v="Furniture"/>
    <s v="HomeTown"/>
    <s v="Standard"/>
    <s v="East"/>
    <x v="10"/>
    <n v="7582.32"/>
    <x v="1"/>
    <n v="6065.8559999999998"/>
    <n v="3"/>
    <x v="104"/>
    <n v="4549.3900000000003"/>
    <d v="2024-04-16T00:00:00"/>
    <x v="95"/>
  </r>
  <r>
    <x v="8"/>
    <s v="Furniture"/>
    <s v="Godrej Interio"/>
    <s v="Premium"/>
    <s v="North"/>
    <x v="4"/>
    <n v="32436.84"/>
    <x v="0"/>
    <n v="32436.84"/>
    <n v="4"/>
    <x v="105"/>
    <n v="45411.58"/>
    <d v="2024-05-14T00:00:00"/>
    <x v="96"/>
  </r>
  <r>
    <x v="7"/>
    <s v="Home Appliance"/>
    <s v="LG"/>
    <s v="Premium"/>
    <s v="South"/>
    <x v="6"/>
    <n v="28531.94"/>
    <x v="2"/>
    <n v="27105.343000000001"/>
    <n v="2"/>
    <x v="106"/>
    <n v="18973.740000000002"/>
    <d v="2025-06-30T00:00:00"/>
    <x v="97"/>
  </r>
  <r>
    <x v="9"/>
    <s v="Clothing"/>
    <s v="Nike"/>
    <s v="Premium"/>
    <s v="West"/>
    <x v="11"/>
    <n v="1081.56"/>
    <x v="4"/>
    <n v="757.09199999999987"/>
    <n v="3"/>
    <x v="107"/>
    <n v="794.95"/>
    <d v="2024-08-20T00:00:00"/>
    <x v="34"/>
  </r>
  <r>
    <x v="4"/>
    <s v="Furniture"/>
    <s v="HomeTown"/>
    <s v="Standard"/>
    <s v="North"/>
    <x v="1"/>
    <n v="29854.53"/>
    <x v="3"/>
    <n v="26869.077000000001"/>
    <n v="2"/>
    <x v="108"/>
    <n v="13434.54"/>
    <d v="2025-05-17T00:00:00"/>
    <x v="98"/>
  </r>
  <r>
    <x v="3"/>
    <s v="Electronics"/>
    <s v="Xiaomi"/>
    <s v="Budget"/>
    <s v="West"/>
    <x v="9"/>
    <n v="1811.41"/>
    <x v="2"/>
    <n v="1720.8395"/>
    <n v="1"/>
    <x v="109"/>
    <n v="258.13"/>
    <d v="2024-07-20T00:00:00"/>
    <x v="99"/>
  </r>
  <r>
    <x v="1"/>
    <s v="Furniture"/>
    <s v="Ikea"/>
    <s v="Premium"/>
    <s v="North"/>
    <x v="1"/>
    <n v="10115.73"/>
    <x v="4"/>
    <n v="7081.0110000000004"/>
    <n v="3"/>
    <x v="110"/>
    <n v="7435.06"/>
    <d v="2024-09-19T00:00:00"/>
    <x v="100"/>
  </r>
  <r>
    <x v="1"/>
    <s v="Furniture"/>
    <s v="Ikea"/>
    <s v="Premium"/>
    <s v="North"/>
    <x v="2"/>
    <n v="9732.6299999999992"/>
    <x v="6"/>
    <n v="7299.4724999999999"/>
    <n v="2"/>
    <x v="111"/>
    <n v="5109.63"/>
    <d v="2024-09-12T00:00:00"/>
    <x v="101"/>
  </r>
  <r>
    <x v="9"/>
    <s v="Clothing"/>
    <s v="Zara"/>
    <s v="Premium"/>
    <s v="West"/>
    <x v="11"/>
    <n v="1011.73"/>
    <x v="4"/>
    <n v="708.21100000000001"/>
    <n v="5"/>
    <x v="112"/>
    <n v="1239.3699999999999"/>
    <d v="2024-02-27T00:00:00"/>
    <x v="102"/>
  </r>
  <r>
    <x v="1"/>
    <s v="Furniture"/>
    <s v="Ikea"/>
    <s v="Premium"/>
    <s v="West"/>
    <x v="11"/>
    <n v="10663.15"/>
    <x v="6"/>
    <n v="7997.3624999999993"/>
    <n v="3"/>
    <x v="113"/>
    <n v="8397.23"/>
    <d v="2024-03-14T00:00:00"/>
    <x v="28"/>
  </r>
  <r>
    <x v="5"/>
    <s v="Clothing"/>
    <s v="Nike"/>
    <s v="Premium"/>
    <s v="West"/>
    <x v="11"/>
    <n v="4012.97"/>
    <x v="1"/>
    <n v="3210.3760000000002"/>
    <n v="5"/>
    <x v="114"/>
    <n v="5618.16"/>
    <d v="2024-01-20T00:00:00"/>
    <x v="103"/>
  </r>
  <r>
    <x v="12"/>
    <s v="Clothing"/>
    <s v="Zara"/>
    <s v="Premium"/>
    <s v="East"/>
    <x v="8"/>
    <n v="1670.33"/>
    <x v="1"/>
    <n v="1336.2639999999999"/>
    <n v="4"/>
    <x v="115"/>
    <n v="1870.77"/>
    <d v="2024-02-25T00:00:00"/>
    <x v="104"/>
  </r>
  <r>
    <x v="7"/>
    <s v="Home Appliance"/>
    <s v="LG"/>
    <s v="Premium"/>
    <s v="West"/>
    <x v="9"/>
    <n v="33191.550000000003"/>
    <x v="2"/>
    <n v="31531.9725"/>
    <n v="5"/>
    <x v="116"/>
    <n v="55180.95"/>
    <d v="2024-10-31T00:00:00"/>
    <x v="105"/>
  </r>
  <r>
    <x v="8"/>
    <s v="Furniture"/>
    <s v="Godrej Interio"/>
    <s v="Premium"/>
    <s v="North"/>
    <x v="1"/>
    <n v="30969.97"/>
    <x v="2"/>
    <n v="29421.4715"/>
    <n v="1"/>
    <x v="117"/>
    <n v="10297.51"/>
    <d v="2024-06-29T00:00:00"/>
    <x v="89"/>
  </r>
  <r>
    <x v="11"/>
    <s v="Home Appliance"/>
    <s v="LG"/>
    <s v="Premium"/>
    <s v="South"/>
    <x v="6"/>
    <n v="9107.0300000000007"/>
    <x v="5"/>
    <n v="7740.9754999999996"/>
    <n v="1"/>
    <x v="118"/>
    <n v="2709.34"/>
    <d v="2024-04-25T00:00:00"/>
    <x v="106"/>
  </r>
  <r>
    <x v="2"/>
    <s v="Electronics"/>
    <s v="Samsung"/>
    <s v="Premium"/>
    <s v="South"/>
    <x v="5"/>
    <n v="60202.06"/>
    <x v="0"/>
    <n v="60202.06"/>
    <n v="1"/>
    <x v="119"/>
    <n v="21070.720000000001"/>
    <d v="2024-11-29T00:00:00"/>
    <x v="107"/>
  </r>
  <r>
    <x v="12"/>
    <s v="Clothing"/>
    <s v="Roadster"/>
    <s v="Budget"/>
    <s v="East"/>
    <x v="3"/>
    <n v="1177.9000000000001"/>
    <x v="2"/>
    <n v="1119.0050000000001"/>
    <n v="3"/>
    <x v="120"/>
    <n v="503.55"/>
    <d v="2025-04-30T00:00:00"/>
    <x v="108"/>
  </r>
  <r>
    <x v="2"/>
    <s v="Electronics"/>
    <s v="Dell"/>
    <s v="Standard"/>
    <s v="South"/>
    <x v="6"/>
    <n v="51046.35"/>
    <x v="0"/>
    <n v="51046.35"/>
    <n v="1"/>
    <x v="121"/>
    <n v="12761.59"/>
    <d v="2025-05-06T00:00:00"/>
    <x v="5"/>
  </r>
  <r>
    <x v="10"/>
    <s v="Furniture"/>
    <s v="Ikea"/>
    <s v="Premium"/>
    <s v="West"/>
    <x v="9"/>
    <n v="45161.440000000002"/>
    <x v="6"/>
    <n v="33871.08"/>
    <n v="4"/>
    <x v="122"/>
    <n v="47419.51"/>
    <d v="2025-03-10T00:00:00"/>
    <x v="109"/>
  </r>
  <r>
    <x v="11"/>
    <s v="Home Appliance"/>
    <s v="Whirlpool"/>
    <s v="Standard"/>
    <s v="West"/>
    <x v="11"/>
    <n v="8655.56"/>
    <x v="3"/>
    <n v="7790.0039999999999"/>
    <n v="5"/>
    <x v="123"/>
    <n v="9737.5"/>
    <d v="2025-05-18T00:00:00"/>
    <x v="110"/>
  </r>
  <r>
    <x v="4"/>
    <s v="Furniture"/>
    <s v="Godrej Interio"/>
    <s v="Premium"/>
    <s v="East"/>
    <x v="8"/>
    <n v="35902.81"/>
    <x v="2"/>
    <n v="34107.669500000004"/>
    <n v="4"/>
    <x v="124"/>
    <n v="47750.74"/>
    <d v="2024-11-29T00:00:00"/>
    <x v="111"/>
  </r>
  <r>
    <x v="4"/>
    <s v="Furniture"/>
    <s v="HomeTown"/>
    <s v="Standard"/>
    <s v="South"/>
    <x v="5"/>
    <n v="28761.19"/>
    <x v="3"/>
    <n v="25885.071"/>
    <n v="5"/>
    <x v="125"/>
    <n v="32356.34"/>
    <d v="2025-07-11T00:00:00"/>
    <x v="11"/>
  </r>
  <r>
    <x v="6"/>
    <s v="Footwear"/>
    <s v="Bata"/>
    <s v="Budget"/>
    <s v="North"/>
    <x v="4"/>
    <n v="3029.47"/>
    <x v="3"/>
    <n v="2726.5230000000001"/>
    <n v="4"/>
    <x v="126"/>
    <n v="1635.91"/>
    <d v="2025-05-03T00:00:00"/>
    <x v="112"/>
  </r>
  <r>
    <x v="2"/>
    <s v="Electronics"/>
    <s v="HP"/>
    <s v="Standard"/>
    <s v="South"/>
    <x v="0"/>
    <n v="51389.67"/>
    <x v="3"/>
    <n v="46250.703000000001"/>
    <n v="3"/>
    <x v="127"/>
    <n v="34688.03"/>
    <d v="2025-01-22T00:00:00"/>
    <x v="113"/>
  </r>
  <r>
    <x v="8"/>
    <s v="Furniture"/>
    <s v="Ikea"/>
    <s v="Premium"/>
    <s v="North"/>
    <x v="1"/>
    <n v="31914.62"/>
    <x v="3"/>
    <n v="28723.157999999999"/>
    <n v="1"/>
    <x v="128"/>
    <n v="10053.11"/>
    <d v="2024-03-26T00:00:00"/>
    <x v="1"/>
  </r>
  <r>
    <x v="3"/>
    <s v="Electronics"/>
    <s v="Xiaomi"/>
    <s v="Budget"/>
    <s v="East"/>
    <x v="10"/>
    <n v="1606.18"/>
    <x v="6"/>
    <n v="1204.635"/>
    <n v="1"/>
    <x v="129"/>
    <n v="180.69"/>
    <d v="2025-03-29T00:00:00"/>
    <x v="114"/>
  </r>
  <r>
    <x v="3"/>
    <s v="Electronics"/>
    <s v="Apple"/>
    <s v="Premium"/>
    <s v="North"/>
    <x v="2"/>
    <n v="2371.38"/>
    <x v="5"/>
    <n v="2015.673"/>
    <n v="4"/>
    <x v="130"/>
    <n v="2821.94"/>
    <d v="2024-11-18T00:00:00"/>
    <x v="115"/>
  </r>
  <r>
    <x v="13"/>
    <s v="Home Appliance"/>
    <s v="LG"/>
    <s v="Premium"/>
    <s v="South"/>
    <x v="6"/>
    <n v="21479.43"/>
    <x v="1"/>
    <n v="17183.544000000002"/>
    <n v="1"/>
    <x v="131"/>
    <n v="6014.24"/>
    <d v="2024-07-18T00:00:00"/>
    <x v="116"/>
  </r>
  <r>
    <x v="1"/>
    <s v="Furniture"/>
    <s v="HomeTown"/>
    <s v="Standard"/>
    <s v="South"/>
    <x v="5"/>
    <n v="7627.93"/>
    <x v="5"/>
    <n v="6483.7404999999999"/>
    <n v="5"/>
    <x v="132"/>
    <n v="8104.68"/>
    <d v="2025-06-27T00:00:00"/>
    <x v="117"/>
  </r>
  <r>
    <x v="13"/>
    <s v="Home Appliance"/>
    <s v="Samsung"/>
    <s v="Premium"/>
    <s v="East"/>
    <x v="10"/>
    <n v="21213.02"/>
    <x v="0"/>
    <n v="21213.02"/>
    <n v="5"/>
    <x v="133"/>
    <n v="37122.78"/>
    <d v="2024-09-05T00:00:00"/>
    <x v="118"/>
  </r>
  <r>
    <x v="4"/>
    <s v="Furniture"/>
    <s v="Ikea"/>
    <s v="Premium"/>
    <s v="North"/>
    <x v="2"/>
    <n v="38305.269999999997"/>
    <x v="1"/>
    <n v="30644.216"/>
    <n v="2"/>
    <x v="134"/>
    <n v="21450.95"/>
    <d v="2025-06-27T00:00:00"/>
    <x v="119"/>
  </r>
  <r>
    <x v="7"/>
    <s v="Home Appliance"/>
    <s v="Whirlpool"/>
    <s v="Standard"/>
    <s v="East"/>
    <x v="3"/>
    <n v="24530.69"/>
    <x v="0"/>
    <n v="24530.69"/>
    <n v="4"/>
    <x v="135"/>
    <n v="24530.69"/>
    <d v="2024-11-10T00:00:00"/>
    <x v="120"/>
  </r>
  <r>
    <x v="8"/>
    <s v="Furniture"/>
    <s v="HomeTown"/>
    <s v="Standard"/>
    <s v="East"/>
    <x v="3"/>
    <n v="23167.87"/>
    <x v="1"/>
    <n v="18534.295999999998"/>
    <n v="4"/>
    <x v="136"/>
    <n v="18534.29"/>
    <d v="2025-02-28T00:00:00"/>
    <x v="121"/>
  </r>
  <r>
    <x v="4"/>
    <s v="Furniture"/>
    <s v="HomeTown"/>
    <s v="Standard"/>
    <s v="East"/>
    <x v="8"/>
    <n v="29338.62"/>
    <x v="2"/>
    <n v="27871.688999999998"/>
    <n v="4"/>
    <x v="137"/>
    <n v="27871.69"/>
    <d v="2025-03-19T00:00:00"/>
    <x v="122"/>
  </r>
  <r>
    <x v="13"/>
    <s v="Home Appliance"/>
    <s v="LG"/>
    <s v="Premium"/>
    <s v="East"/>
    <x v="3"/>
    <n v="19963.52"/>
    <x v="6"/>
    <n v="14972.64"/>
    <n v="1"/>
    <x v="138"/>
    <n v="5240.42"/>
    <d v="2024-12-01T00:00:00"/>
    <x v="123"/>
  </r>
  <r>
    <x v="12"/>
    <s v="Clothing"/>
    <s v="Levis"/>
    <s v="Premium"/>
    <s v="North"/>
    <x v="2"/>
    <n v="1915.25"/>
    <x v="1"/>
    <n v="1532.2"/>
    <n v="1"/>
    <x v="139"/>
    <n v="536.27"/>
    <d v="2024-09-25T00:00:00"/>
    <x v="124"/>
  </r>
  <r>
    <x v="0"/>
    <s v="Footwear"/>
    <s v="Bata"/>
    <s v="Budget"/>
    <s v="West"/>
    <x v="9"/>
    <n v="2304.21"/>
    <x v="1"/>
    <n v="1843.3679999999999"/>
    <n v="4"/>
    <x v="140"/>
    <n v="1106.02"/>
    <d v="2025-05-30T00:00:00"/>
    <x v="125"/>
  </r>
  <r>
    <x v="11"/>
    <s v="Home Appliance"/>
    <s v="Samsung"/>
    <s v="Premium"/>
    <s v="West"/>
    <x v="7"/>
    <n v="10129.48"/>
    <x v="2"/>
    <n v="9623.0059999999994"/>
    <n v="5"/>
    <x v="141"/>
    <n v="16840.259999999998"/>
    <d v="2024-01-27T00:00:00"/>
    <x v="33"/>
  </r>
  <r>
    <x v="4"/>
    <s v="Furniture"/>
    <s v="HomeTown"/>
    <s v="Standard"/>
    <s v="East"/>
    <x v="8"/>
    <n v="27275.06"/>
    <x v="0"/>
    <n v="27275.06"/>
    <n v="3"/>
    <x v="142"/>
    <n v="20456.29"/>
    <d v="2024-09-06T00:00:00"/>
    <x v="126"/>
  </r>
  <r>
    <x v="14"/>
    <s v="Electronics"/>
    <s v="Realme"/>
    <s v="Budget"/>
    <s v="South"/>
    <x v="6"/>
    <n v="12960.34"/>
    <x v="1"/>
    <n v="10368.272000000001"/>
    <n v="3"/>
    <x v="143"/>
    <n v="4665.72"/>
    <d v="2025-07-02T00:00:00"/>
    <x v="23"/>
  </r>
  <r>
    <x v="6"/>
    <s v="Footwear"/>
    <s v="Puma"/>
    <s v="Standard"/>
    <s v="West"/>
    <x v="9"/>
    <n v="3783.03"/>
    <x v="6"/>
    <n v="2837.2725"/>
    <n v="5"/>
    <x v="144"/>
    <n v="3546.59"/>
    <d v="2025-05-22T00:00:00"/>
    <x v="74"/>
  </r>
  <r>
    <x v="3"/>
    <s v="Electronics"/>
    <s v="HP"/>
    <s v="Standard"/>
    <s v="South"/>
    <x v="0"/>
    <n v="1970.09"/>
    <x v="6"/>
    <n v="1477.5675000000001"/>
    <n v="2"/>
    <x v="145"/>
    <n v="738.78"/>
    <d v="2024-10-20T00:00:00"/>
    <x v="83"/>
  </r>
  <r>
    <x v="7"/>
    <s v="Home Appliance"/>
    <s v="Whirlpool"/>
    <s v="Standard"/>
    <s v="East"/>
    <x v="3"/>
    <n v="24664"/>
    <x v="4"/>
    <n v="17264.8"/>
    <n v="3"/>
    <x v="146"/>
    <n v="12948.6"/>
    <d v="2025-02-25T00:00:00"/>
    <x v="121"/>
  </r>
  <r>
    <x v="13"/>
    <s v="Home Appliance"/>
    <s v="LG"/>
    <s v="Premium"/>
    <s v="East"/>
    <x v="3"/>
    <n v="21249.4"/>
    <x v="4"/>
    <n v="14874.58"/>
    <n v="5"/>
    <x v="147"/>
    <n v="26030.51"/>
    <d v="2025-06-18T00:00:00"/>
    <x v="127"/>
  </r>
  <r>
    <x v="3"/>
    <s v="Electronics"/>
    <s v="HP"/>
    <s v="Standard"/>
    <s v="West"/>
    <x v="7"/>
    <n v="2141.9499999999998"/>
    <x v="4"/>
    <n v="1499.365"/>
    <n v="4"/>
    <x v="148"/>
    <n v="1499.37"/>
    <d v="2024-07-12T00:00:00"/>
    <x v="128"/>
  </r>
  <r>
    <x v="13"/>
    <s v="Home Appliance"/>
    <s v="Whirlpool"/>
    <s v="Standard"/>
    <s v="West"/>
    <x v="7"/>
    <n v="19781.11"/>
    <x v="2"/>
    <n v="18792.054499999998"/>
    <n v="2"/>
    <x v="149"/>
    <n v="9396.0300000000007"/>
    <d v="2025-03-15T00:00:00"/>
    <x v="129"/>
  </r>
  <r>
    <x v="3"/>
    <s v="Electronics"/>
    <s v="Dell"/>
    <s v="Standard"/>
    <s v="South"/>
    <x v="0"/>
    <n v="1995.79"/>
    <x v="4"/>
    <n v="1397.0530000000001"/>
    <n v="2"/>
    <x v="150"/>
    <n v="698.53"/>
    <d v="2025-07-27T00:00:00"/>
    <x v="130"/>
  </r>
  <r>
    <x v="2"/>
    <s v="Electronics"/>
    <s v="Xiaomi"/>
    <s v="Budget"/>
    <s v="South"/>
    <x v="5"/>
    <n v="43710.07"/>
    <x v="6"/>
    <n v="32782.552499999998"/>
    <n v="4"/>
    <x v="151"/>
    <n v="19669.53"/>
    <d v="2025-02-16T00:00:00"/>
    <x v="131"/>
  </r>
  <r>
    <x v="9"/>
    <s v="Clothing"/>
    <s v="Nike"/>
    <s v="Premium"/>
    <s v="South"/>
    <x v="0"/>
    <n v="981.44"/>
    <x v="1"/>
    <n v="785.15200000000004"/>
    <n v="4"/>
    <x v="152"/>
    <n v="1099.21"/>
    <d v="2025-06-03T00:00:00"/>
    <x v="132"/>
  </r>
  <r>
    <x v="2"/>
    <s v="Electronics"/>
    <s v="HP"/>
    <s v="Standard"/>
    <s v="West"/>
    <x v="7"/>
    <n v="55826.45"/>
    <x v="5"/>
    <n v="47452.482499999998"/>
    <n v="2"/>
    <x v="153"/>
    <n v="23726.240000000002"/>
    <d v="2024-03-17T00:00:00"/>
    <x v="133"/>
  </r>
  <r>
    <x v="12"/>
    <s v="Clothing"/>
    <s v="Nike"/>
    <s v="Premium"/>
    <s v="West"/>
    <x v="11"/>
    <n v="1864.87"/>
    <x v="6"/>
    <n v="1398.6524999999999"/>
    <n v="4"/>
    <x v="154"/>
    <n v="1958.11"/>
    <d v="2025-01-10T00:00:00"/>
    <x v="134"/>
  </r>
  <r>
    <x v="5"/>
    <s v="Clothing"/>
    <s v="Max"/>
    <s v="Budget"/>
    <s v="South"/>
    <x v="6"/>
    <n v="2466.38"/>
    <x v="6"/>
    <n v="1849.7850000000001"/>
    <n v="2"/>
    <x v="155"/>
    <n v="554.94000000000005"/>
    <d v="2025-04-30T00:00:00"/>
    <x v="135"/>
  </r>
  <r>
    <x v="1"/>
    <s v="Furniture"/>
    <s v="Nilkamal"/>
    <s v="Budget"/>
    <s v="East"/>
    <x v="10"/>
    <n v="6626.59"/>
    <x v="2"/>
    <n v="6295.2604999999994"/>
    <n v="3"/>
    <x v="156"/>
    <n v="2832.87"/>
    <d v="2024-09-28T00:00:00"/>
    <x v="136"/>
  </r>
  <r>
    <x v="6"/>
    <s v="Footwear"/>
    <s v="Adidas"/>
    <s v="Premium"/>
    <s v="North"/>
    <x v="2"/>
    <n v="4216.32"/>
    <x v="4"/>
    <n v="2951.424"/>
    <n v="1"/>
    <x v="157"/>
    <n v="1033"/>
    <d v="2024-06-29T00:00:00"/>
    <x v="137"/>
  </r>
  <r>
    <x v="12"/>
    <s v="Clothing"/>
    <s v="Max"/>
    <s v="Budget"/>
    <s v="East"/>
    <x v="3"/>
    <n v="1250.69"/>
    <x v="2"/>
    <n v="1188.1555000000001"/>
    <n v="3"/>
    <x v="158"/>
    <n v="534.66999999999996"/>
    <d v="2024-09-10T00:00:00"/>
    <x v="138"/>
  </r>
  <r>
    <x v="12"/>
    <s v="Clothing"/>
    <s v="Levis"/>
    <s v="Premium"/>
    <s v="West"/>
    <x v="7"/>
    <n v="1876.96"/>
    <x v="5"/>
    <n v="1595.4159999999999"/>
    <n v="5"/>
    <x v="159"/>
    <n v="2791.98"/>
    <d v="2024-02-25T00:00:00"/>
    <x v="139"/>
  </r>
  <r>
    <x v="4"/>
    <s v="Furniture"/>
    <s v="Ikea"/>
    <s v="Premium"/>
    <s v="West"/>
    <x v="11"/>
    <n v="37616.82"/>
    <x v="0"/>
    <n v="37616.82"/>
    <n v="2"/>
    <x v="160"/>
    <n v="26331.77"/>
    <d v="2024-09-24T00:00:00"/>
    <x v="140"/>
  </r>
  <r>
    <x v="1"/>
    <s v="Furniture"/>
    <s v="Ikea"/>
    <s v="Premium"/>
    <s v="North"/>
    <x v="4"/>
    <n v="9695.11"/>
    <x v="2"/>
    <n v="9210.3544999999995"/>
    <n v="2"/>
    <x v="161"/>
    <n v="6447.25"/>
    <d v="2024-04-10T00:00:00"/>
    <x v="141"/>
  </r>
  <r>
    <x v="10"/>
    <s v="Furniture"/>
    <s v="HomeTown"/>
    <s v="Standard"/>
    <s v="West"/>
    <x v="9"/>
    <n v="36265.07"/>
    <x v="4"/>
    <n v="25385.548999999999"/>
    <n v="1"/>
    <x v="162"/>
    <n v="6346.39"/>
    <d v="2025-06-17T00:00:00"/>
    <x v="127"/>
  </r>
  <r>
    <x v="7"/>
    <s v="Home Appliance"/>
    <s v="LG"/>
    <s v="Premium"/>
    <s v="North"/>
    <x v="1"/>
    <n v="32483.43"/>
    <x v="1"/>
    <n v="25986.743999999999"/>
    <n v="2"/>
    <x v="163"/>
    <n v="18190.72"/>
    <d v="2024-02-12T00:00:00"/>
    <x v="142"/>
  </r>
  <r>
    <x v="12"/>
    <s v="Clothing"/>
    <s v="Nike"/>
    <s v="Premium"/>
    <s v="South"/>
    <x v="5"/>
    <n v="1698.07"/>
    <x v="3"/>
    <n v="1528.2629999999999"/>
    <n v="2"/>
    <x v="164"/>
    <n v="1069.79"/>
    <d v="2024-10-13T00:00:00"/>
    <x v="143"/>
  </r>
  <r>
    <x v="7"/>
    <s v="Home Appliance"/>
    <s v="Whirlpool"/>
    <s v="Standard"/>
    <s v="West"/>
    <x v="11"/>
    <n v="27639.54"/>
    <x v="4"/>
    <n v="19347.678"/>
    <n v="5"/>
    <x v="165"/>
    <n v="24184.6"/>
    <d v="2024-05-30T00:00:00"/>
    <x v="72"/>
  </r>
  <r>
    <x v="11"/>
    <s v="Home Appliance"/>
    <s v="Godrej"/>
    <s v="Budget"/>
    <s v="South"/>
    <x v="0"/>
    <n v="6518.32"/>
    <x v="6"/>
    <n v="4888.74"/>
    <n v="1"/>
    <x v="166"/>
    <n v="733.31"/>
    <d v="2024-04-20T00:00:00"/>
    <x v="144"/>
  </r>
  <r>
    <x v="13"/>
    <s v="Home Appliance"/>
    <s v="LG"/>
    <s v="Premium"/>
    <s v="North"/>
    <x v="4"/>
    <n v="21834.07"/>
    <x v="5"/>
    <n v="18558.959500000001"/>
    <n v="1"/>
    <x v="167"/>
    <n v="6495.64"/>
    <d v="2024-10-22T00:00:00"/>
    <x v="145"/>
  </r>
  <r>
    <x v="3"/>
    <s v="Electronics"/>
    <s v="Realme"/>
    <s v="Budget"/>
    <s v="North"/>
    <x v="4"/>
    <n v="1696.27"/>
    <x v="6"/>
    <n v="1272.2025000000001"/>
    <n v="4"/>
    <x v="168"/>
    <n v="763.32"/>
    <d v="2024-06-10T00:00:00"/>
    <x v="146"/>
  </r>
  <r>
    <x v="14"/>
    <s v="Electronics"/>
    <s v="Dell"/>
    <s v="Standard"/>
    <s v="East"/>
    <x v="10"/>
    <n v="13831.39"/>
    <x v="4"/>
    <n v="9681.9729999999981"/>
    <n v="2"/>
    <x v="169"/>
    <n v="4840.99"/>
    <d v="2024-04-13T00:00:00"/>
    <x v="141"/>
  </r>
  <r>
    <x v="8"/>
    <s v="Furniture"/>
    <s v="Ikea"/>
    <s v="Premium"/>
    <s v="West"/>
    <x v="11"/>
    <n v="32157.64"/>
    <x v="1"/>
    <n v="25726.112000000001"/>
    <n v="4"/>
    <x v="170"/>
    <n v="36016.559999999998"/>
    <d v="2024-04-20T00:00:00"/>
    <x v="54"/>
  </r>
  <r>
    <x v="4"/>
    <s v="Furniture"/>
    <s v="Ikea"/>
    <s v="Premium"/>
    <s v="East"/>
    <x v="8"/>
    <n v="33924.870000000003"/>
    <x v="6"/>
    <n v="25443.6525"/>
    <n v="1"/>
    <x v="171"/>
    <n v="8905.2800000000007"/>
    <d v="2025-02-18T00:00:00"/>
    <x v="147"/>
  </r>
  <r>
    <x v="1"/>
    <s v="Furniture"/>
    <s v="Godrej Interio"/>
    <s v="Premium"/>
    <s v="West"/>
    <x v="11"/>
    <n v="10505.33"/>
    <x v="3"/>
    <n v="9454.7970000000005"/>
    <n v="3"/>
    <x v="172"/>
    <n v="9927.5400000000009"/>
    <d v="2024-01-29T00:00:00"/>
    <x v="148"/>
  </r>
  <r>
    <x v="10"/>
    <s v="Furniture"/>
    <s v="Nilkamal"/>
    <s v="Budget"/>
    <s v="South"/>
    <x v="5"/>
    <n v="28048.34"/>
    <x v="4"/>
    <n v="19633.838"/>
    <n v="5"/>
    <x v="173"/>
    <n v="14725.38"/>
    <d v="2024-04-15T00:00:00"/>
    <x v="149"/>
  </r>
  <r>
    <x v="14"/>
    <s v="Electronics"/>
    <s v="Xiaomi"/>
    <s v="Budget"/>
    <s v="South"/>
    <x v="5"/>
    <n v="12375.37"/>
    <x v="1"/>
    <n v="9900.2960000000021"/>
    <n v="4"/>
    <x v="174"/>
    <n v="5940.18"/>
    <d v="2024-03-31T00:00:00"/>
    <x v="150"/>
  </r>
  <r>
    <x v="8"/>
    <s v="Furniture"/>
    <s v="Nilkamal"/>
    <s v="Budget"/>
    <s v="West"/>
    <x v="7"/>
    <n v="23936.34"/>
    <x v="3"/>
    <n v="21542.705999999998"/>
    <n v="2"/>
    <x v="175"/>
    <n v="6462.81"/>
    <d v="2024-03-06T00:00:00"/>
    <x v="4"/>
  </r>
  <r>
    <x v="9"/>
    <s v="Clothing"/>
    <s v="H&amp;M"/>
    <s v="Standard"/>
    <s v="South"/>
    <x v="6"/>
    <n v="756.31"/>
    <x v="3"/>
    <n v="680.67899999999997"/>
    <n v="2"/>
    <x v="176"/>
    <n v="340.34"/>
    <d v="2025-03-17T00:00:00"/>
    <x v="122"/>
  </r>
  <r>
    <x v="2"/>
    <s v="Electronics"/>
    <s v="Xiaomi"/>
    <s v="Budget"/>
    <s v="West"/>
    <x v="9"/>
    <n v="43654.51"/>
    <x v="2"/>
    <n v="41471.784500000002"/>
    <n v="2"/>
    <x v="177"/>
    <n v="12441.54"/>
    <d v="2024-04-29T00:00:00"/>
    <x v="151"/>
  </r>
  <r>
    <x v="3"/>
    <s v="Electronics"/>
    <s v="HP"/>
    <s v="Standard"/>
    <s v="North"/>
    <x v="2"/>
    <n v="2138.38"/>
    <x v="3"/>
    <n v="1924.5419999999999"/>
    <n v="5"/>
    <x v="178"/>
    <n v="2405.6799999999998"/>
    <d v="2024-02-14T00:00:00"/>
    <x v="152"/>
  </r>
  <r>
    <x v="0"/>
    <s v="Footwear"/>
    <s v="Adidas"/>
    <s v="Premium"/>
    <s v="West"/>
    <x v="9"/>
    <n v="3215.95"/>
    <x v="2"/>
    <n v="3055.1525000000001"/>
    <n v="2"/>
    <x v="179"/>
    <n v="2138.61"/>
    <d v="2024-11-03T00:00:00"/>
    <x v="153"/>
  </r>
  <r>
    <x v="4"/>
    <s v="Furniture"/>
    <s v="Ikea"/>
    <s v="Premium"/>
    <s v="South"/>
    <x v="5"/>
    <n v="36006.089999999997"/>
    <x v="3"/>
    <n v="32405.481"/>
    <n v="4"/>
    <x v="180"/>
    <n v="45367.67"/>
    <d v="2024-10-03T00:00:00"/>
    <x v="154"/>
  </r>
  <r>
    <x v="14"/>
    <s v="Electronics"/>
    <s v="Apple"/>
    <s v="Premium"/>
    <s v="South"/>
    <x v="0"/>
    <n v="16847.75"/>
    <x v="5"/>
    <n v="14320.5875"/>
    <n v="2"/>
    <x v="181"/>
    <n v="10024.41"/>
    <d v="2024-01-14T00:00:00"/>
    <x v="155"/>
  </r>
  <r>
    <x v="10"/>
    <s v="Furniture"/>
    <s v="Godrej Interio"/>
    <s v="Premium"/>
    <s v="North"/>
    <x v="2"/>
    <n v="43926.27"/>
    <x v="4"/>
    <n v="30748.388999999999"/>
    <n v="1"/>
    <x v="182"/>
    <n v="10761.94"/>
    <d v="2025-07-06T00:00:00"/>
    <x v="156"/>
  </r>
  <r>
    <x v="0"/>
    <s v="Footwear"/>
    <s v="Bata"/>
    <s v="Budget"/>
    <s v="South"/>
    <x v="6"/>
    <n v="1983.63"/>
    <x v="0"/>
    <n v="1983.63"/>
    <n v="1"/>
    <x v="183"/>
    <n v="297.54000000000002"/>
    <d v="2025-02-07T00:00:00"/>
    <x v="157"/>
  </r>
  <r>
    <x v="1"/>
    <s v="Furniture"/>
    <s v="Nilkamal"/>
    <s v="Budget"/>
    <s v="East"/>
    <x v="3"/>
    <n v="6744.25"/>
    <x v="5"/>
    <n v="5732.6125000000002"/>
    <n v="1"/>
    <x v="184"/>
    <n v="859.89"/>
    <d v="2025-04-04T00:00:00"/>
    <x v="158"/>
  </r>
  <r>
    <x v="1"/>
    <s v="Furniture"/>
    <s v="HomeTown"/>
    <s v="Standard"/>
    <s v="East"/>
    <x v="10"/>
    <n v="7708.43"/>
    <x v="4"/>
    <n v="5395.9009999999998"/>
    <n v="3"/>
    <x v="185"/>
    <n v="4046.93"/>
    <d v="2024-12-15T00:00:00"/>
    <x v="159"/>
  </r>
  <r>
    <x v="4"/>
    <s v="Furniture"/>
    <s v="Godrej Interio"/>
    <s v="Premium"/>
    <s v="South"/>
    <x v="0"/>
    <n v="36305.15"/>
    <x v="1"/>
    <n v="29044.12"/>
    <n v="5"/>
    <x v="186"/>
    <n v="50827.21"/>
    <d v="2024-10-12T00:00:00"/>
    <x v="160"/>
  </r>
  <r>
    <x v="4"/>
    <s v="Furniture"/>
    <s v="Nilkamal"/>
    <s v="Budget"/>
    <s v="East"/>
    <x v="3"/>
    <n v="24936.43"/>
    <x v="1"/>
    <n v="19949.144"/>
    <n v="3"/>
    <x v="187"/>
    <n v="8977.11"/>
    <d v="2025-03-27T00:00:00"/>
    <x v="161"/>
  </r>
  <r>
    <x v="7"/>
    <s v="Home Appliance"/>
    <s v="LG"/>
    <s v="Premium"/>
    <s v="West"/>
    <x v="7"/>
    <n v="32230.71"/>
    <x v="0"/>
    <n v="32230.71"/>
    <n v="4"/>
    <x v="188"/>
    <n v="45122.99"/>
    <d v="2024-08-31T00:00:00"/>
    <x v="162"/>
  </r>
  <r>
    <x v="4"/>
    <s v="Furniture"/>
    <s v="Nilkamal"/>
    <s v="Budget"/>
    <s v="East"/>
    <x v="3"/>
    <n v="24778.080000000002"/>
    <x v="5"/>
    <n v="21061.367999999999"/>
    <n v="5"/>
    <x v="189"/>
    <n v="15796.03"/>
    <d v="2024-11-02T00:00:00"/>
    <x v="105"/>
  </r>
  <r>
    <x v="11"/>
    <s v="Home Appliance"/>
    <s v="LG"/>
    <s v="Premium"/>
    <s v="South"/>
    <x v="0"/>
    <n v="9576.11"/>
    <x v="0"/>
    <n v="9576.11"/>
    <n v="5"/>
    <x v="190"/>
    <n v="16758.189999999999"/>
    <d v="2024-04-23T00:00:00"/>
    <x v="163"/>
  </r>
  <r>
    <x v="13"/>
    <s v="Home Appliance"/>
    <s v="Whirlpool"/>
    <s v="Standard"/>
    <s v="West"/>
    <x v="11"/>
    <n v="19267.490000000002"/>
    <x v="4"/>
    <n v="13487.243"/>
    <n v="5"/>
    <x v="191"/>
    <n v="16859.05"/>
    <d v="2024-06-10T00:00:00"/>
    <x v="164"/>
  </r>
  <r>
    <x v="8"/>
    <s v="Furniture"/>
    <s v="HomeTown"/>
    <s v="Standard"/>
    <s v="North"/>
    <x v="4"/>
    <n v="25489.09"/>
    <x v="6"/>
    <n v="19116.817500000001"/>
    <n v="4"/>
    <x v="192"/>
    <n v="19116.82"/>
    <d v="2024-12-09T00:00:00"/>
    <x v="165"/>
  </r>
  <r>
    <x v="4"/>
    <s v="Furniture"/>
    <s v="Ikea"/>
    <s v="Premium"/>
    <s v="South"/>
    <x v="0"/>
    <n v="33997.68"/>
    <x v="5"/>
    <n v="28898.027999999998"/>
    <n v="3"/>
    <x v="193"/>
    <n v="30342.93"/>
    <d v="2024-10-21T00:00:00"/>
    <x v="166"/>
  </r>
  <r>
    <x v="0"/>
    <s v="Footwear"/>
    <s v="Bata"/>
    <s v="Budget"/>
    <s v="West"/>
    <x v="11"/>
    <n v="2402.5700000000002"/>
    <x v="3"/>
    <n v="2162.3130000000001"/>
    <n v="4"/>
    <x v="194"/>
    <n v="1297.3900000000001"/>
    <d v="2024-10-06T00:00:00"/>
    <x v="154"/>
  </r>
  <r>
    <x v="4"/>
    <s v="Furniture"/>
    <s v="Nilkamal"/>
    <s v="Budget"/>
    <s v="South"/>
    <x v="5"/>
    <n v="25749.040000000001"/>
    <x v="6"/>
    <n v="19311.78"/>
    <n v="5"/>
    <x v="195"/>
    <n v="14483.83"/>
    <d v="2024-10-12T00:00:00"/>
    <x v="167"/>
  </r>
  <r>
    <x v="3"/>
    <s v="Electronics"/>
    <s v="Dell"/>
    <s v="Standard"/>
    <s v="North"/>
    <x v="4"/>
    <n v="2042.43"/>
    <x v="5"/>
    <n v="1736.0654999999999"/>
    <n v="3"/>
    <x v="196"/>
    <n v="1302.05"/>
    <d v="2025-05-28T00:00:00"/>
    <x v="168"/>
  </r>
  <r>
    <x v="5"/>
    <s v="Clothing"/>
    <s v="Levis"/>
    <s v="Premium"/>
    <s v="South"/>
    <x v="6"/>
    <n v="3579.63"/>
    <x v="5"/>
    <n v="3042.6855"/>
    <n v="4"/>
    <x v="197"/>
    <n v="4259.76"/>
    <d v="2025-03-03T00:00:00"/>
    <x v="169"/>
  </r>
  <r>
    <x v="11"/>
    <s v="Home Appliance"/>
    <s v="LG"/>
    <s v="Premium"/>
    <s v="North"/>
    <x v="1"/>
    <n v="10176.51"/>
    <x v="5"/>
    <n v="8650.0334999999995"/>
    <n v="1"/>
    <x v="198"/>
    <n v="3027.51"/>
    <d v="2024-12-23T00:00:00"/>
    <x v="170"/>
  </r>
  <r>
    <x v="5"/>
    <s v="Clothing"/>
    <s v="Levis"/>
    <s v="Premium"/>
    <s v="South"/>
    <x v="6"/>
    <n v="3416.14"/>
    <x v="1"/>
    <n v="2732.9119999999998"/>
    <n v="4"/>
    <x v="199"/>
    <n v="3826.08"/>
    <d v="2025-03-11T00:00:00"/>
    <x v="171"/>
  </r>
  <r>
    <x v="6"/>
    <s v="Footwear"/>
    <s v="Puma"/>
    <s v="Standard"/>
    <s v="East"/>
    <x v="8"/>
    <n v="3247.42"/>
    <x v="0"/>
    <n v="3247.42"/>
    <n v="3"/>
    <x v="200"/>
    <n v="2435.5700000000002"/>
    <d v="2025-06-07T00:00:00"/>
    <x v="172"/>
  </r>
  <r>
    <x v="3"/>
    <s v="Electronics"/>
    <s v="Dell"/>
    <s v="Standard"/>
    <s v="South"/>
    <x v="6"/>
    <n v="1968.28"/>
    <x v="2"/>
    <n v="1869.866"/>
    <n v="4"/>
    <x v="201"/>
    <n v="1869.87"/>
    <d v="2025-03-25T00:00:00"/>
    <x v="173"/>
  </r>
  <r>
    <x v="9"/>
    <s v="Clothing"/>
    <s v="Nike"/>
    <s v="Premium"/>
    <s v="West"/>
    <x v="7"/>
    <n v="1079.07"/>
    <x v="3"/>
    <n v="971.16300000000001"/>
    <n v="5"/>
    <x v="202"/>
    <n v="1699.54"/>
    <d v="2024-07-07T00:00:00"/>
    <x v="85"/>
  </r>
  <r>
    <x v="12"/>
    <s v="Clothing"/>
    <s v="Roadster"/>
    <s v="Budget"/>
    <s v="North"/>
    <x v="4"/>
    <n v="1293.78"/>
    <x v="6"/>
    <n v="970.33500000000004"/>
    <n v="5"/>
    <x v="203"/>
    <n v="727.75"/>
    <d v="2025-02-03T00:00:00"/>
    <x v="174"/>
  </r>
  <r>
    <x v="5"/>
    <s v="Clothing"/>
    <s v="Max"/>
    <s v="Budget"/>
    <s v="East"/>
    <x v="10"/>
    <n v="2440.65"/>
    <x v="0"/>
    <n v="2440.65"/>
    <n v="1"/>
    <x v="204"/>
    <n v="366.1"/>
    <d v="2024-07-10T00:00:00"/>
    <x v="175"/>
  </r>
  <r>
    <x v="4"/>
    <s v="Furniture"/>
    <s v="Nilkamal"/>
    <s v="Budget"/>
    <s v="East"/>
    <x v="10"/>
    <n v="23426.080000000002"/>
    <x v="3"/>
    <n v="21083.472000000002"/>
    <n v="3"/>
    <x v="205"/>
    <n v="9487.56"/>
    <d v="2025-01-11T00:00:00"/>
    <x v="176"/>
  </r>
  <r>
    <x v="14"/>
    <s v="Electronics"/>
    <s v="Samsung"/>
    <s v="Premium"/>
    <s v="South"/>
    <x v="6"/>
    <n v="18476.189999999999"/>
    <x v="4"/>
    <n v="12933.333000000001"/>
    <n v="1"/>
    <x v="206"/>
    <n v="4526.67"/>
    <d v="2025-06-03T00:00:00"/>
    <x v="177"/>
  </r>
  <r>
    <x v="13"/>
    <s v="Home Appliance"/>
    <s v="LG"/>
    <s v="Premium"/>
    <s v="South"/>
    <x v="6"/>
    <n v="20731.72"/>
    <x v="4"/>
    <n v="14512.204"/>
    <n v="3"/>
    <x v="207"/>
    <n v="15237.81"/>
    <d v="2024-12-18T00:00:00"/>
    <x v="178"/>
  </r>
  <r>
    <x v="14"/>
    <s v="Electronics"/>
    <s v="Apple"/>
    <s v="Premium"/>
    <s v="North"/>
    <x v="1"/>
    <n v="18972.62"/>
    <x v="3"/>
    <n v="17075.358"/>
    <n v="5"/>
    <x v="208"/>
    <n v="29881.88"/>
    <d v="2025-06-22T00:00:00"/>
    <x v="179"/>
  </r>
  <r>
    <x v="8"/>
    <s v="Furniture"/>
    <s v="HomeTown"/>
    <s v="Standard"/>
    <s v="South"/>
    <x v="5"/>
    <n v="24421.07"/>
    <x v="5"/>
    <n v="20757.909500000002"/>
    <n v="5"/>
    <x v="209"/>
    <n v="25947.39"/>
    <d v="2025-06-27T00:00:00"/>
    <x v="23"/>
  </r>
  <r>
    <x v="10"/>
    <s v="Furniture"/>
    <s v="HomeTown"/>
    <s v="Standard"/>
    <s v="West"/>
    <x v="7"/>
    <n v="38433.629999999997"/>
    <x v="5"/>
    <n v="32668.585500000001"/>
    <n v="4"/>
    <x v="210"/>
    <n v="32668.58"/>
    <d v="2024-08-27T00:00:00"/>
    <x v="180"/>
  </r>
  <r>
    <x v="11"/>
    <s v="Home Appliance"/>
    <s v="Godrej"/>
    <s v="Budget"/>
    <s v="West"/>
    <x v="9"/>
    <n v="7398.22"/>
    <x v="3"/>
    <n v="6658.3980000000001"/>
    <n v="5"/>
    <x v="211"/>
    <n v="4993.8"/>
    <d v="2024-07-27T00:00:00"/>
    <x v="181"/>
  </r>
  <r>
    <x v="10"/>
    <s v="Furniture"/>
    <s v="HomeTown"/>
    <s v="Standard"/>
    <s v="West"/>
    <x v="9"/>
    <n v="37562.480000000003"/>
    <x v="2"/>
    <n v="35684.356"/>
    <n v="2"/>
    <x v="212"/>
    <n v="17842.18"/>
    <d v="2024-03-05T00:00:00"/>
    <x v="182"/>
  </r>
  <r>
    <x v="0"/>
    <s v="Footwear"/>
    <s v="Adidas"/>
    <s v="Premium"/>
    <s v="East"/>
    <x v="3"/>
    <n v="2957.37"/>
    <x v="3"/>
    <n v="2661.6329999999998"/>
    <n v="3"/>
    <x v="213"/>
    <n v="2794.71"/>
    <d v="2024-07-20T00:00:00"/>
    <x v="183"/>
  </r>
  <r>
    <x v="14"/>
    <s v="Electronics"/>
    <s v="Samsung"/>
    <s v="Premium"/>
    <s v="West"/>
    <x v="7"/>
    <n v="19256.96"/>
    <x v="5"/>
    <n v="16368.415999999999"/>
    <n v="2"/>
    <x v="214"/>
    <n v="11457.89"/>
    <d v="2024-03-12T00:00:00"/>
    <x v="4"/>
  </r>
  <r>
    <x v="11"/>
    <s v="Home Appliance"/>
    <s v="Godrej"/>
    <s v="Budget"/>
    <s v="North"/>
    <x v="2"/>
    <n v="6983.39"/>
    <x v="0"/>
    <n v="6983.39"/>
    <n v="1"/>
    <x v="215"/>
    <n v="1047.51"/>
    <d v="2024-01-01T00:00:00"/>
    <x v="184"/>
  </r>
  <r>
    <x v="9"/>
    <s v="Clothing"/>
    <s v="H&amp;M"/>
    <s v="Standard"/>
    <s v="East"/>
    <x v="3"/>
    <n v="780.75"/>
    <x v="5"/>
    <n v="663.63749999999993"/>
    <n v="1"/>
    <x v="216"/>
    <n v="165.91"/>
    <d v="2024-08-07T00:00:00"/>
    <x v="185"/>
  </r>
  <r>
    <x v="2"/>
    <s v="Electronics"/>
    <s v="Realme"/>
    <s v="Budget"/>
    <s v="West"/>
    <x v="7"/>
    <n v="45382.42"/>
    <x v="0"/>
    <n v="45382.42"/>
    <n v="2"/>
    <x v="217"/>
    <n v="13614.73"/>
    <d v="2025-05-08T00:00:00"/>
    <x v="186"/>
  </r>
  <r>
    <x v="13"/>
    <s v="Home Appliance"/>
    <s v="Whirlpool"/>
    <s v="Standard"/>
    <s v="North"/>
    <x v="1"/>
    <n v="18033.689999999999"/>
    <x v="5"/>
    <n v="15328.636500000001"/>
    <n v="4"/>
    <x v="218"/>
    <n v="15328.64"/>
    <d v="2024-05-10T00:00:00"/>
    <x v="187"/>
  </r>
  <r>
    <x v="14"/>
    <s v="Electronics"/>
    <s v="Xiaomi"/>
    <s v="Budget"/>
    <s v="East"/>
    <x v="10"/>
    <n v="11562.25"/>
    <x v="2"/>
    <n v="10984.137500000001"/>
    <n v="2"/>
    <x v="219"/>
    <n v="3295.24"/>
    <d v="2025-01-15T00:00:00"/>
    <x v="188"/>
  </r>
  <r>
    <x v="11"/>
    <s v="Home Appliance"/>
    <s v="LG"/>
    <s v="Premium"/>
    <s v="South"/>
    <x v="5"/>
    <n v="9233.68"/>
    <x v="6"/>
    <n v="6925.26"/>
    <n v="5"/>
    <x v="220"/>
    <n v="12119.2"/>
    <d v="2025-01-30T00:00:00"/>
    <x v="189"/>
  </r>
  <r>
    <x v="4"/>
    <s v="Furniture"/>
    <s v="HomeTown"/>
    <s v="Standard"/>
    <s v="South"/>
    <x v="6"/>
    <n v="28212.49"/>
    <x v="6"/>
    <n v="21159.3675"/>
    <n v="1"/>
    <x v="221"/>
    <n v="5289.84"/>
    <d v="2024-01-30T00:00:00"/>
    <x v="190"/>
  </r>
  <r>
    <x v="14"/>
    <s v="Electronics"/>
    <s v="Realme"/>
    <s v="Budget"/>
    <s v="South"/>
    <x v="5"/>
    <n v="11901.2"/>
    <x v="0"/>
    <n v="11901.2"/>
    <n v="4"/>
    <x v="222"/>
    <n v="7140.72"/>
    <d v="2024-07-25T00:00:00"/>
    <x v="191"/>
  </r>
  <r>
    <x v="1"/>
    <s v="Furniture"/>
    <s v="HomeTown"/>
    <s v="Standard"/>
    <s v="South"/>
    <x v="6"/>
    <n v="7584.6"/>
    <x v="3"/>
    <n v="6826.14"/>
    <n v="3"/>
    <x v="223"/>
    <n v="5119.6000000000004"/>
    <d v="2025-01-13T00:00:00"/>
    <x v="192"/>
  </r>
  <r>
    <x v="1"/>
    <s v="Furniture"/>
    <s v="Nilkamal"/>
    <s v="Budget"/>
    <s v="South"/>
    <x v="0"/>
    <n v="6486.16"/>
    <x v="5"/>
    <n v="5513.2359999999999"/>
    <n v="2"/>
    <x v="224"/>
    <n v="1653.97"/>
    <d v="2024-12-31T00:00:00"/>
    <x v="9"/>
  </r>
  <r>
    <x v="5"/>
    <s v="Clothing"/>
    <s v="Levis"/>
    <s v="Premium"/>
    <s v="South"/>
    <x v="0"/>
    <n v="3606.25"/>
    <x v="3"/>
    <n v="3245.625"/>
    <n v="1"/>
    <x v="225"/>
    <n v="1135.97"/>
    <d v="2025-07-02T00:00:00"/>
    <x v="193"/>
  </r>
  <r>
    <x v="9"/>
    <s v="Clothing"/>
    <s v="Zara"/>
    <s v="Premium"/>
    <s v="East"/>
    <x v="8"/>
    <n v="871.81"/>
    <x v="6"/>
    <n v="653.85749999999996"/>
    <n v="4"/>
    <x v="226"/>
    <n v="915.4"/>
    <d v="2024-07-26T00:00:00"/>
    <x v="181"/>
  </r>
  <r>
    <x v="11"/>
    <s v="Home Appliance"/>
    <s v="LG"/>
    <s v="Premium"/>
    <s v="North"/>
    <x v="2"/>
    <n v="10229.36"/>
    <x v="4"/>
    <n v="7160.5519999999997"/>
    <n v="1"/>
    <x v="227"/>
    <n v="2506.19"/>
    <d v="2025-06-30T00:00:00"/>
    <x v="194"/>
  </r>
  <r>
    <x v="9"/>
    <s v="Clothing"/>
    <s v="Max"/>
    <s v="Budget"/>
    <s v="South"/>
    <x v="6"/>
    <n v="687.26"/>
    <x v="6"/>
    <n v="515.44499999999994"/>
    <n v="5"/>
    <x v="228"/>
    <n v="386.58"/>
    <d v="2024-12-02T00:00:00"/>
    <x v="195"/>
  </r>
  <r>
    <x v="14"/>
    <s v="Electronics"/>
    <s v="HP"/>
    <s v="Standard"/>
    <s v="East"/>
    <x v="10"/>
    <n v="14580.6"/>
    <x v="6"/>
    <n v="10935.45"/>
    <n v="3"/>
    <x v="229"/>
    <n v="8201.59"/>
    <d v="2024-05-18T00:00:00"/>
    <x v="3"/>
  </r>
  <r>
    <x v="2"/>
    <s v="Electronics"/>
    <s v="Samsung"/>
    <s v="Premium"/>
    <s v="East"/>
    <x v="10"/>
    <n v="57896.11"/>
    <x v="2"/>
    <n v="55001.304499999998"/>
    <n v="5"/>
    <x v="230"/>
    <n v="96252.28"/>
    <d v="2024-02-05T00:00:00"/>
    <x v="190"/>
  </r>
  <r>
    <x v="14"/>
    <s v="Electronics"/>
    <s v="Dell"/>
    <s v="Standard"/>
    <s v="South"/>
    <x v="0"/>
    <n v="14482.37"/>
    <x v="3"/>
    <n v="13034.133"/>
    <n v="3"/>
    <x v="231"/>
    <n v="9775.6"/>
    <d v="2024-08-12T00:00:00"/>
    <x v="196"/>
  </r>
  <r>
    <x v="8"/>
    <s v="Furniture"/>
    <s v="HomeTown"/>
    <s v="Standard"/>
    <s v="West"/>
    <x v="7"/>
    <n v="27073.119999999999"/>
    <x v="6"/>
    <n v="20304.84"/>
    <n v="5"/>
    <x v="232"/>
    <n v="25381.05"/>
    <d v="2024-04-11T00:00:00"/>
    <x v="197"/>
  </r>
  <r>
    <x v="1"/>
    <s v="Furniture"/>
    <s v="Godrej Interio"/>
    <s v="Premium"/>
    <s v="South"/>
    <x v="0"/>
    <n v="9519.26"/>
    <x v="3"/>
    <n v="8567.3340000000007"/>
    <n v="5"/>
    <x v="233"/>
    <n v="14992.83"/>
    <d v="2024-05-07T00:00:00"/>
    <x v="14"/>
  </r>
  <r>
    <x v="14"/>
    <s v="Electronics"/>
    <s v="Xiaomi"/>
    <s v="Budget"/>
    <s v="North"/>
    <x v="1"/>
    <n v="13160.35"/>
    <x v="2"/>
    <n v="12502.3325"/>
    <n v="1"/>
    <x v="234"/>
    <n v="1875.35"/>
    <d v="2024-10-17T00:00:00"/>
    <x v="143"/>
  </r>
  <r>
    <x v="9"/>
    <s v="Clothing"/>
    <s v="Max"/>
    <s v="Budget"/>
    <s v="South"/>
    <x v="5"/>
    <n v="675.96"/>
    <x v="6"/>
    <n v="506.97"/>
    <n v="4"/>
    <x v="235"/>
    <n v="304.18"/>
    <d v="2024-07-20T00:00:00"/>
    <x v="183"/>
  </r>
  <r>
    <x v="3"/>
    <s v="Electronics"/>
    <s v="Realme"/>
    <s v="Budget"/>
    <s v="East"/>
    <x v="3"/>
    <n v="1692.64"/>
    <x v="5"/>
    <n v="1438.7439999999999"/>
    <n v="4"/>
    <x v="236"/>
    <n v="863.25"/>
    <d v="2024-09-07T00:00:00"/>
    <x v="118"/>
  </r>
  <r>
    <x v="8"/>
    <s v="Furniture"/>
    <s v="Godrej Interio"/>
    <s v="Premium"/>
    <s v="North"/>
    <x v="2"/>
    <n v="30851.59"/>
    <x v="2"/>
    <n v="29309.0105"/>
    <n v="2"/>
    <x v="237"/>
    <n v="20516.310000000001"/>
    <d v="2025-06-12T00:00:00"/>
    <x v="198"/>
  </r>
  <r>
    <x v="5"/>
    <s v="Clothing"/>
    <s v="Nike"/>
    <s v="Premium"/>
    <s v="North"/>
    <x v="1"/>
    <n v="3704.83"/>
    <x v="4"/>
    <n v="2593.3809999999999"/>
    <n v="2"/>
    <x v="238"/>
    <n v="1815.37"/>
    <d v="2024-09-29T00:00:00"/>
    <x v="199"/>
  </r>
  <r>
    <x v="14"/>
    <s v="Electronics"/>
    <s v="Realme"/>
    <s v="Budget"/>
    <s v="West"/>
    <x v="9"/>
    <n v="13128.03"/>
    <x v="2"/>
    <n v="12471.628500000001"/>
    <n v="5"/>
    <x v="239"/>
    <n v="9353.7199999999993"/>
    <d v="2025-06-08T00:00:00"/>
    <x v="200"/>
  </r>
  <r>
    <x v="10"/>
    <s v="Furniture"/>
    <s v="Ikea"/>
    <s v="Premium"/>
    <s v="West"/>
    <x v="9"/>
    <n v="45397.88"/>
    <x v="1"/>
    <n v="36318.303999999996"/>
    <n v="4"/>
    <x v="240"/>
    <n v="50845.63"/>
    <d v="2024-01-09T00:00:00"/>
    <x v="201"/>
  </r>
  <r>
    <x v="12"/>
    <s v="Clothing"/>
    <s v="Nike"/>
    <s v="Premium"/>
    <s v="North"/>
    <x v="1"/>
    <n v="1958.66"/>
    <x v="6"/>
    <n v="1468.9949999999999"/>
    <n v="1"/>
    <x v="241"/>
    <n v="514.15"/>
    <d v="2025-04-05T00:00:00"/>
    <x v="202"/>
  </r>
  <r>
    <x v="8"/>
    <s v="Furniture"/>
    <s v="Nilkamal"/>
    <s v="Budget"/>
    <s v="North"/>
    <x v="2"/>
    <n v="22078.06"/>
    <x v="4"/>
    <n v="15454.642"/>
    <n v="1"/>
    <x v="242"/>
    <n v="2318.1999999999998"/>
    <d v="2024-08-15T00:00:00"/>
    <x v="203"/>
  </r>
  <r>
    <x v="4"/>
    <s v="Furniture"/>
    <s v="Ikea"/>
    <s v="Premium"/>
    <s v="South"/>
    <x v="5"/>
    <n v="34680.69"/>
    <x v="2"/>
    <n v="32946.655500000001"/>
    <n v="2"/>
    <x v="243"/>
    <n v="23062.66"/>
    <d v="2024-10-23T00:00:00"/>
    <x v="204"/>
  </r>
  <r>
    <x v="4"/>
    <s v="Furniture"/>
    <s v="HomeTown"/>
    <s v="Standard"/>
    <s v="South"/>
    <x v="6"/>
    <n v="29412.19"/>
    <x v="5"/>
    <n v="25000.361499999999"/>
    <n v="3"/>
    <x v="244"/>
    <n v="18750.27"/>
    <d v="2025-07-07T00:00:00"/>
    <x v="205"/>
  </r>
  <r>
    <x v="10"/>
    <s v="Furniture"/>
    <s v="Godrej Interio"/>
    <s v="Premium"/>
    <s v="North"/>
    <x v="1"/>
    <n v="44828.69"/>
    <x v="6"/>
    <n v="33621.517500000002"/>
    <n v="1"/>
    <x v="245"/>
    <n v="11767.53"/>
    <d v="2024-09-23T00:00:00"/>
    <x v="124"/>
  </r>
  <r>
    <x v="12"/>
    <s v="Clothing"/>
    <s v="Roadster"/>
    <s v="Budget"/>
    <s v="North"/>
    <x v="4"/>
    <n v="1292.25"/>
    <x v="4"/>
    <n v="904.57499999999993"/>
    <n v="4"/>
    <x v="246"/>
    <n v="542.75"/>
    <d v="2025-06-11T00:00:00"/>
    <x v="206"/>
  </r>
  <r>
    <x v="3"/>
    <s v="Electronics"/>
    <s v="HP"/>
    <s v="Standard"/>
    <s v="East"/>
    <x v="8"/>
    <n v="1955.84"/>
    <x v="5"/>
    <n v="1662.4639999999999"/>
    <n v="5"/>
    <x v="247"/>
    <n v="2078.08"/>
    <d v="2024-03-31T00:00:00"/>
    <x v="1"/>
  </r>
  <r>
    <x v="6"/>
    <s v="Footwear"/>
    <s v="Puma"/>
    <s v="Standard"/>
    <s v="South"/>
    <x v="0"/>
    <n v="3272.04"/>
    <x v="2"/>
    <n v="3108.4380000000001"/>
    <n v="5"/>
    <x v="248"/>
    <n v="3885.55"/>
    <d v="2024-05-10T00:00:00"/>
    <x v="187"/>
  </r>
  <r>
    <x v="1"/>
    <s v="Furniture"/>
    <s v="Godrej Interio"/>
    <s v="Premium"/>
    <s v="South"/>
    <x v="0"/>
    <n v="9068.15"/>
    <x v="1"/>
    <n v="7254.52"/>
    <n v="5"/>
    <x v="249"/>
    <n v="12695.41"/>
    <d v="2024-05-04T00:00:00"/>
    <x v="207"/>
  </r>
  <r>
    <x v="8"/>
    <s v="Furniture"/>
    <s v="Godrej Interio"/>
    <s v="Premium"/>
    <s v="South"/>
    <x v="0"/>
    <n v="30172.3"/>
    <x v="5"/>
    <n v="25646.455000000002"/>
    <n v="1"/>
    <x v="250"/>
    <n v="8976.26"/>
    <d v="2024-11-24T00:00:00"/>
    <x v="208"/>
  </r>
  <r>
    <x v="10"/>
    <s v="Furniture"/>
    <s v="Ikea"/>
    <s v="Premium"/>
    <s v="East"/>
    <x v="10"/>
    <n v="38614.36"/>
    <x v="5"/>
    <n v="32822.205999999998"/>
    <n v="4"/>
    <x v="251"/>
    <n v="45951.09"/>
    <d v="2025-04-26T00:00:00"/>
    <x v="112"/>
  </r>
  <r>
    <x v="1"/>
    <s v="Furniture"/>
    <s v="Ikea"/>
    <s v="Premium"/>
    <s v="North"/>
    <x v="2"/>
    <n v="9645.64"/>
    <x v="0"/>
    <n v="9645.64"/>
    <n v="1"/>
    <x v="252"/>
    <n v="3375.97"/>
    <d v="2024-03-26T00:00:00"/>
    <x v="209"/>
  </r>
  <r>
    <x v="14"/>
    <s v="Electronics"/>
    <s v="HP"/>
    <s v="Standard"/>
    <s v="East"/>
    <x v="8"/>
    <n v="14680.49"/>
    <x v="3"/>
    <n v="13212.441000000001"/>
    <n v="3"/>
    <x v="253"/>
    <n v="9909.33"/>
    <d v="2025-05-22T00:00:00"/>
    <x v="210"/>
  </r>
  <r>
    <x v="0"/>
    <s v="Footwear"/>
    <s v="Adidas"/>
    <s v="Premium"/>
    <s v="East"/>
    <x v="10"/>
    <n v="2977.94"/>
    <x v="1"/>
    <n v="2382.3519999999999"/>
    <n v="3"/>
    <x v="254"/>
    <n v="2501.4699999999998"/>
    <d v="2025-01-08T00:00:00"/>
    <x v="192"/>
  </r>
  <r>
    <x v="5"/>
    <s v="Clothing"/>
    <s v="Roadster"/>
    <s v="Budget"/>
    <s v="North"/>
    <x v="4"/>
    <n v="2673.57"/>
    <x v="3"/>
    <n v="2406.2130000000002"/>
    <n v="2"/>
    <x v="255"/>
    <n v="721.86"/>
    <d v="2024-07-19T00:00:00"/>
    <x v="211"/>
  </r>
  <r>
    <x v="12"/>
    <s v="Clothing"/>
    <s v="Zara"/>
    <s v="Premium"/>
    <s v="South"/>
    <x v="0"/>
    <n v="1838.37"/>
    <x v="4"/>
    <n v="1286.8589999999999"/>
    <n v="4"/>
    <x v="256"/>
    <n v="1801.6"/>
    <d v="2024-02-25T00:00:00"/>
    <x v="102"/>
  </r>
  <r>
    <x v="5"/>
    <s v="Clothing"/>
    <s v="Zara"/>
    <s v="Premium"/>
    <s v="North"/>
    <x v="2"/>
    <n v="3887.41"/>
    <x v="6"/>
    <n v="2915.5574999999999"/>
    <n v="4"/>
    <x v="257"/>
    <n v="4081.78"/>
    <d v="2024-01-01T00:00:00"/>
    <x v="212"/>
  </r>
  <r>
    <x v="0"/>
    <s v="Footwear"/>
    <s v="Bata"/>
    <s v="Budget"/>
    <s v="West"/>
    <x v="7"/>
    <n v="2323.17"/>
    <x v="4"/>
    <n v="1626.2190000000001"/>
    <n v="5"/>
    <x v="258"/>
    <n v="1219.6600000000001"/>
    <d v="2024-11-06T00:00:00"/>
    <x v="213"/>
  </r>
  <r>
    <x v="11"/>
    <s v="Home Appliance"/>
    <s v="Godrej"/>
    <s v="Budget"/>
    <s v="North"/>
    <x v="2"/>
    <n v="6887.79"/>
    <x v="3"/>
    <n v="6199.0110000000004"/>
    <n v="5"/>
    <x v="259"/>
    <n v="4649.26"/>
    <d v="2024-08-16T00:00:00"/>
    <x v="66"/>
  </r>
  <r>
    <x v="8"/>
    <s v="Furniture"/>
    <s v="Godrej Interio"/>
    <s v="Premium"/>
    <s v="South"/>
    <x v="0"/>
    <n v="30147.19"/>
    <x v="6"/>
    <n v="22610.392500000002"/>
    <n v="5"/>
    <x v="260"/>
    <n v="39568.19"/>
    <d v="2024-03-01T00:00:00"/>
    <x v="214"/>
  </r>
  <r>
    <x v="3"/>
    <s v="Electronics"/>
    <s v="Dell"/>
    <s v="Standard"/>
    <s v="East"/>
    <x v="3"/>
    <n v="1826.54"/>
    <x v="6"/>
    <n v="1369.905"/>
    <n v="2"/>
    <x v="261"/>
    <n v="684.95"/>
    <d v="2024-10-23T00:00:00"/>
    <x v="204"/>
  </r>
  <r>
    <x v="2"/>
    <s v="Electronics"/>
    <s v="HP"/>
    <s v="Standard"/>
    <s v="North"/>
    <x v="4"/>
    <n v="50861.87"/>
    <x v="1"/>
    <n v="40689.496000000006"/>
    <n v="3"/>
    <x v="262"/>
    <n v="30517.119999999999"/>
    <d v="2025-01-29T00:00:00"/>
    <x v="174"/>
  </r>
  <r>
    <x v="9"/>
    <s v="Clothing"/>
    <s v="Levis"/>
    <s v="Premium"/>
    <s v="South"/>
    <x v="6"/>
    <n v="900.76"/>
    <x v="3"/>
    <n v="810.68399999999997"/>
    <n v="1"/>
    <x v="263"/>
    <n v="283.74"/>
    <d v="2024-02-20T00:00:00"/>
    <x v="152"/>
  </r>
  <r>
    <x v="6"/>
    <s v="Footwear"/>
    <s v="Puma"/>
    <s v="Standard"/>
    <s v="North"/>
    <x v="4"/>
    <n v="3690.03"/>
    <x v="0"/>
    <n v="3690.03"/>
    <n v="1"/>
    <x v="264"/>
    <n v="922.51"/>
    <d v="2024-05-30T00:00:00"/>
    <x v="215"/>
  </r>
  <r>
    <x v="8"/>
    <s v="Furniture"/>
    <s v="Godrej Interio"/>
    <s v="Premium"/>
    <s v="South"/>
    <x v="0"/>
    <n v="30177.95"/>
    <x v="2"/>
    <n v="28669.052500000002"/>
    <n v="5"/>
    <x v="265"/>
    <n v="50170.84"/>
    <d v="2025-07-27T00:00:00"/>
    <x v="130"/>
  </r>
  <r>
    <x v="7"/>
    <s v="Home Appliance"/>
    <s v="Samsung"/>
    <s v="Premium"/>
    <s v="East"/>
    <x v="10"/>
    <n v="28719.81"/>
    <x v="0"/>
    <n v="28719.81"/>
    <n v="4"/>
    <x v="266"/>
    <n v="40207.730000000003"/>
    <d v="2024-01-20T00:00:00"/>
    <x v="216"/>
  </r>
  <r>
    <x v="2"/>
    <s v="Electronics"/>
    <s v="HP"/>
    <s v="Standard"/>
    <s v="East"/>
    <x v="8"/>
    <n v="49243.58"/>
    <x v="5"/>
    <n v="41857.042999999998"/>
    <n v="3"/>
    <x v="267"/>
    <n v="31392.78"/>
    <d v="2025-06-06T00:00:00"/>
    <x v="217"/>
  </r>
  <r>
    <x v="9"/>
    <s v="Clothing"/>
    <s v="H&amp;M"/>
    <s v="Standard"/>
    <s v="North"/>
    <x v="4"/>
    <n v="804.32"/>
    <x v="6"/>
    <n v="603.24"/>
    <n v="5"/>
    <x v="268"/>
    <n v="754.05"/>
    <d v="2024-04-25T00:00:00"/>
    <x v="218"/>
  </r>
  <r>
    <x v="13"/>
    <s v="Home Appliance"/>
    <s v="Samsung"/>
    <s v="Premium"/>
    <s v="West"/>
    <x v="7"/>
    <n v="22554.16"/>
    <x v="6"/>
    <n v="16915.62"/>
    <n v="2"/>
    <x v="269"/>
    <n v="11840.93"/>
    <d v="2025-07-08T00:00:00"/>
    <x v="219"/>
  </r>
  <r>
    <x v="13"/>
    <s v="Home Appliance"/>
    <s v="Godrej"/>
    <s v="Budget"/>
    <s v="West"/>
    <x v="7"/>
    <n v="16197.03"/>
    <x v="0"/>
    <n v="16197.03"/>
    <n v="2"/>
    <x v="270"/>
    <n v="4859.1099999999997"/>
    <d v="2025-02-28T00:00:00"/>
    <x v="220"/>
  </r>
  <r>
    <x v="9"/>
    <s v="Clothing"/>
    <s v="Roadster"/>
    <s v="Budget"/>
    <s v="East"/>
    <x v="3"/>
    <n v="638.46"/>
    <x v="4"/>
    <n v="446.92200000000003"/>
    <n v="2"/>
    <x v="271"/>
    <n v="134.08000000000001"/>
    <d v="2024-07-07T00:00:00"/>
    <x v="221"/>
  </r>
  <r>
    <x v="11"/>
    <s v="Home Appliance"/>
    <s v="LG"/>
    <s v="Premium"/>
    <s v="West"/>
    <x v="7"/>
    <n v="10003.91"/>
    <x v="6"/>
    <n v="7502.9324999999999"/>
    <n v="5"/>
    <x v="272"/>
    <n v="13130.13"/>
    <d v="2024-07-10T00:00:00"/>
    <x v="222"/>
  </r>
  <r>
    <x v="8"/>
    <s v="Furniture"/>
    <s v="Nilkamal"/>
    <s v="Budget"/>
    <s v="North"/>
    <x v="1"/>
    <n v="21439.17"/>
    <x v="2"/>
    <n v="20367.211500000001"/>
    <n v="5"/>
    <x v="273"/>
    <n v="15275.41"/>
    <d v="2025-03-20T00:00:00"/>
    <x v="223"/>
  </r>
  <r>
    <x v="7"/>
    <s v="Home Appliance"/>
    <s v="LG"/>
    <s v="Premium"/>
    <s v="South"/>
    <x v="5"/>
    <n v="29294.04"/>
    <x v="5"/>
    <n v="24899.934000000001"/>
    <n v="5"/>
    <x v="274"/>
    <n v="43574.879999999997"/>
    <d v="2024-03-28T00:00:00"/>
    <x v="150"/>
  </r>
  <r>
    <x v="10"/>
    <s v="Furniture"/>
    <s v="Godrej Interio"/>
    <s v="Premium"/>
    <s v="North"/>
    <x v="2"/>
    <n v="44836.51"/>
    <x v="4"/>
    <n v="31385.557000000001"/>
    <n v="1"/>
    <x v="275"/>
    <n v="10984.95"/>
    <d v="2025-06-23T00:00:00"/>
    <x v="224"/>
  </r>
  <r>
    <x v="6"/>
    <s v="Footwear"/>
    <s v="Adidas"/>
    <s v="Premium"/>
    <s v="West"/>
    <x v="7"/>
    <n v="4449.13"/>
    <x v="0"/>
    <n v="4449.13"/>
    <n v="4"/>
    <x v="276"/>
    <n v="6228.78"/>
    <d v="2024-04-01T00:00:00"/>
    <x v="150"/>
  </r>
  <r>
    <x v="12"/>
    <s v="Clothing"/>
    <s v="Nike"/>
    <s v="Premium"/>
    <s v="West"/>
    <x v="9"/>
    <n v="1990.95"/>
    <x v="5"/>
    <n v="1692.3074999999999"/>
    <n v="1"/>
    <x v="277"/>
    <n v="592.30999999999995"/>
    <d v="2024-01-21T00:00:00"/>
    <x v="225"/>
  </r>
  <r>
    <x v="9"/>
    <s v="Clothing"/>
    <s v="Zara"/>
    <s v="Premium"/>
    <s v="East"/>
    <x v="8"/>
    <n v="894.94"/>
    <x v="5"/>
    <n v="760.69900000000007"/>
    <n v="5"/>
    <x v="278"/>
    <n v="1331.22"/>
    <d v="2024-06-05T00:00:00"/>
    <x v="35"/>
  </r>
  <r>
    <x v="7"/>
    <s v="Home Appliance"/>
    <s v="Samsung"/>
    <s v="Premium"/>
    <s v="East"/>
    <x v="8"/>
    <n v="28236.98"/>
    <x v="1"/>
    <n v="22589.583999999999"/>
    <n v="2"/>
    <x v="279"/>
    <n v="15812.71"/>
    <d v="2024-01-29T00:00:00"/>
    <x v="226"/>
  </r>
  <r>
    <x v="6"/>
    <s v="Footwear"/>
    <s v="Bata"/>
    <s v="Budget"/>
    <s v="East"/>
    <x v="3"/>
    <n v="2828.85"/>
    <x v="6"/>
    <n v="2121.6374999999998"/>
    <n v="3"/>
    <x v="280"/>
    <n v="954.74"/>
    <d v="2025-03-29T00:00:00"/>
    <x v="227"/>
  </r>
  <r>
    <x v="4"/>
    <s v="Furniture"/>
    <s v="HomeTown"/>
    <s v="Standard"/>
    <s v="East"/>
    <x v="3"/>
    <n v="28927.67"/>
    <x v="0"/>
    <n v="28927.67"/>
    <n v="2"/>
    <x v="281"/>
    <n v="14463.83"/>
    <d v="2025-06-14T00:00:00"/>
    <x v="179"/>
  </r>
  <r>
    <x v="14"/>
    <s v="Electronics"/>
    <s v="HP"/>
    <s v="Standard"/>
    <s v="North"/>
    <x v="1"/>
    <n v="15376.6"/>
    <x v="1"/>
    <n v="12301.28"/>
    <n v="1"/>
    <x v="282"/>
    <n v="3075.32"/>
    <d v="2025-03-24T00:00:00"/>
    <x v="173"/>
  </r>
  <r>
    <x v="1"/>
    <s v="Furniture"/>
    <s v="Ikea"/>
    <s v="Premium"/>
    <s v="South"/>
    <x v="0"/>
    <n v="9085.09"/>
    <x v="0"/>
    <n v="9085.09"/>
    <n v="4"/>
    <x v="283"/>
    <n v="12719.13"/>
    <d v="2025-01-06T00:00:00"/>
    <x v="228"/>
  </r>
  <r>
    <x v="6"/>
    <s v="Footwear"/>
    <s v="Adidas"/>
    <s v="Premium"/>
    <s v="East"/>
    <x v="8"/>
    <n v="3980.67"/>
    <x v="3"/>
    <n v="3582.6030000000001"/>
    <n v="3"/>
    <x v="284"/>
    <n v="3761.73"/>
    <d v="2024-08-19T00:00:00"/>
    <x v="24"/>
  </r>
  <r>
    <x v="5"/>
    <s v="Clothing"/>
    <s v="Levis"/>
    <s v="Premium"/>
    <s v="North"/>
    <x v="1"/>
    <n v="3835.61"/>
    <x v="6"/>
    <n v="2876.7075"/>
    <n v="4"/>
    <x v="285"/>
    <n v="4027.39"/>
    <d v="2024-03-28T00:00:00"/>
    <x v="229"/>
  </r>
  <r>
    <x v="14"/>
    <s v="Electronics"/>
    <s v="Samsung"/>
    <s v="Premium"/>
    <s v="East"/>
    <x v="8"/>
    <n v="16478.43"/>
    <x v="1"/>
    <n v="13182.744000000001"/>
    <n v="2"/>
    <x v="286"/>
    <n v="9227.92"/>
    <d v="2024-09-26T00:00:00"/>
    <x v="21"/>
  </r>
  <r>
    <x v="5"/>
    <s v="Clothing"/>
    <s v="Levis"/>
    <s v="Premium"/>
    <s v="North"/>
    <x v="2"/>
    <n v="3764.99"/>
    <x v="4"/>
    <n v="2635.492999999999"/>
    <n v="2"/>
    <x v="287"/>
    <n v="1844.85"/>
    <d v="2025-05-21T00:00:00"/>
    <x v="230"/>
  </r>
  <r>
    <x v="13"/>
    <s v="Home Appliance"/>
    <s v="Godrej"/>
    <s v="Budget"/>
    <s v="North"/>
    <x v="1"/>
    <n v="15429.88"/>
    <x v="3"/>
    <n v="13886.892"/>
    <n v="4"/>
    <x v="288"/>
    <n v="8332.14"/>
    <d v="2024-06-29T00:00:00"/>
    <x v="231"/>
  </r>
  <r>
    <x v="0"/>
    <s v="Footwear"/>
    <s v="Bata"/>
    <s v="Budget"/>
    <s v="North"/>
    <x v="1"/>
    <n v="2288.29"/>
    <x v="2"/>
    <n v="2173.8755000000001"/>
    <n v="4"/>
    <x v="289"/>
    <n v="1304.33"/>
    <d v="2024-03-31T00:00:00"/>
    <x v="50"/>
  </r>
  <r>
    <x v="1"/>
    <s v="Furniture"/>
    <s v="Ikea"/>
    <s v="Premium"/>
    <s v="East"/>
    <x v="3"/>
    <n v="8953.66"/>
    <x v="0"/>
    <n v="8953.66"/>
    <n v="3"/>
    <x v="290"/>
    <n v="9401.34"/>
    <d v="2025-03-22T00:00:00"/>
    <x v="122"/>
  </r>
  <r>
    <x v="13"/>
    <s v="Home Appliance"/>
    <s v="Whirlpool"/>
    <s v="Standard"/>
    <s v="East"/>
    <x v="10"/>
    <n v="17449.080000000002"/>
    <x v="0"/>
    <n v="17449.080000000002"/>
    <n v="3"/>
    <x v="291"/>
    <n v="13086.81"/>
    <d v="2025-05-22T00:00:00"/>
    <x v="232"/>
  </r>
  <r>
    <x v="4"/>
    <s v="Furniture"/>
    <s v="Nilkamal"/>
    <s v="Budget"/>
    <s v="West"/>
    <x v="9"/>
    <n v="27268.080000000002"/>
    <x v="1"/>
    <n v="21814.464"/>
    <n v="4"/>
    <x v="292"/>
    <n v="13088.68"/>
    <d v="2024-10-04T00:00:00"/>
    <x v="60"/>
  </r>
  <r>
    <x v="8"/>
    <s v="Furniture"/>
    <s v="HomeTown"/>
    <s v="Standard"/>
    <s v="West"/>
    <x v="9"/>
    <n v="25970.86"/>
    <x v="5"/>
    <n v="22075.231"/>
    <n v="3"/>
    <x v="293"/>
    <n v="16556.419999999998"/>
    <d v="2024-04-23T00:00:00"/>
    <x v="218"/>
  </r>
  <r>
    <x v="12"/>
    <s v="Clothing"/>
    <s v="Zara"/>
    <s v="Premium"/>
    <s v="East"/>
    <x v="3"/>
    <n v="1688.53"/>
    <x v="2"/>
    <n v="1604.1034999999999"/>
    <n v="3"/>
    <x v="294"/>
    <n v="1684.31"/>
    <d v="2025-04-08T00:00:00"/>
    <x v="233"/>
  </r>
  <r>
    <x v="2"/>
    <s v="Electronics"/>
    <s v="Apple"/>
    <s v="Premium"/>
    <s v="South"/>
    <x v="6"/>
    <n v="60686.06"/>
    <x v="1"/>
    <n v="48548.847999999998"/>
    <n v="3"/>
    <x v="295"/>
    <n v="50976.29"/>
    <d v="2024-10-16T00:00:00"/>
    <x v="234"/>
  </r>
  <r>
    <x v="10"/>
    <s v="Furniture"/>
    <s v="Godrej Interio"/>
    <s v="Premium"/>
    <s v="South"/>
    <x v="6"/>
    <n v="41388.1"/>
    <x v="6"/>
    <n v="31041.075000000001"/>
    <n v="1"/>
    <x v="296"/>
    <n v="10864.37"/>
    <d v="2025-01-12T00:00:00"/>
    <x v="134"/>
  </r>
  <r>
    <x v="7"/>
    <s v="Home Appliance"/>
    <s v="Samsung"/>
    <s v="Premium"/>
    <s v="North"/>
    <x v="1"/>
    <n v="31200.560000000001"/>
    <x v="3"/>
    <n v="28080.504000000001"/>
    <n v="3"/>
    <x v="297"/>
    <n v="29484.53"/>
    <d v="2024-10-30T00:00:00"/>
    <x v="235"/>
  </r>
  <r>
    <x v="12"/>
    <s v="Clothing"/>
    <s v="Max"/>
    <s v="Budget"/>
    <s v="North"/>
    <x v="1"/>
    <n v="1375.91"/>
    <x v="2"/>
    <n v="1307.1144999999999"/>
    <n v="3"/>
    <x v="298"/>
    <n v="588.20000000000005"/>
    <d v="2025-05-28T00:00:00"/>
    <x v="236"/>
  </r>
  <r>
    <x v="5"/>
    <s v="Clothing"/>
    <s v="Max"/>
    <s v="Budget"/>
    <s v="South"/>
    <x v="5"/>
    <n v="2421.87"/>
    <x v="6"/>
    <n v="1816.4024999999999"/>
    <n v="1"/>
    <x v="299"/>
    <n v="272.45999999999998"/>
    <d v="2024-08-09T00:00:00"/>
    <x v="196"/>
  </r>
  <r>
    <x v="8"/>
    <s v="Furniture"/>
    <s v="Nilkamal"/>
    <s v="Budget"/>
    <s v="North"/>
    <x v="2"/>
    <n v="22942.240000000002"/>
    <x v="1"/>
    <n v="18353.792000000001"/>
    <n v="3"/>
    <x v="300"/>
    <n v="8259.2099999999991"/>
    <d v="2025-02-16T00:00:00"/>
    <x v="237"/>
  </r>
  <r>
    <x v="10"/>
    <s v="Furniture"/>
    <s v="Ikea"/>
    <s v="Premium"/>
    <s v="West"/>
    <x v="11"/>
    <n v="46549.51"/>
    <x v="0"/>
    <n v="46549.51"/>
    <n v="4"/>
    <x v="301"/>
    <n v="65169.31"/>
    <d v="2025-07-09T00:00:00"/>
    <x v="193"/>
  </r>
  <r>
    <x v="13"/>
    <s v="Home Appliance"/>
    <s v="Godrej"/>
    <s v="Budget"/>
    <s v="South"/>
    <x v="6"/>
    <n v="14893.94"/>
    <x v="2"/>
    <n v="14149.243"/>
    <n v="5"/>
    <x v="302"/>
    <n v="10611.93"/>
    <d v="2025-03-24T00:00:00"/>
    <x v="238"/>
  </r>
  <r>
    <x v="3"/>
    <s v="Electronics"/>
    <s v="Dell"/>
    <s v="Standard"/>
    <s v="West"/>
    <x v="7"/>
    <n v="2105.71"/>
    <x v="2"/>
    <n v="2000.4245000000001"/>
    <n v="1"/>
    <x v="303"/>
    <n v="500.11"/>
    <d v="2025-06-07T00:00:00"/>
    <x v="239"/>
  </r>
  <r>
    <x v="2"/>
    <s v="Electronics"/>
    <s v="HP"/>
    <s v="Standard"/>
    <s v="East"/>
    <x v="8"/>
    <n v="47220.59"/>
    <x v="4"/>
    <n v="33054.412999999993"/>
    <n v="4"/>
    <x v="304"/>
    <n v="33054.410000000003"/>
    <d v="2024-01-18T00:00:00"/>
    <x v="155"/>
  </r>
  <r>
    <x v="3"/>
    <s v="Electronics"/>
    <s v="Xiaomi"/>
    <s v="Budget"/>
    <s v="South"/>
    <x v="6"/>
    <n v="1587.47"/>
    <x v="2"/>
    <n v="1508.0965000000001"/>
    <n v="1"/>
    <x v="305"/>
    <n v="226.21"/>
    <d v="2025-07-06T00:00:00"/>
    <x v="194"/>
  </r>
  <r>
    <x v="3"/>
    <s v="Electronics"/>
    <s v="Apple"/>
    <s v="Premium"/>
    <s v="East"/>
    <x v="10"/>
    <n v="2296.5500000000002"/>
    <x v="5"/>
    <n v="1952.0675000000001"/>
    <n v="4"/>
    <x v="306"/>
    <n v="2732.89"/>
    <d v="2024-08-26T00:00:00"/>
    <x v="240"/>
  </r>
  <r>
    <x v="7"/>
    <s v="Home Appliance"/>
    <s v="Godrej"/>
    <s v="Budget"/>
    <s v="West"/>
    <x v="11"/>
    <n v="23182.3"/>
    <x v="3"/>
    <n v="20864.07"/>
    <n v="1"/>
    <x v="307"/>
    <n v="3129.61"/>
    <d v="2024-08-03T00:00:00"/>
    <x v="185"/>
  </r>
  <r>
    <x v="8"/>
    <s v="Furniture"/>
    <s v="Nilkamal"/>
    <s v="Budget"/>
    <s v="South"/>
    <x v="6"/>
    <n v="20384.439999999999"/>
    <x v="1"/>
    <n v="16307.552"/>
    <n v="5"/>
    <x v="308"/>
    <n v="12230.66"/>
    <d v="2025-02-15T00:00:00"/>
    <x v="241"/>
  </r>
  <r>
    <x v="5"/>
    <s v="Clothing"/>
    <s v="Max"/>
    <s v="Budget"/>
    <s v="North"/>
    <x v="1"/>
    <n v="2671.48"/>
    <x v="2"/>
    <n v="2537.9059999999999"/>
    <n v="2"/>
    <x v="309"/>
    <n v="761.37"/>
    <d v="2025-05-05T00:00:00"/>
    <x v="242"/>
  </r>
  <r>
    <x v="0"/>
    <s v="Footwear"/>
    <s v="Bata"/>
    <s v="Budget"/>
    <s v="West"/>
    <x v="9"/>
    <n v="2367.77"/>
    <x v="6"/>
    <n v="1775.8275000000001"/>
    <n v="2"/>
    <x v="310"/>
    <n v="532.75"/>
    <d v="2024-06-19T00:00:00"/>
    <x v="243"/>
  </r>
  <r>
    <x v="11"/>
    <s v="Home Appliance"/>
    <s v="Godrej"/>
    <s v="Budget"/>
    <s v="North"/>
    <x v="2"/>
    <n v="7028.47"/>
    <x v="6"/>
    <n v="5271.3525"/>
    <n v="1"/>
    <x v="311"/>
    <n v="790.7"/>
    <d v="2024-12-30T00:00:00"/>
    <x v="244"/>
  </r>
  <r>
    <x v="0"/>
    <s v="Footwear"/>
    <s v="Adidas"/>
    <s v="Premium"/>
    <s v="West"/>
    <x v="9"/>
    <n v="3317.34"/>
    <x v="1"/>
    <n v="2653.8719999999998"/>
    <n v="2"/>
    <x v="312"/>
    <n v="1857.71"/>
    <d v="2024-03-07T00:00:00"/>
    <x v="245"/>
  </r>
  <r>
    <x v="10"/>
    <s v="Furniture"/>
    <s v="Ikea"/>
    <s v="Premium"/>
    <s v="South"/>
    <x v="5"/>
    <n v="41692.14"/>
    <x v="4"/>
    <n v="29184.498"/>
    <n v="2"/>
    <x v="313"/>
    <n v="20429.150000000001"/>
    <d v="2024-04-15T00:00:00"/>
    <x v="141"/>
  </r>
  <r>
    <x v="12"/>
    <s v="Clothing"/>
    <s v="Roadster"/>
    <s v="Budget"/>
    <s v="South"/>
    <x v="0"/>
    <n v="1235.08"/>
    <x v="3"/>
    <n v="1111.5719999999999"/>
    <n v="1"/>
    <x v="314"/>
    <n v="166.74"/>
    <d v="2025-02-13T00:00:00"/>
    <x v="246"/>
  </r>
  <r>
    <x v="8"/>
    <s v="Furniture"/>
    <s v="Nilkamal"/>
    <s v="Budget"/>
    <s v="East"/>
    <x v="10"/>
    <n v="19473.990000000002"/>
    <x v="2"/>
    <n v="18500.290499999999"/>
    <n v="2"/>
    <x v="315"/>
    <n v="5550.09"/>
    <d v="2025-02-21T00:00:00"/>
    <x v="247"/>
  </r>
  <r>
    <x v="7"/>
    <s v="Home Appliance"/>
    <s v="Samsung"/>
    <s v="Premium"/>
    <s v="West"/>
    <x v="9"/>
    <n v="32229.45"/>
    <x v="3"/>
    <n v="29006.505000000001"/>
    <n v="3"/>
    <x v="316"/>
    <n v="30456.83"/>
    <d v="2024-10-14T00:00:00"/>
    <x v="248"/>
  </r>
  <r>
    <x v="11"/>
    <s v="Home Appliance"/>
    <s v="Godrej"/>
    <s v="Budget"/>
    <s v="South"/>
    <x v="5"/>
    <n v="6472.25"/>
    <x v="1"/>
    <n v="5177.8"/>
    <n v="4"/>
    <x v="317"/>
    <n v="3106.68"/>
    <d v="2024-05-03T00:00:00"/>
    <x v="187"/>
  </r>
  <r>
    <x v="10"/>
    <s v="Furniture"/>
    <s v="HomeTown"/>
    <s v="Standard"/>
    <s v="East"/>
    <x v="10"/>
    <n v="34580.129999999997"/>
    <x v="0"/>
    <n v="34580.129999999997"/>
    <n v="2"/>
    <x v="318"/>
    <n v="17290.060000000001"/>
    <d v="2024-10-21T00:00:00"/>
    <x v="145"/>
  </r>
  <r>
    <x v="1"/>
    <s v="Furniture"/>
    <s v="HomeTown"/>
    <s v="Standard"/>
    <s v="South"/>
    <x v="0"/>
    <n v="7575.31"/>
    <x v="1"/>
    <n v="6060.2480000000014"/>
    <n v="3"/>
    <x v="319"/>
    <n v="4545.1899999999996"/>
    <d v="2025-03-18T00:00:00"/>
    <x v="249"/>
  </r>
  <r>
    <x v="4"/>
    <s v="Furniture"/>
    <s v="Ikea"/>
    <s v="Premium"/>
    <s v="West"/>
    <x v="11"/>
    <n v="37528.31"/>
    <x v="4"/>
    <n v="26269.816999999999"/>
    <n v="4"/>
    <x v="320"/>
    <n v="36777.74"/>
    <d v="2024-01-16T00:00:00"/>
    <x v="250"/>
  </r>
  <r>
    <x v="9"/>
    <s v="Clothing"/>
    <s v="Zara"/>
    <s v="Premium"/>
    <s v="West"/>
    <x v="11"/>
    <n v="1064.52"/>
    <x v="0"/>
    <n v="1064.52"/>
    <n v="5"/>
    <x v="321"/>
    <n v="1862.91"/>
    <d v="2024-08-17T00:00:00"/>
    <x v="82"/>
  </r>
  <r>
    <x v="8"/>
    <s v="Furniture"/>
    <s v="Nilkamal"/>
    <s v="Budget"/>
    <s v="South"/>
    <x v="6"/>
    <n v="20114.689999999999"/>
    <x v="2"/>
    <n v="19108.9555"/>
    <n v="4"/>
    <x v="322"/>
    <n v="11465.37"/>
    <d v="2024-08-04T00:00:00"/>
    <x v="251"/>
  </r>
  <r>
    <x v="12"/>
    <s v="Clothing"/>
    <s v="Roadster"/>
    <s v="Budget"/>
    <s v="South"/>
    <x v="0"/>
    <n v="1287.6199999999999"/>
    <x v="5"/>
    <n v="1094.4770000000001"/>
    <n v="5"/>
    <x v="323"/>
    <n v="820.86"/>
    <d v="2024-12-01T00:00:00"/>
    <x v="123"/>
  </r>
  <r>
    <x v="9"/>
    <s v="Clothing"/>
    <s v="Nike"/>
    <s v="Premium"/>
    <s v="West"/>
    <x v="7"/>
    <n v="1053.3"/>
    <x v="4"/>
    <n v="737.31"/>
    <n v="4"/>
    <x v="324"/>
    <n v="1032.23"/>
    <d v="2025-05-12T00:00:00"/>
    <x v="5"/>
  </r>
  <r>
    <x v="8"/>
    <s v="Furniture"/>
    <s v="Ikea"/>
    <s v="Premium"/>
    <s v="South"/>
    <x v="0"/>
    <n v="28222.09"/>
    <x v="3"/>
    <n v="25399.881000000001"/>
    <n v="4"/>
    <x v="325"/>
    <n v="35559.83"/>
    <d v="2024-09-01T00:00:00"/>
    <x v="252"/>
  </r>
  <r>
    <x v="2"/>
    <s v="Electronics"/>
    <s v="Samsung"/>
    <s v="Premium"/>
    <s v="North"/>
    <x v="1"/>
    <n v="61921.86"/>
    <x v="4"/>
    <n v="43345.302000000003"/>
    <n v="2"/>
    <x v="326"/>
    <n v="30341.71"/>
    <d v="2024-10-29T00:00:00"/>
    <x v="253"/>
  </r>
  <r>
    <x v="14"/>
    <s v="Electronics"/>
    <s v="Realme"/>
    <s v="Budget"/>
    <s v="North"/>
    <x v="1"/>
    <n v="13070.69"/>
    <x v="0"/>
    <n v="13070.69"/>
    <n v="2"/>
    <x v="327"/>
    <n v="3921.21"/>
    <d v="2025-07-15T00:00:00"/>
    <x v="31"/>
  </r>
  <r>
    <x v="9"/>
    <s v="Clothing"/>
    <s v="Levis"/>
    <s v="Premium"/>
    <s v="North"/>
    <x v="2"/>
    <n v="1027.6500000000001"/>
    <x v="0"/>
    <n v="1027.6500000000001"/>
    <n v="4"/>
    <x v="328"/>
    <n v="1438.71"/>
    <d v="2025-03-04T00:00:00"/>
    <x v="254"/>
  </r>
  <r>
    <x v="7"/>
    <s v="Home Appliance"/>
    <s v="Godrej"/>
    <s v="Budget"/>
    <s v="West"/>
    <x v="7"/>
    <n v="23463.03"/>
    <x v="3"/>
    <n v="21116.726999999999"/>
    <n v="5"/>
    <x v="329"/>
    <n v="15837.54"/>
    <d v="2024-08-10T00:00:00"/>
    <x v="255"/>
  </r>
  <r>
    <x v="13"/>
    <s v="Home Appliance"/>
    <s v="LG"/>
    <s v="Premium"/>
    <s v="South"/>
    <x v="6"/>
    <n v="21442.28"/>
    <x v="2"/>
    <n v="20370.166000000001"/>
    <n v="3"/>
    <x v="330"/>
    <n v="21388.67"/>
    <d v="2024-08-12T00:00:00"/>
    <x v="203"/>
  </r>
  <r>
    <x v="8"/>
    <s v="Furniture"/>
    <s v="Ikea"/>
    <s v="Premium"/>
    <s v="North"/>
    <x v="4"/>
    <n v="31380.94"/>
    <x v="4"/>
    <n v="21966.657999999999"/>
    <n v="3"/>
    <x v="331"/>
    <n v="23064.99"/>
    <d v="2025-05-28T00:00:00"/>
    <x v="236"/>
  </r>
  <r>
    <x v="0"/>
    <s v="Footwear"/>
    <s v="Bata"/>
    <s v="Budget"/>
    <s v="North"/>
    <x v="1"/>
    <n v="2201.1799999999998"/>
    <x v="6"/>
    <n v="1650.885"/>
    <n v="2"/>
    <x v="332"/>
    <n v="495.27"/>
    <d v="2024-08-30T00:00:00"/>
    <x v="256"/>
  </r>
  <r>
    <x v="0"/>
    <s v="Footwear"/>
    <s v="Puma"/>
    <s v="Standard"/>
    <s v="West"/>
    <x v="11"/>
    <n v="2722.04"/>
    <x v="5"/>
    <n v="2313.7339999999999"/>
    <n v="5"/>
    <x v="333"/>
    <n v="2892.17"/>
    <d v="2024-09-12T00:00:00"/>
    <x v="42"/>
  </r>
  <r>
    <x v="3"/>
    <s v="Electronics"/>
    <s v="Dell"/>
    <s v="Standard"/>
    <s v="South"/>
    <x v="6"/>
    <n v="1971.6"/>
    <x v="1"/>
    <n v="1577.28"/>
    <n v="4"/>
    <x v="334"/>
    <n v="1577.28"/>
    <d v="2024-07-20T00:00:00"/>
    <x v="257"/>
  </r>
  <r>
    <x v="2"/>
    <s v="Electronics"/>
    <s v="Apple"/>
    <s v="Premium"/>
    <s v="East"/>
    <x v="10"/>
    <n v="58786.26"/>
    <x v="1"/>
    <n v="47029.008000000002"/>
    <n v="4"/>
    <x v="335"/>
    <n v="65840.61"/>
    <d v="2024-02-12T00:00:00"/>
    <x v="258"/>
  </r>
  <r>
    <x v="4"/>
    <s v="Furniture"/>
    <s v="Nilkamal"/>
    <s v="Budget"/>
    <s v="West"/>
    <x v="9"/>
    <n v="28439.64"/>
    <x v="4"/>
    <n v="19907.748"/>
    <n v="2"/>
    <x v="336"/>
    <n v="5972.32"/>
    <d v="2024-02-23T00:00:00"/>
    <x v="259"/>
  </r>
  <r>
    <x v="6"/>
    <s v="Footwear"/>
    <s v="Puma"/>
    <s v="Standard"/>
    <s v="North"/>
    <x v="1"/>
    <n v="3596.24"/>
    <x v="2"/>
    <n v="3416.427999999999"/>
    <n v="1"/>
    <x v="337"/>
    <n v="854.11"/>
    <d v="2024-06-26T00:00:00"/>
    <x v="260"/>
  </r>
  <r>
    <x v="1"/>
    <s v="Furniture"/>
    <s v="Ikea"/>
    <s v="Premium"/>
    <s v="South"/>
    <x v="0"/>
    <n v="9771.65"/>
    <x v="2"/>
    <n v="9283.0674999999992"/>
    <n v="5"/>
    <x v="338"/>
    <n v="16245.37"/>
    <d v="2025-07-25T00:00:00"/>
    <x v="261"/>
  </r>
  <r>
    <x v="12"/>
    <s v="Clothing"/>
    <s v="Levis"/>
    <s v="Premium"/>
    <s v="West"/>
    <x v="9"/>
    <n v="1960.5"/>
    <x v="2"/>
    <n v="1862.4749999999999"/>
    <n v="2"/>
    <x v="339"/>
    <n v="1303.73"/>
    <d v="2024-06-07T00:00:00"/>
    <x v="164"/>
  </r>
  <r>
    <x v="1"/>
    <s v="Furniture"/>
    <s v="Nilkamal"/>
    <s v="Budget"/>
    <s v="North"/>
    <x v="4"/>
    <n v="6739.88"/>
    <x v="2"/>
    <n v="6402.8860000000004"/>
    <n v="5"/>
    <x v="340"/>
    <n v="4802.16"/>
    <d v="2024-05-17T00:00:00"/>
    <x v="262"/>
  </r>
  <r>
    <x v="2"/>
    <s v="Electronics"/>
    <s v="Apple"/>
    <s v="Premium"/>
    <s v="North"/>
    <x v="1"/>
    <n v="65342.91"/>
    <x v="1"/>
    <n v="52274.328000000009"/>
    <n v="3"/>
    <x v="341"/>
    <n v="54888.04"/>
    <d v="2024-09-06T00:00:00"/>
    <x v="118"/>
  </r>
  <r>
    <x v="8"/>
    <s v="Furniture"/>
    <s v="Nilkamal"/>
    <s v="Budget"/>
    <s v="East"/>
    <x v="3"/>
    <n v="19757.13"/>
    <x v="6"/>
    <n v="14817.8475"/>
    <n v="2"/>
    <x v="342"/>
    <n v="4445.3500000000004"/>
    <d v="2024-11-12T00:00:00"/>
    <x v="47"/>
  </r>
  <r>
    <x v="5"/>
    <s v="Clothing"/>
    <s v="H&amp;M"/>
    <s v="Standard"/>
    <s v="South"/>
    <x v="6"/>
    <n v="2877.5"/>
    <x v="1"/>
    <n v="2302"/>
    <n v="3"/>
    <x v="343"/>
    <n v="1726.5"/>
    <d v="2024-07-10T00:00:00"/>
    <x v="263"/>
  </r>
  <r>
    <x v="7"/>
    <s v="Home Appliance"/>
    <s v="Whirlpool"/>
    <s v="Standard"/>
    <s v="North"/>
    <x v="4"/>
    <n v="25744.63"/>
    <x v="3"/>
    <n v="23170.167000000001"/>
    <n v="3"/>
    <x v="344"/>
    <n v="17377.62"/>
    <d v="2024-02-11T00:00:00"/>
    <x v="264"/>
  </r>
  <r>
    <x v="8"/>
    <s v="Furniture"/>
    <s v="HomeTown"/>
    <s v="Standard"/>
    <s v="North"/>
    <x v="1"/>
    <n v="26995.3"/>
    <x v="5"/>
    <n v="22946.005000000001"/>
    <n v="1"/>
    <x v="345"/>
    <n v="5736.5"/>
    <d v="2024-06-23T00:00:00"/>
    <x v="265"/>
  </r>
  <r>
    <x v="9"/>
    <s v="Clothing"/>
    <s v="Roadster"/>
    <s v="Budget"/>
    <s v="South"/>
    <x v="5"/>
    <n v="696.53"/>
    <x v="4"/>
    <n v="487.57100000000003"/>
    <n v="3"/>
    <x v="346"/>
    <n v="219.41"/>
    <d v="2024-07-27T00:00:00"/>
    <x v="191"/>
  </r>
  <r>
    <x v="6"/>
    <s v="Footwear"/>
    <s v="Puma"/>
    <s v="Standard"/>
    <s v="North"/>
    <x v="1"/>
    <n v="3578.46"/>
    <x v="6"/>
    <n v="2683.8449999999998"/>
    <n v="4"/>
    <x v="347"/>
    <n v="2683.84"/>
    <d v="2025-06-04T00:00:00"/>
    <x v="132"/>
  </r>
  <r>
    <x v="4"/>
    <s v="Furniture"/>
    <s v="HomeTown"/>
    <s v="Standard"/>
    <s v="East"/>
    <x v="8"/>
    <n v="27593.08"/>
    <x v="5"/>
    <n v="23454.117999999999"/>
    <n v="1"/>
    <x v="348"/>
    <n v="5863.53"/>
    <d v="2024-02-16T00:00:00"/>
    <x v="152"/>
  </r>
  <r>
    <x v="0"/>
    <s v="Footwear"/>
    <s v="Bata"/>
    <s v="Budget"/>
    <s v="West"/>
    <x v="9"/>
    <n v="2247.89"/>
    <x v="0"/>
    <n v="2247.89"/>
    <n v="1"/>
    <x v="349"/>
    <n v="337.18"/>
    <d v="2024-02-02T00:00:00"/>
    <x v="266"/>
  </r>
  <r>
    <x v="1"/>
    <s v="Furniture"/>
    <s v="HomeTown"/>
    <s v="Standard"/>
    <s v="North"/>
    <x v="4"/>
    <n v="8509.64"/>
    <x v="6"/>
    <n v="6382.23"/>
    <n v="5"/>
    <x v="350"/>
    <n v="7977.79"/>
    <d v="2024-12-18T00:00:00"/>
    <x v="267"/>
  </r>
  <r>
    <x v="2"/>
    <s v="Electronics"/>
    <s v="HP"/>
    <s v="Standard"/>
    <s v="South"/>
    <x v="5"/>
    <n v="49991.3"/>
    <x v="0"/>
    <n v="49991.3"/>
    <n v="3"/>
    <x v="351"/>
    <n v="37493.47"/>
    <d v="2024-03-06T00:00:00"/>
    <x v="245"/>
  </r>
  <r>
    <x v="4"/>
    <s v="Furniture"/>
    <s v="Ikea"/>
    <s v="Premium"/>
    <s v="South"/>
    <x v="6"/>
    <n v="34601.96"/>
    <x v="2"/>
    <n v="32871.862000000001"/>
    <n v="1"/>
    <x v="352"/>
    <n v="11505.15"/>
    <d v="2025-07-13T00:00:00"/>
    <x v="22"/>
  </r>
  <r>
    <x v="12"/>
    <s v="Clothing"/>
    <s v="Zara"/>
    <s v="Premium"/>
    <s v="South"/>
    <x v="5"/>
    <n v="1801.8"/>
    <x v="4"/>
    <n v="1261.26"/>
    <n v="5"/>
    <x v="353"/>
    <n v="2207.1999999999998"/>
    <d v="2024-11-09T00:00:00"/>
    <x v="268"/>
  </r>
  <r>
    <x v="7"/>
    <s v="Home Appliance"/>
    <s v="LG"/>
    <s v="Premium"/>
    <s v="South"/>
    <x v="6"/>
    <n v="30132.67"/>
    <x v="2"/>
    <n v="28626.036499999998"/>
    <n v="4"/>
    <x v="354"/>
    <n v="40076.449999999997"/>
    <d v="2024-12-25T00:00:00"/>
    <x v="269"/>
  </r>
  <r>
    <x v="6"/>
    <s v="Footwear"/>
    <s v="Puma"/>
    <s v="Standard"/>
    <s v="East"/>
    <x v="8"/>
    <n v="3393.91"/>
    <x v="3"/>
    <n v="3054.5189999999998"/>
    <n v="2"/>
    <x v="355"/>
    <n v="1527.26"/>
    <d v="2024-09-17T00:00:00"/>
    <x v="270"/>
  </r>
  <r>
    <x v="8"/>
    <s v="Furniture"/>
    <s v="Ikea"/>
    <s v="Premium"/>
    <s v="West"/>
    <x v="7"/>
    <n v="33234.199999999997"/>
    <x v="2"/>
    <n v="31572.489999999991"/>
    <n v="1"/>
    <x v="356"/>
    <n v="11050.37"/>
    <d v="2025-06-28T00:00:00"/>
    <x v="271"/>
  </r>
  <r>
    <x v="11"/>
    <s v="Home Appliance"/>
    <s v="LG"/>
    <s v="Premium"/>
    <s v="North"/>
    <x v="2"/>
    <n v="10474.129999999999"/>
    <x v="3"/>
    <n v="9426.7169999999987"/>
    <n v="3"/>
    <x v="357"/>
    <n v="9898.0499999999993"/>
    <d v="2024-10-31T00:00:00"/>
    <x v="52"/>
  </r>
  <r>
    <x v="5"/>
    <s v="Clothing"/>
    <s v="Zara"/>
    <s v="Premium"/>
    <s v="South"/>
    <x v="5"/>
    <n v="3426.87"/>
    <x v="4"/>
    <n v="2398.8090000000002"/>
    <n v="4"/>
    <x v="358"/>
    <n v="3358.33"/>
    <d v="2024-05-09T00:00:00"/>
    <x v="14"/>
  </r>
  <r>
    <x v="10"/>
    <s v="Furniture"/>
    <s v="Godrej Interio"/>
    <s v="Premium"/>
    <s v="North"/>
    <x v="2"/>
    <n v="42641.4"/>
    <x v="2"/>
    <n v="40509.33"/>
    <n v="1"/>
    <x v="359"/>
    <n v="14178.27"/>
    <d v="2025-03-07T00:00:00"/>
    <x v="272"/>
  </r>
  <r>
    <x v="2"/>
    <s v="Electronics"/>
    <s v="Apple"/>
    <s v="Premium"/>
    <s v="South"/>
    <x v="5"/>
    <n v="58271.28"/>
    <x v="1"/>
    <n v="46617.023999999998"/>
    <n v="3"/>
    <x v="360"/>
    <n v="48947.87"/>
    <d v="2024-06-30T00:00:00"/>
    <x v="273"/>
  </r>
  <r>
    <x v="0"/>
    <s v="Footwear"/>
    <s v="Bata"/>
    <s v="Budget"/>
    <s v="East"/>
    <x v="10"/>
    <n v="2071.25"/>
    <x v="5"/>
    <n v="1760.5625"/>
    <n v="4"/>
    <x v="361"/>
    <n v="1056.3399999999999"/>
    <d v="2025-07-15T00:00:00"/>
    <x v="274"/>
  </r>
  <r>
    <x v="3"/>
    <s v="Electronics"/>
    <s v="Dell"/>
    <s v="Standard"/>
    <s v="South"/>
    <x v="0"/>
    <n v="2000.2"/>
    <x v="2"/>
    <n v="1900.19"/>
    <n v="3"/>
    <x v="362"/>
    <n v="1425.14"/>
    <d v="2024-06-04T00:00:00"/>
    <x v="275"/>
  </r>
  <r>
    <x v="9"/>
    <s v="Clothing"/>
    <s v="Max"/>
    <s v="Budget"/>
    <s v="East"/>
    <x v="8"/>
    <n v="663.35"/>
    <x v="4"/>
    <n v="464.34500000000003"/>
    <n v="3"/>
    <x v="363"/>
    <n v="208.95"/>
    <d v="2024-07-23T00:00:00"/>
    <x v="276"/>
  </r>
  <r>
    <x v="10"/>
    <s v="Furniture"/>
    <s v="Nilkamal"/>
    <s v="Budget"/>
    <s v="South"/>
    <x v="5"/>
    <n v="29487.84"/>
    <x v="3"/>
    <n v="26539.056"/>
    <n v="4"/>
    <x v="364"/>
    <n v="15923.43"/>
    <d v="2025-02-08T00:00:00"/>
    <x v="131"/>
  </r>
  <r>
    <x v="5"/>
    <s v="Clothing"/>
    <s v="Zara"/>
    <s v="Premium"/>
    <s v="South"/>
    <x v="5"/>
    <n v="3378.62"/>
    <x v="0"/>
    <n v="3378.62"/>
    <n v="4"/>
    <x v="365"/>
    <n v="4730.07"/>
    <d v="2025-01-28T00:00:00"/>
    <x v="81"/>
  </r>
  <r>
    <x v="9"/>
    <s v="Clothing"/>
    <s v="Max"/>
    <s v="Budget"/>
    <s v="South"/>
    <x v="6"/>
    <n v="656.01"/>
    <x v="2"/>
    <n v="623.20949999999993"/>
    <n v="5"/>
    <x v="366"/>
    <n v="467.41"/>
    <d v="2024-10-27T00:00:00"/>
    <x v="277"/>
  </r>
  <r>
    <x v="13"/>
    <s v="Home Appliance"/>
    <s v="Godrej"/>
    <s v="Budget"/>
    <s v="East"/>
    <x v="3"/>
    <n v="15042.24"/>
    <x v="6"/>
    <n v="11281.68"/>
    <n v="3"/>
    <x v="367"/>
    <n v="5076.76"/>
    <d v="2024-07-31T00:00:00"/>
    <x v="51"/>
  </r>
  <r>
    <x v="7"/>
    <s v="Home Appliance"/>
    <s v="Whirlpool"/>
    <s v="Standard"/>
    <s v="North"/>
    <x v="4"/>
    <n v="25206.84"/>
    <x v="6"/>
    <n v="18905.13"/>
    <n v="3"/>
    <x v="368"/>
    <n v="14178.85"/>
    <d v="2024-11-28T00:00:00"/>
    <x v="278"/>
  </r>
  <r>
    <x v="14"/>
    <s v="Electronics"/>
    <s v="Xiaomi"/>
    <s v="Budget"/>
    <s v="North"/>
    <x v="4"/>
    <n v="12883.35"/>
    <x v="2"/>
    <n v="12239.182500000001"/>
    <n v="4"/>
    <x v="369"/>
    <n v="7343.51"/>
    <d v="2024-02-06T00:00:00"/>
    <x v="279"/>
  </r>
  <r>
    <x v="7"/>
    <s v="Home Appliance"/>
    <s v="Whirlpool"/>
    <s v="Standard"/>
    <s v="North"/>
    <x v="4"/>
    <n v="27159.95"/>
    <x v="5"/>
    <n v="23085.9575"/>
    <n v="5"/>
    <x v="370"/>
    <n v="28857.45"/>
    <d v="2025-03-31T00:00:00"/>
    <x v="114"/>
  </r>
  <r>
    <x v="9"/>
    <s v="Clothing"/>
    <s v="Max"/>
    <s v="Budget"/>
    <s v="North"/>
    <x v="1"/>
    <n v="684.05"/>
    <x v="6"/>
    <n v="513.03749999999991"/>
    <n v="3"/>
    <x v="371"/>
    <n v="230.87"/>
    <d v="2024-03-21T00:00:00"/>
    <x v="280"/>
  </r>
  <r>
    <x v="10"/>
    <s v="Furniture"/>
    <s v="Ikea"/>
    <s v="Premium"/>
    <s v="North"/>
    <x v="2"/>
    <n v="44585.33"/>
    <x v="5"/>
    <n v="37897.530500000001"/>
    <n v="1"/>
    <x v="372"/>
    <n v="13264.14"/>
    <d v="2024-09-16T00:00:00"/>
    <x v="101"/>
  </r>
  <r>
    <x v="13"/>
    <s v="Home Appliance"/>
    <s v="Godrej"/>
    <s v="Budget"/>
    <s v="North"/>
    <x v="4"/>
    <n v="15711.9"/>
    <x v="5"/>
    <n v="13355.115"/>
    <n v="4"/>
    <x v="373"/>
    <n v="8013.07"/>
    <d v="2024-07-03T00:00:00"/>
    <x v="263"/>
  </r>
  <r>
    <x v="0"/>
    <s v="Footwear"/>
    <s v="Adidas"/>
    <s v="Premium"/>
    <s v="North"/>
    <x v="2"/>
    <n v="3096.11"/>
    <x v="2"/>
    <n v="2941.3045000000002"/>
    <n v="4"/>
    <x v="374"/>
    <n v="4117.83"/>
    <d v="2024-12-12T00:00:00"/>
    <x v="165"/>
  </r>
  <r>
    <x v="7"/>
    <s v="Home Appliance"/>
    <s v="LG"/>
    <s v="Premium"/>
    <s v="North"/>
    <x v="2"/>
    <n v="31196.42"/>
    <x v="4"/>
    <n v="21837.493999999999"/>
    <n v="4"/>
    <x v="375"/>
    <n v="30572.49"/>
    <d v="2025-03-04T00:00:00"/>
    <x v="169"/>
  </r>
  <r>
    <x v="0"/>
    <s v="Footwear"/>
    <s v="Puma"/>
    <s v="Standard"/>
    <s v="South"/>
    <x v="6"/>
    <n v="2414.25"/>
    <x v="3"/>
    <n v="2172.8249999999998"/>
    <n v="5"/>
    <x v="376"/>
    <n v="2716.03"/>
    <d v="2024-04-22T00:00:00"/>
    <x v="281"/>
  </r>
  <r>
    <x v="12"/>
    <s v="Clothing"/>
    <s v="Levis"/>
    <s v="Premium"/>
    <s v="South"/>
    <x v="6"/>
    <n v="1710.75"/>
    <x v="5"/>
    <n v="1454.1375"/>
    <n v="1"/>
    <x v="377"/>
    <n v="508.95"/>
    <d v="2025-07-20T00:00:00"/>
    <x v="8"/>
  </r>
  <r>
    <x v="5"/>
    <s v="Clothing"/>
    <s v="Nike"/>
    <s v="Premium"/>
    <s v="South"/>
    <x v="6"/>
    <n v="3420.79"/>
    <x v="6"/>
    <n v="2565.5925000000002"/>
    <n v="3"/>
    <x v="378"/>
    <n v="2693.87"/>
    <d v="2025-04-10T00:00:00"/>
    <x v="282"/>
  </r>
  <r>
    <x v="6"/>
    <s v="Footwear"/>
    <s v="Puma"/>
    <s v="Standard"/>
    <s v="East"/>
    <x v="3"/>
    <n v="3248.61"/>
    <x v="5"/>
    <n v="2761.3184999999999"/>
    <n v="4"/>
    <x v="379"/>
    <n v="2761.32"/>
    <d v="2024-09-19T00:00:00"/>
    <x v="270"/>
  </r>
  <r>
    <x v="8"/>
    <s v="Furniture"/>
    <s v="HomeTown"/>
    <s v="Standard"/>
    <s v="West"/>
    <x v="11"/>
    <n v="26010.89"/>
    <x v="1"/>
    <n v="20808.712"/>
    <n v="1"/>
    <x v="380"/>
    <n v="5202.18"/>
    <d v="2025-06-09T00:00:00"/>
    <x v="283"/>
  </r>
  <r>
    <x v="14"/>
    <s v="Electronics"/>
    <s v="Samsung"/>
    <s v="Premium"/>
    <s v="East"/>
    <x v="3"/>
    <n v="16566.79"/>
    <x v="3"/>
    <n v="14910.111000000001"/>
    <n v="5"/>
    <x v="381"/>
    <n v="26092.7"/>
    <d v="2024-12-04T00:00:00"/>
    <x v="111"/>
  </r>
  <r>
    <x v="1"/>
    <s v="Furniture"/>
    <s v="HomeTown"/>
    <s v="Standard"/>
    <s v="South"/>
    <x v="6"/>
    <n v="7677.76"/>
    <x v="4"/>
    <n v="5374.4319999999998"/>
    <n v="2"/>
    <x v="382"/>
    <n v="2687.22"/>
    <d v="2024-10-06T00:00:00"/>
    <x v="284"/>
  </r>
  <r>
    <x v="12"/>
    <s v="Clothing"/>
    <s v="Levis"/>
    <s v="Premium"/>
    <s v="East"/>
    <x v="3"/>
    <n v="1661.9"/>
    <x v="4"/>
    <n v="1163.33"/>
    <n v="4"/>
    <x v="383"/>
    <n v="1628.66"/>
    <d v="2024-08-03T00:00:00"/>
    <x v="285"/>
  </r>
  <r>
    <x v="14"/>
    <s v="Electronics"/>
    <s v="HP"/>
    <s v="Standard"/>
    <s v="South"/>
    <x v="6"/>
    <n v="14742.02"/>
    <x v="0"/>
    <n v="14742.02"/>
    <n v="4"/>
    <x v="384"/>
    <n v="14742.02"/>
    <d v="2025-03-14T00:00:00"/>
    <x v="122"/>
  </r>
  <r>
    <x v="7"/>
    <s v="Home Appliance"/>
    <s v="Samsung"/>
    <s v="Premium"/>
    <s v="South"/>
    <x v="5"/>
    <n v="29234.79"/>
    <x v="3"/>
    <n v="26311.311000000002"/>
    <n v="5"/>
    <x v="385"/>
    <n v="46044.79"/>
    <d v="2024-05-26T00:00:00"/>
    <x v="286"/>
  </r>
  <r>
    <x v="5"/>
    <s v="Clothing"/>
    <s v="Max"/>
    <s v="Budget"/>
    <s v="South"/>
    <x v="6"/>
    <n v="2440.06"/>
    <x v="5"/>
    <n v="2074.0509999999999"/>
    <n v="4"/>
    <x v="386"/>
    <n v="1244.43"/>
    <d v="2024-07-16T00:00:00"/>
    <x v="99"/>
  </r>
  <r>
    <x v="10"/>
    <s v="Furniture"/>
    <s v="HomeTown"/>
    <s v="Standard"/>
    <s v="East"/>
    <x v="8"/>
    <n v="34527.980000000003"/>
    <x v="5"/>
    <n v="29348.782999999999"/>
    <n v="5"/>
    <x v="387"/>
    <n v="36685.980000000003"/>
    <d v="2024-07-26T00:00:00"/>
    <x v="51"/>
  </r>
  <r>
    <x v="8"/>
    <s v="Furniture"/>
    <s v="Ikea"/>
    <s v="Premium"/>
    <s v="East"/>
    <x v="3"/>
    <n v="28417.51"/>
    <x v="6"/>
    <n v="21313.1325"/>
    <n v="4"/>
    <x v="388"/>
    <n v="29838.39"/>
    <d v="2024-11-16T00:00:00"/>
    <x v="287"/>
  </r>
  <r>
    <x v="11"/>
    <s v="Home Appliance"/>
    <s v="LG"/>
    <s v="Premium"/>
    <s v="North"/>
    <x v="2"/>
    <n v="10003.879999999999"/>
    <x v="1"/>
    <n v="8003.1039999999994"/>
    <n v="4"/>
    <x v="389"/>
    <n v="11204.35"/>
    <d v="2024-01-30T00:00:00"/>
    <x v="288"/>
  </r>
  <r>
    <x v="2"/>
    <s v="Electronics"/>
    <s v="Apple"/>
    <s v="Premium"/>
    <s v="East"/>
    <x v="10"/>
    <n v="55751.03"/>
    <x v="3"/>
    <n v="50175.927000000003"/>
    <n v="1"/>
    <x v="390"/>
    <n v="17561.580000000002"/>
    <d v="2024-04-03T00:00:00"/>
    <x v="289"/>
  </r>
  <r>
    <x v="6"/>
    <s v="Footwear"/>
    <s v="Adidas"/>
    <s v="Premium"/>
    <s v="West"/>
    <x v="9"/>
    <n v="4569.83"/>
    <x v="4"/>
    <n v="3198.8809999999999"/>
    <n v="5"/>
    <x v="391"/>
    <n v="5598.04"/>
    <d v="2025-06-02T00:00:00"/>
    <x v="177"/>
  </r>
  <r>
    <x v="7"/>
    <s v="Home Appliance"/>
    <s v="Godrej"/>
    <s v="Budget"/>
    <s v="South"/>
    <x v="0"/>
    <n v="20612.810000000001"/>
    <x v="5"/>
    <n v="17520.888500000001"/>
    <n v="1"/>
    <x v="392"/>
    <n v="2628.13"/>
    <d v="2024-02-20T00:00:00"/>
    <x v="290"/>
  </r>
  <r>
    <x v="5"/>
    <s v="Clothing"/>
    <s v="Levis"/>
    <s v="Premium"/>
    <s v="West"/>
    <x v="9"/>
    <n v="4024.85"/>
    <x v="6"/>
    <n v="3018.6374999999998"/>
    <n v="1"/>
    <x v="393"/>
    <n v="1056.52"/>
    <d v="2025-02-12T00:00:00"/>
    <x v="291"/>
  </r>
  <r>
    <x v="7"/>
    <s v="Home Appliance"/>
    <s v="Whirlpool"/>
    <s v="Standard"/>
    <s v="South"/>
    <x v="5"/>
    <n v="24958.41"/>
    <x v="0"/>
    <n v="24958.41"/>
    <n v="5"/>
    <x v="394"/>
    <n v="31198.01"/>
    <d v="2024-11-22T00:00:00"/>
    <x v="292"/>
  </r>
  <r>
    <x v="8"/>
    <s v="Furniture"/>
    <s v="HomeTown"/>
    <s v="Standard"/>
    <s v="West"/>
    <x v="9"/>
    <n v="28298.86"/>
    <x v="3"/>
    <n v="25468.973999999998"/>
    <n v="5"/>
    <x v="395"/>
    <n v="31836.22"/>
    <d v="2024-07-29T00:00:00"/>
    <x v="181"/>
  </r>
  <r>
    <x v="4"/>
    <s v="Furniture"/>
    <s v="HomeTown"/>
    <s v="Standard"/>
    <s v="East"/>
    <x v="10"/>
    <n v="27594.57"/>
    <x v="1"/>
    <n v="22075.655999999999"/>
    <n v="1"/>
    <x v="396"/>
    <n v="5518.91"/>
    <d v="2025-01-25T00:00:00"/>
    <x v="293"/>
  </r>
  <r>
    <x v="2"/>
    <s v="Electronics"/>
    <s v="HP"/>
    <s v="Standard"/>
    <s v="West"/>
    <x v="11"/>
    <n v="51839.08"/>
    <x v="0"/>
    <n v="51839.08"/>
    <n v="1"/>
    <x v="397"/>
    <n v="12959.77"/>
    <d v="2024-05-01T00:00:00"/>
    <x v="294"/>
  </r>
  <r>
    <x v="4"/>
    <s v="Furniture"/>
    <s v="Nilkamal"/>
    <s v="Budget"/>
    <s v="South"/>
    <x v="5"/>
    <n v="25930.92"/>
    <x v="0"/>
    <n v="25930.92"/>
    <n v="2"/>
    <x v="398"/>
    <n v="7779.28"/>
    <d v="2024-03-04T00:00:00"/>
    <x v="182"/>
  </r>
  <r>
    <x v="1"/>
    <s v="Furniture"/>
    <s v="Nilkamal"/>
    <s v="Budget"/>
    <s v="North"/>
    <x v="4"/>
    <n v="7254.33"/>
    <x v="3"/>
    <n v="6528.8969999999999"/>
    <n v="2"/>
    <x v="399"/>
    <n v="1958.67"/>
    <d v="2024-12-14T00:00:00"/>
    <x v="295"/>
  </r>
  <r>
    <x v="2"/>
    <s v="Electronics"/>
    <s v="Apple"/>
    <s v="Premium"/>
    <s v="East"/>
    <x v="3"/>
    <n v="58300.52"/>
    <x v="1"/>
    <n v="46640.415999999997"/>
    <n v="5"/>
    <x v="400"/>
    <n v="81620.73"/>
    <d v="2024-06-04T00:00:00"/>
    <x v="296"/>
  </r>
  <r>
    <x v="9"/>
    <s v="Clothing"/>
    <s v="Levis"/>
    <s v="Premium"/>
    <s v="South"/>
    <x v="5"/>
    <n v="903.04"/>
    <x v="2"/>
    <n v="857.88799999999992"/>
    <n v="2"/>
    <x v="401"/>
    <n v="600.52"/>
    <d v="2025-03-31T00:00:00"/>
    <x v="297"/>
  </r>
  <r>
    <x v="5"/>
    <s v="Clothing"/>
    <s v="Max"/>
    <s v="Budget"/>
    <s v="South"/>
    <x v="0"/>
    <n v="2571.54"/>
    <x v="6"/>
    <n v="1928.655"/>
    <n v="5"/>
    <x v="402"/>
    <n v="1446.49"/>
    <d v="2024-01-05T00:00:00"/>
    <x v="298"/>
  </r>
  <r>
    <x v="7"/>
    <s v="Home Appliance"/>
    <s v="Whirlpool"/>
    <s v="Standard"/>
    <s v="South"/>
    <x v="0"/>
    <n v="25617.46"/>
    <x v="2"/>
    <n v="24336.587"/>
    <n v="5"/>
    <x v="403"/>
    <n v="30420.73"/>
    <d v="2025-01-09T00:00:00"/>
    <x v="299"/>
  </r>
  <r>
    <x v="8"/>
    <s v="Furniture"/>
    <s v="Ikea"/>
    <s v="Premium"/>
    <s v="North"/>
    <x v="2"/>
    <n v="31989.91"/>
    <x v="1"/>
    <n v="25591.928"/>
    <n v="5"/>
    <x v="404"/>
    <n v="44785.87"/>
    <d v="2024-07-11T00:00:00"/>
    <x v="300"/>
  </r>
  <r>
    <x v="13"/>
    <s v="Home Appliance"/>
    <s v="Whirlpool"/>
    <s v="Standard"/>
    <s v="East"/>
    <x v="10"/>
    <n v="16620.009999999998"/>
    <x v="6"/>
    <n v="12465.0075"/>
    <n v="5"/>
    <x v="405"/>
    <n v="15581.26"/>
    <d v="2024-03-06T00:00:00"/>
    <x v="301"/>
  </r>
  <r>
    <x v="9"/>
    <s v="Clothing"/>
    <s v="Roadster"/>
    <s v="Budget"/>
    <s v="North"/>
    <x v="2"/>
    <n v="683.09"/>
    <x v="4"/>
    <n v="478.16300000000001"/>
    <n v="2"/>
    <x v="406"/>
    <n v="143.44999999999999"/>
    <d v="2025-04-11T00:00:00"/>
    <x v="302"/>
  </r>
  <r>
    <x v="11"/>
    <s v="Home Appliance"/>
    <s v="Whirlpool"/>
    <s v="Standard"/>
    <s v="South"/>
    <x v="5"/>
    <n v="7707.83"/>
    <x v="0"/>
    <n v="7707.83"/>
    <n v="5"/>
    <x v="407"/>
    <n v="9634.7900000000009"/>
    <d v="2025-01-21T00:00:00"/>
    <x v="303"/>
  </r>
  <r>
    <x v="13"/>
    <s v="Home Appliance"/>
    <s v="Whirlpool"/>
    <s v="Standard"/>
    <s v="West"/>
    <x v="7"/>
    <n v="19580.48"/>
    <x v="6"/>
    <n v="14685.36"/>
    <n v="3"/>
    <x v="408"/>
    <n v="11014.02"/>
    <d v="2025-07-02T00:00:00"/>
    <x v="76"/>
  </r>
  <r>
    <x v="10"/>
    <s v="Furniture"/>
    <s v="HomeTown"/>
    <s v="Standard"/>
    <s v="South"/>
    <x v="5"/>
    <n v="33462.239999999998"/>
    <x v="1"/>
    <n v="26769.792000000001"/>
    <n v="3"/>
    <x v="409"/>
    <n v="20077.349999999999"/>
    <d v="2024-09-02T00:00:00"/>
    <x v="118"/>
  </r>
  <r>
    <x v="11"/>
    <s v="Home Appliance"/>
    <s v="LG"/>
    <s v="Premium"/>
    <s v="South"/>
    <x v="5"/>
    <n v="9619.52"/>
    <x v="6"/>
    <n v="7214.64"/>
    <n v="3"/>
    <x v="410"/>
    <n v="7575.37"/>
    <d v="2024-11-20T00:00:00"/>
    <x v="304"/>
  </r>
  <r>
    <x v="3"/>
    <s v="Electronics"/>
    <s v="Xiaomi"/>
    <s v="Budget"/>
    <s v="South"/>
    <x v="6"/>
    <n v="1673.01"/>
    <x v="6"/>
    <n v="1254.7574999999999"/>
    <n v="5"/>
    <x v="411"/>
    <n v="941.07"/>
    <d v="2025-03-06T00:00:00"/>
    <x v="305"/>
  </r>
  <r>
    <x v="5"/>
    <s v="Clothing"/>
    <s v="Roadster"/>
    <s v="Budget"/>
    <s v="East"/>
    <x v="8"/>
    <n v="2403.9"/>
    <x v="0"/>
    <n v="2403.9"/>
    <n v="4"/>
    <x v="412"/>
    <n v="1442.34"/>
    <d v="2025-01-11T00:00:00"/>
    <x v="228"/>
  </r>
  <r>
    <x v="10"/>
    <s v="Furniture"/>
    <s v="Ikea"/>
    <s v="Premium"/>
    <s v="East"/>
    <x v="8"/>
    <n v="39872.9"/>
    <x v="5"/>
    <n v="33891.964999999997"/>
    <n v="3"/>
    <x v="413"/>
    <n v="35586.559999999998"/>
    <d v="2024-01-07T00:00:00"/>
    <x v="306"/>
  </r>
  <r>
    <x v="1"/>
    <s v="Furniture"/>
    <s v="Godrej Interio"/>
    <s v="Premium"/>
    <s v="West"/>
    <x v="9"/>
    <n v="10507.04"/>
    <x v="2"/>
    <n v="9981.6880000000001"/>
    <n v="5"/>
    <x v="414"/>
    <n v="17467.95"/>
    <d v="2024-11-14T00:00:00"/>
    <x v="47"/>
  </r>
  <r>
    <x v="11"/>
    <s v="Home Appliance"/>
    <s v="LG"/>
    <s v="Premium"/>
    <s v="East"/>
    <x v="8"/>
    <n v="8816.58"/>
    <x v="3"/>
    <n v="7934.9219999999996"/>
    <n v="5"/>
    <x v="415"/>
    <n v="13886.11"/>
    <d v="2025-05-19T00:00:00"/>
    <x v="307"/>
  </r>
  <r>
    <x v="0"/>
    <s v="Footwear"/>
    <s v="Puma"/>
    <s v="Standard"/>
    <s v="South"/>
    <x v="5"/>
    <n v="2391.31"/>
    <x v="5"/>
    <n v="2032.6134999999999"/>
    <n v="5"/>
    <x v="416"/>
    <n v="2540.77"/>
    <d v="2025-01-25T00:00:00"/>
    <x v="91"/>
  </r>
  <r>
    <x v="1"/>
    <s v="Furniture"/>
    <s v="Ikea"/>
    <s v="Premium"/>
    <s v="North"/>
    <x v="4"/>
    <n v="10143.44"/>
    <x v="0"/>
    <n v="10143.44"/>
    <n v="5"/>
    <x v="417"/>
    <n v="17751.02"/>
    <d v="2024-06-21T00:00:00"/>
    <x v="308"/>
  </r>
  <r>
    <x v="1"/>
    <s v="Furniture"/>
    <s v="Ikea"/>
    <s v="Premium"/>
    <s v="South"/>
    <x v="6"/>
    <n v="9754.89"/>
    <x v="1"/>
    <n v="7803.9120000000003"/>
    <n v="2"/>
    <x v="418"/>
    <n v="5462.74"/>
    <d v="2024-11-05T00:00:00"/>
    <x v="309"/>
  </r>
  <r>
    <x v="11"/>
    <s v="Home Appliance"/>
    <s v="Godrej"/>
    <s v="Budget"/>
    <s v="East"/>
    <x v="10"/>
    <n v="6352.89"/>
    <x v="2"/>
    <n v="6035.2455"/>
    <n v="2"/>
    <x v="419"/>
    <n v="1810.57"/>
    <d v="2024-07-01T00:00:00"/>
    <x v="273"/>
  </r>
  <r>
    <x v="4"/>
    <s v="Furniture"/>
    <s v="Ikea"/>
    <s v="Premium"/>
    <s v="North"/>
    <x v="4"/>
    <n v="38436.39"/>
    <x v="6"/>
    <n v="28827.2925"/>
    <n v="5"/>
    <x v="420"/>
    <n v="50447.76"/>
    <d v="2025-03-01T00:00:00"/>
    <x v="305"/>
  </r>
  <r>
    <x v="3"/>
    <s v="Electronics"/>
    <s v="Xiaomi"/>
    <s v="Budget"/>
    <s v="North"/>
    <x v="4"/>
    <n v="1782.96"/>
    <x v="1"/>
    <n v="1426.3679999999999"/>
    <n v="4"/>
    <x v="421"/>
    <n v="855.82"/>
    <d v="2025-02-20T00:00:00"/>
    <x v="310"/>
  </r>
  <r>
    <x v="0"/>
    <s v="Footwear"/>
    <s v="Puma"/>
    <s v="Standard"/>
    <s v="North"/>
    <x v="4"/>
    <n v="2588.69"/>
    <x v="3"/>
    <n v="2329.8209999999999"/>
    <n v="3"/>
    <x v="422"/>
    <n v="1747.37"/>
    <d v="2024-01-22T00:00:00"/>
    <x v="103"/>
  </r>
  <r>
    <x v="14"/>
    <s v="Electronics"/>
    <s v="Apple"/>
    <s v="Premium"/>
    <s v="East"/>
    <x v="8"/>
    <n v="17766.900000000001"/>
    <x v="0"/>
    <n v="17766.900000000001"/>
    <n v="1"/>
    <x v="423"/>
    <n v="6218.41"/>
    <d v="2024-11-10T00:00:00"/>
    <x v="120"/>
  </r>
  <r>
    <x v="1"/>
    <s v="Furniture"/>
    <s v="Ikea"/>
    <s v="Premium"/>
    <s v="South"/>
    <x v="0"/>
    <n v="9465.81"/>
    <x v="0"/>
    <n v="9465.81"/>
    <n v="5"/>
    <x v="424"/>
    <n v="16565.169999999998"/>
    <d v="2024-01-28T00:00:00"/>
    <x v="311"/>
  </r>
  <r>
    <x v="12"/>
    <s v="Clothing"/>
    <s v="Roadster"/>
    <s v="Budget"/>
    <s v="South"/>
    <x v="6"/>
    <n v="1221.76"/>
    <x v="5"/>
    <n v="1038.4960000000001"/>
    <n v="4"/>
    <x v="425"/>
    <n v="623.1"/>
    <d v="2024-05-11T00:00:00"/>
    <x v="187"/>
  </r>
  <r>
    <x v="4"/>
    <s v="Furniture"/>
    <s v="Godrej Interio"/>
    <s v="Premium"/>
    <s v="East"/>
    <x v="10"/>
    <n v="32940.31"/>
    <x v="6"/>
    <n v="24705.232499999998"/>
    <n v="1"/>
    <x v="426"/>
    <n v="8646.83"/>
    <d v="2024-10-16T00:00:00"/>
    <x v="145"/>
  </r>
  <r>
    <x v="10"/>
    <s v="Furniture"/>
    <s v="Nilkamal"/>
    <s v="Budget"/>
    <s v="West"/>
    <x v="11"/>
    <n v="30598.02"/>
    <x v="2"/>
    <n v="29068.118999999999"/>
    <n v="1"/>
    <x v="427"/>
    <n v="4360.22"/>
    <d v="2024-01-13T00:00:00"/>
    <x v="312"/>
  </r>
  <r>
    <x v="2"/>
    <s v="Electronics"/>
    <s v="Samsung"/>
    <s v="Premium"/>
    <s v="West"/>
    <x v="11"/>
    <n v="63177.04"/>
    <x v="3"/>
    <n v="56859.336000000003"/>
    <n v="1"/>
    <x v="428"/>
    <n v="19900.77"/>
    <d v="2024-03-21T00:00:00"/>
    <x v="61"/>
  </r>
  <r>
    <x v="2"/>
    <s v="Electronics"/>
    <s v="Dell"/>
    <s v="Standard"/>
    <s v="North"/>
    <x v="2"/>
    <n v="51881.59"/>
    <x v="0"/>
    <n v="51881.59"/>
    <n v="1"/>
    <x v="429"/>
    <n v="12970.4"/>
    <d v="2025-03-17T00:00:00"/>
    <x v="122"/>
  </r>
  <r>
    <x v="13"/>
    <s v="Home Appliance"/>
    <s v="LG"/>
    <s v="Premium"/>
    <s v="South"/>
    <x v="6"/>
    <n v="20431.71"/>
    <x v="2"/>
    <n v="19410.124500000002"/>
    <n v="3"/>
    <x v="430"/>
    <n v="20380.63"/>
    <d v="2024-11-13T00:00:00"/>
    <x v="120"/>
  </r>
  <r>
    <x v="6"/>
    <s v="Footwear"/>
    <s v="Adidas"/>
    <s v="Premium"/>
    <s v="East"/>
    <x v="10"/>
    <n v="3914.36"/>
    <x v="2"/>
    <n v="3718.6419999999998"/>
    <n v="1"/>
    <x v="431"/>
    <n v="1301.52"/>
    <d v="2025-01-27T00:00:00"/>
    <x v="293"/>
  </r>
  <r>
    <x v="0"/>
    <s v="Footwear"/>
    <s v="Bata"/>
    <s v="Budget"/>
    <s v="North"/>
    <x v="4"/>
    <n v="2315"/>
    <x v="0"/>
    <n v="2315"/>
    <n v="1"/>
    <x v="432"/>
    <n v="347.25"/>
    <d v="2024-12-10T00:00:00"/>
    <x v="313"/>
  </r>
  <r>
    <x v="11"/>
    <s v="Home Appliance"/>
    <s v="LG"/>
    <s v="Premium"/>
    <s v="South"/>
    <x v="5"/>
    <n v="9150.51"/>
    <x v="5"/>
    <n v="7777.9335000000001"/>
    <n v="2"/>
    <x v="433"/>
    <n v="5444.55"/>
    <d v="2025-06-04T00:00:00"/>
    <x v="314"/>
  </r>
  <r>
    <x v="1"/>
    <s v="Furniture"/>
    <s v="Godrej Interio"/>
    <s v="Premium"/>
    <s v="East"/>
    <x v="8"/>
    <n v="8924.23"/>
    <x v="5"/>
    <n v="7585.5954999999994"/>
    <n v="5"/>
    <x v="434"/>
    <n v="13274.79"/>
    <d v="2024-04-28T00:00:00"/>
    <x v="78"/>
  </r>
  <r>
    <x v="5"/>
    <s v="Clothing"/>
    <s v="Max"/>
    <s v="Budget"/>
    <s v="East"/>
    <x v="8"/>
    <n v="2408.5"/>
    <x v="0"/>
    <n v="2408.5"/>
    <n v="1"/>
    <x v="435"/>
    <n v="361.27"/>
    <d v="2024-08-30T00:00:00"/>
    <x v="315"/>
  </r>
  <r>
    <x v="7"/>
    <s v="Home Appliance"/>
    <s v="Samsung"/>
    <s v="Premium"/>
    <s v="West"/>
    <x v="11"/>
    <n v="30988.83"/>
    <x v="4"/>
    <n v="21692.181"/>
    <n v="2"/>
    <x v="436"/>
    <n v="15184.53"/>
    <d v="2024-08-09T00:00:00"/>
    <x v="316"/>
  </r>
  <r>
    <x v="3"/>
    <s v="Electronics"/>
    <s v="Realme"/>
    <s v="Budget"/>
    <s v="North"/>
    <x v="1"/>
    <n v="1728.43"/>
    <x v="1"/>
    <n v="1382.7439999999999"/>
    <n v="4"/>
    <x v="437"/>
    <n v="829.65"/>
    <d v="2024-08-27T00:00:00"/>
    <x v="317"/>
  </r>
  <r>
    <x v="7"/>
    <s v="Home Appliance"/>
    <s v="LG"/>
    <s v="Premium"/>
    <s v="East"/>
    <x v="3"/>
    <n v="27928.91"/>
    <x v="6"/>
    <n v="20946.682499999999"/>
    <n v="4"/>
    <x v="438"/>
    <n v="29325.360000000001"/>
    <d v="2024-10-19T00:00:00"/>
    <x v="318"/>
  </r>
  <r>
    <x v="2"/>
    <s v="Electronics"/>
    <s v="Dell"/>
    <s v="Standard"/>
    <s v="South"/>
    <x v="6"/>
    <n v="51003.48"/>
    <x v="1"/>
    <n v="40802.784000000007"/>
    <n v="2"/>
    <x v="439"/>
    <n v="20401.39"/>
    <d v="2025-05-09T00:00:00"/>
    <x v="5"/>
  </r>
  <r>
    <x v="12"/>
    <s v="Clothing"/>
    <s v="Max"/>
    <s v="Budget"/>
    <s v="East"/>
    <x v="3"/>
    <n v="1199.3399999999999"/>
    <x v="5"/>
    <n v="1019.439"/>
    <n v="1"/>
    <x v="440"/>
    <n v="152.91999999999999"/>
    <d v="2025-04-03T00:00:00"/>
    <x v="319"/>
  </r>
  <r>
    <x v="2"/>
    <s v="Electronics"/>
    <s v="Xiaomi"/>
    <s v="Budget"/>
    <s v="North"/>
    <x v="2"/>
    <n v="44754.879999999997"/>
    <x v="3"/>
    <n v="40279.392"/>
    <n v="5"/>
    <x v="441"/>
    <n v="30209.54"/>
    <d v="2025-06-18T00:00:00"/>
    <x v="320"/>
  </r>
  <r>
    <x v="14"/>
    <s v="Electronics"/>
    <s v="HP"/>
    <s v="Standard"/>
    <s v="South"/>
    <x v="6"/>
    <n v="14958.38"/>
    <x v="5"/>
    <n v="12714.623"/>
    <n v="1"/>
    <x v="442"/>
    <n v="3178.66"/>
    <d v="2024-06-12T00:00:00"/>
    <x v="321"/>
  </r>
  <r>
    <x v="7"/>
    <s v="Home Appliance"/>
    <s v="Whirlpool"/>
    <s v="Standard"/>
    <s v="East"/>
    <x v="10"/>
    <n v="23386.12"/>
    <x v="5"/>
    <n v="19878.202000000001"/>
    <n v="2"/>
    <x v="443"/>
    <n v="9939.1"/>
    <d v="2024-12-31T00:00:00"/>
    <x v="322"/>
  </r>
  <r>
    <x v="9"/>
    <s v="Clothing"/>
    <s v="Zara"/>
    <s v="Premium"/>
    <s v="South"/>
    <x v="0"/>
    <n v="918.58"/>
    <x v="4"/>
    <n v="643.00599999999997"/>
    <n v="5"/>
    <x v="444"/>
    <n v="1125.26"/>
    <d v="2024-03-27T00:00:00"/>
    <x v="229"/>
  </r>
  <r>
    <x v="2"/>
    <s v="Electronics"/>
    <s v="Xiaomi"/>
    <s v="Budget"/>
    <s v="North"/>
    <x v="2"/>
    <n v="45923.360000000001"/>
    <x v="0"/>
    <n v="45923.360000000001"/>
    <n v="4"/>
    <x v="445"/>
    <n v="27554.02"/>
    <d v="2025-01-12T00:00:00"/>
    <x v="228"/>
  </r>
  <r>
    <x v="1"/>
    <s v="Furniture"/>
    <s v="Nilkamal"/>
    <s v="Budget"/>
    <s v="South"/>
    <x v="5"/>
    <n v="6696.38"/>
    <x v="1"/>
    <n v="5357.1040000000003"/>
    <n v="3"/>
    <x v="446"/>
    <n v="2410.6999999999998"/>
    <d v="2025-01-20T00:00:00"/>
    <x v="293"/>
  </r>
  <r>
    <x v="7"/>
    <s v="Home Appliance"/>
    <s v="Whirlpool"/>
    <s v="Standard"/>
    <s v="South"/>
    <x v="5"/>
    <n v="24205.62"/>
    <x v="1"/>
    <n v="19364.495999999999"/>
    <n v="2"/>
    <x v="447"/>
    <n v="9682.25"/>
    <d v="2024-02-02T00:00:00"/>
    <x v="36"/>
  </r>
  <r>
    <x v="4"/>
    <s v="Furniture"/>
    <s v="HomeTown"/>
    <s v="Standard"/>
    <s v="East"/>
    <x v="10"/>
    <n v="27086.32"/>
    <x v="4"/>
    <n v="18960.423999999999"/>
    <n v="3"/>
    <x v="448"/>
    <n v="14220.32"/>
    <d v="2024-07-17T00:00:00"/>
    <x v="53"/>
  </r>
  <r>
    <x v="0"/>
    <s v="Footwear"/>
    <s v="Puma"/>
    <s v="Standard"/>
    <s v="South"/>
    <x v="5"/>
    <n v="2380.6999999999998"/>
    <x v="5"/>
    <n v="2023.595"/>
    <n v="2"/>
    <x v="449"/>
    <n v="1011.8"/>
    <d v="2025-05-07T00:00:00"/>
    <x v="242"/>
  </r>
  <r>
    <x v="1"/>
    <s v="Furniture"/>
    <s v="HomeTown"/>
    <s v="Standard"/>
    <s v="North"/>
    <x v="4"/>
    <n v="8243.2900000000009"/>
    <x v="2"/>
    <n v="7831.1255000000001"/>
    <n v="2"/>
    <x v="450"/>
    <n v="3915.56"/>
    <d v="2024-06-15T00:00:00"/>
    <x v="323"/>
  </r>
  <r>
    <x v="5"/>
    <s v="Clothing"/>
    <s v="Max"/>
    <s v="Budget"/>
    <s v="South"/>
    <x v="6"/>
    <n v="2443.23"/>
    <x v="1"/>
    <n v="1954.5840000000001"/>
    <n v="4"/>
    <x v="451"/>
    <n v="1172.75"/>
    <d v="2025-02-14T00:00:00"/>
    <x v="291"/>
  </r>
  <r>
    <x v="1"/>
    <s v="Furniture"/>
    <s v="Ikea"/>
    <s v="Premium"/>
    <s v="West"/>
    <x v="9"/>
    <n v="9951.23"/>
    <x v="3"/>
    <n v="8956.107"/>
    <n v="2"/>
    <x v="452"/>
    <n v="6269.27"/>
    <d v="2024-04-19T00:00:00"/>
    <x v="324"/>
  </r>
  <r>
    <x v="11"/>
    <s v="Home Appliance"/>
    <s v="Samsung"/>
    <s v="Premium"/>
    <s v="West"/>
    <x v="7"/>
    <n v="10416.67"/>
    <x v="0"/>
    <n v="10416.67"/>
    <n v="3"/>
    <x v="453"/>
    <n v="10937.5"/>
    <d v="2024-01-09T00:00:00"/>
    <x v="325"/>
  </r>
  <r>
    <x v="13"/>
    <s v="Home Appliance"/>
    <s v="LG"/>
    <s v="Premium"/>
    <s v="South"/>
    <x v="6"/>
    <n v="20591.95"/>
    <x v="0"/>
    <n v="20591.95"/>
    <n v="5"/>
    <x v="454"/>
    <n v="36035.910000000003"/>
    <d v="2024-10-24T00:00:00"/>
    <x v="145"/>
  </r>
  <r>
    <x v="0"/>
    <s v="Footwear"/>
    <s v="Adidas"/>
    <s v="Premium"/>
    <s v="East"/>
    <x v="8"/>
    <n v="2738.11"/>
    <x v="6"/>
    <n v="2053.5825"/>
    <n v="1"/>
    <x v="455"/>
    <n v="718.75"/>
    <d v="2024-04-29T00:00:00"/>
    <x v="326"/>
  </r>
  <r>
    <x v="12"/>
    <s v="Clothing"/>
    <s v="Zara"/>
    <s v="Premium"/>
    <s v="South"/>
    <x v="5"/>
    <n v="1763.42"/>
    <x v="3"/>
    <n v="1587.078"/>
    <n v="5"/>
    <x v="456"/>
    <n v="2777.39"/>
    <d v="2024-01-04T00:00:00"/>
    <x v="298"/>
  </r>
  <r>
    <x v="4"/>
    <s v="Furniture"/>
    <s v="HomeTown"/>
    <s v="Standard"/>
    <s v="East"/>
    <x v="10"/>
    <n v="28950.2"/>
    <x v="5"/>
    <n v="24607.67"/>
    <n v="2"/>
    <x v="457"/>
    <n v="12303.83"/>
    <d v="2024-01-07T00:00:00"/>
    <x v="327"/>
  </r>
  <r>
    <x v="10"/>
    <s v="Furniture"/>
    <s v="Nilkamal"/>
    <s v="Budget"/>
    <s v="North"/>
    <x v="1"/>
    <n v="29850.18"/>
    <x v="6"/>
    <n v="22387.634999999998"/>
    <n v="3"/>
    <x v="458"/>
    <n v="10074.43"/>
    <d v="2024-05-20T00:00:00"/>
    <x v="328"/>
  </r>
  <r>
    <x v="14"/>
    <s v="Electronics"/>
    <s v="Samsung"/>
    <s v="Premium"/>
    <s v="North"/>
    <x v="4"/>
    <n v="19152.419999999998"/>
    <x v="0"/>
    <n v="19152.419999999998"/>
    <n v="4"/>
    <x v="459"/>
    <n v="26813.39"/>
    <d v="2024-04-03T00:00:00"/>
    <x v="229"/>
  </r>
  <r>
    <x v="1"/>
    <s v="Furniture"/>
    <s v="Godrej Interio"/>
    <s v="Premium"/>
    <s v="West"/>
    <x v="11"/>
    <n v="10756.58"/>
    <x v="6"/>
    <n v="8067.4349999999986"/>
    <n v="2"/>
    <x v="460"/>
    <n v="5647.2"/>
    <d v="2024-09-18T00:00:00"/>
    <x v="329"/>
  </r>
  <r>
    <x v="2"/>
    <s v="Electronics"/>
    <s v="Samsung"/>
    <s v="Premium"/>
    <s v="North"/>
    <x v="4"/>
    <n v="62349.61"/>
    <x v="2"/>
    <n v="59232.129500000003"/>
    <n v="4"/>
    <x v="461"/>
    <n v="82924.98"/>
    <d v="2025-02-01T00:00:00"/>
    <x v="330"/>
  </r>
  <r>
    <x v="12"/>
    <s v="Clothing"/>
    <s v="Nike"/>
    <s v="Premium"/>
    <s v="North"/>
    <x v="4"/>
    <n v="1961.47"/>
    <x v="3"/>
    <n v="1765.3230000000001"/>
    <n v="2"/>
    <x v="462"/>
    <n v="1235.73"/>
    <d v="2025-02-26T00:00:00"/>
    <x v="305"/>
  </r>
  <r>
    <x v="8"/>
    <s v="Furniture"/>
    <s v="Ikea"/>
    <s v="Premium"/>
    <s v="South"/>
    <x v="0"/>
    <n v="29602.71"/>
    <x v="5"/>
    <n v="25162.303500000002"/>
    <n v="2"/>
    <x v="463"/>
    <n v="17613.61"/>
    <d v="2024-12-22T00:00:00"/>
    <x v="170"/>
  </r>
  <r>
    <x v="5"/>
    <s v="Clothing"/>
    <s v="Zara"/>
    <s v="Premium"/>
    <s v="South"/>
    <x v="5"/>
    <n v="3645.69"/>
    <x v="1"/>
    <n v="2916.5520000000001"/>
    <n v="1"/>
    <x v="464"/>
    <n v="1020.79"/>
    <d v="2024-04-28T00:00:00"/>
    <x v="106"/>
  </r>
  <r>
    <x v="0"/>
    <s v="Footwear"/>
    <s v="Adidas"/>
    <s v="Premium"/>
    <s v="East"/>
    <x v="10"/>
    <n v="2854.27"/>
    <x v="5"/>
    <n v="2426.1295"/>
    <n v="5"/>
    <x v="465"/>
    <n v="4245.7299999999996"/>
    <d v="2025-01-16T00:00:00"/>
    <x v="331"/>
  </r>
  <r>
    <x v="0"/>
    <s v="Footwear"/>
    <s v="Puma"/>
    <s v="Standard"/>
    <s v="North"/>
    <x v="1"/>
    <n v="2471.13"/>
    <x v="2"/>
    <n v="2347.5735"/>
    <n v="3"/>
    <x v="466"/>
    <n v="1760.68"/>
    <d v="2024-12-10T00:00:00"/>
    <x v="295"/>
  </r>
  <r>
    <x v="9"/>
    <s v="Clothing"/>
    <s v="Zara"/>
    <s v="Premium"/>
    <s v="West"/>
    <x v="7"/>
    <n v="1044.76"/>
    <x v="6"/>
    <n v="783.56999999999994"/>
    <n v="1"/>
    <x v="467"/>
    <n v="274.25"/>
    <d v="2024-06-17T00:00:00"/>
    <x v="332"/>
  </r>
  <r>
    <x v="4"/>
    <s v="Furniture"/>
    <s v="Ikea"/>
    <s v="Premium"/>
    <s v="West"/>
    <x v="11"/>
    <n v="37728.92"/>
    <x v="2"/>
    <n v="35842.473999999987"/>
    <n v="1"/>
    <x v="468"/>
    <n v="12544.86"/>
    <d v="2025-04-18T00:00:00"/>
    <x v="333"/>
  </r>
  <r>
    <x v="1"/>
    <s v="Furniture"/>
    <s v="Ikea"/>
    <s v="Premium"/>
    <s v="North"/>
    <x v="2"/>
    <n v="10209.85"/>
    <x v="2"/>
    <n v="9699.3575000000001"/>
    <n v="1"/>
    <x v="469"/>
    <n v="3394.78"/>
    <d v="2024-11-01T00:00:00"/>
    <x v="52"/>
  </r>
  <r>
    <x v="11"/>
    <s v="Home Appliance"/>
    <s v="Godrej"/>
    <s v="Budget"/>
    <s v="South"/>
    <x v="5"/>
    <n v="6332.81"/>
    <x v="4"/>
    <n v="4432.9669999999996"/>
    <n v="5"/>
    <x v="470"/>
    <n v="3324.72"/>
    <d v="2024-06-17T00:00:00"/>
    <x v="243"/>
  </r>
  <r>
    <x v="7"/>
    <s v="Home Appliance"/>
    <s v="Godrej"/>
    <s v="Budget"/>
    <s v="East"/>
    <x v="8"/>
    <n v="19538.5"/>
    <x v="1"/>
    <n v="15630.8"/>
    <n v="1"/>
    <x v="471"/>
    <n v="2344.62"/>
    <d v="2024-09-28T00:00:00"/>
    <x v="334"/>
  </r>
  <r>
    <x v="9"/>
    <s v="Clothing"/>
    <s v="Max"/>
    <s v="Budget"/>
    <s v="West"/>
    <x v="9"/>
    <n v="749.32"/>
    <x v="5"/>
    <n v="636.92200000000003"/>
    <n v="2"/>
    <x v="472"/>
    <n v="191.08"/>
    <d v="2025-07-13T00:00:00"/>
    <x v="335"/>
  </r>
  <r>
    <x v="7"/>
    <s v="Home Appliance"/>
    <s v="Samsung"/>
    <s v="Premium"/>
    <s v="East"/>
    <x v="3"/>
    <n v="29538.01"/>
    <x v="4"/>
    <n v="20676.607"/>
    <n v="1"/>
    <x v="473"/>
    <n v="7236.81"/>
    <d v="2024-12-02T00:00:00"/>
    <x v="336"/>
  </r>
  <r>
    <x v="8"/>
    <s v="Furniture"/>
    <s v="Godrej Interio"/>
    <s v="Premium"/>
    <s v="East"/>
    <x v="3"/>
    <n v="29006.18"/>
    <x v="4"/>
    <n v="20304.326000000001"/>
    <n v="4"/>
    <x v="474"/>
    <n v="28426.06"/>
    <d v="2024-07-02T00:00:00"/>
    <x v="137"/>
  </r>
  <r>
    <x v="12"/>
    <s v="Clothing"/>
    <s v="Zara"/>
    <s v="Premium"/>
    <s v="East"/>
    <x v="3"/>
    <n v="1670.11"/>
    <x v="5"/>
    <n v="1419.5934999999999"/>
    <n v="5"/>
    <x v="475"/>
    <n v="2484.29"/>
    <d v="2025-04-28T00:00:00"/>
    <x v="337"/>
  </r>
  <r>
    <x v="2"/>
    <s v="Electronics"/>
    <s v="Samsung"/>
    <s v="Premium"/>
    <s v="South"/>
    <x v="0"/>
    <n v="59338.43"/>
    <x v="6"/>
    <n v="44503.822500000002"/>
    <n v="2"/>
    <x v="476"/>
    <n v="31152.68"/>
    <d v="2025-03-06T00:00:00"/>
    <x v="171"/>
  </r>
  <r>
    <x v="13"/>
    <s v="Home Appliance"/>
    <s v="LG"/>
    <s v="Premium"/>
    <s v="North"/>
    <x v="2"/>
    <n v="22509.3"/>
    <x v="0"/>
    <n v="22509.3"/>
    <n v="5"/>
    <x v="477"/>
    <n v="39391.269999999997"/>
    <d v="2024-04-16T00:00:00"/>
    <x v="338"/>
  </r>
  <r>
    <x v="8"/>
    <s v="Furniture"/>
    <s v="Ikea"/>
    <s v="Premium"/>
    <s v="West"/>
    <x v="7"/>
    <n v="31891.54"/>
    <x v="1"/>
    <n v="25513.232"/>
    <n v="1"/>
    <x v="478"/>
    <n v="8929.6299999999992"/>
    <d v="2024-06-26T00:00:00"/>
    <x v="339"/>
  </r>
  <r>
    <x v="4"/>
    <s v="Furniture"/>
    <s v="Nilkamal"/>
    <s v="Budget"/>
    <s v="South"/>
    <x v="6"/>
    <n v="24927.919999999998"/>
    <x v="6"/>
    <n v="18695.939999999999"/>
    <n v="5"/>
    <x v="479"/>
    <n v="14021.95"/>
    <d v="2024-07-16T00:00:00"/>
    <x v="340"/>
  </r>
  <r>
    <x v="5"/>
    <s v="Clothing"/>
    <s v="Roadster"/>
    <s v="Budget"/>
    <s v="West"/>
    <x v="11"/>
    <n v="2890.18"/>
    <x v="1"/>
    <n v="2312.1439999999998"/>
    <n v="3"/>
    <x v="480"/>
    <n v="1040.46"/>
    <d v="2024-07-12T00:00:00"/>
    <x v="128"/>
  </r>
  <r>
    <x v="10"/>
    <s v="Furniture"/>
    <s v="HomeTown"/>
    <s v="Standard"/>
    <s v="North"/>
    <x v="4"/>
    <n v="34620.81"/>
    <x v="4"/>
    <n v="24234.566999999999"/>
    <n v="5"/>
    <x v="481"/>
    <n v="30293.21"/>
    <d v="2024-08-04T00:00:00"/>
    <x v="341"/>
  </r>
  <r>
    <x v="8"/>
    <s v="Furniture"/>
    <s v="Ikea"/>
    <s v="Premium"/>
    <s v="South"/>
    <x v="0"/>
    <n v="29888.59"/>
    <x v="6"/>
    <n v="22416.442500000001"/>
    <n v="1"/>
    <x v="482"/>
    <n v="7845.75"/>
    <d v="2024-12-13T00:00:00"/>
    <x v="342"/>
  </r>
  <r>
    <x v="6"/>
    <s v="Footwear"/>
    <s v="Bata"/>
    <s v="Budget"/>
    <s v="West"/>
    <x v="11"/>
    <n v="3102.1"/>
    <x v="2"/>
    <n v="2946.9949999999999"/>
    <n v="2"/>
    <x v="483"/>
    <n v="884.1"/>
    <d v="2024-10-31T00:00:00"/>
    <x v="343"/>
  </r>
  <r>
    <x v="14"/>
    <s v="Electronics"/>
    <s v="Apple"/>
    <s v="Premium"/>
    <s v="East"/>
    <x v="10"/>
    <n v="17791.61"/>
    <x v="3"/>
    <n v="16012.449000000001"/>
    <n v="2"/>
    <x v="484"/>
    <n v="11208.72"/>
    <d v="2024-08-14T00:00:00"/>
    <x v="82"/>
  </r>
  <r>
    <x v="10"/>
    <s v="Furniture"/>
    <s v="HomeTown"/>
    <s v="Standard"/>
    <s v="South"/>
    <x v="5"/>
    <n v="32785.53"/>
    <x v="5"/>
    <n v="27867.700499999999"/>
    <n v="5"/>
    <x v="485"/>
    <n v="34834.620000000003"/>
    <d v="2025-07-23T00:00:00"/>
    <x v="344"/>
  </r>
  <r>
    <x v="5"/>
    <s v="Clothing"/>
    <s v="Levis"/>
    <s v="Premium"/>
    <s v="South"/>
    <x v="0"/>
    <n v="3502.93"/>
    <x v="5"/>
    <n v="2977.4904999999999"/>
    <n v="1"/>
    <x v="486"/>
    <n v="1042.1199999999999"/>
    <d v="2024-04-09T00:00:00"/>
    <x v="345"/>
  </r>
  <r>
    <x v="0"/>
    <s v="Footwear"/>
    <s v="Puma"/>
    <s v="Standard"/>
    <s v="West"/>
    <x v="9"/>
    <n v="2767.53"/>
    <x v="0"/>
    <n v="2767.53"/>
    <n v="3"/>
    <x v="487"/>
    <n v="2075.65"/>
    <d v="2024-02-14T00:00:00"/>
    <x v="346"/>
  </r>
  <r>
    <x v="13"/>
    <s v="Home Appliance"/>
    <s v="Whirlpool"/>
    <s v="Standard"/>
    <s v="West"/>
    <x v="7"/>
    <n v="18771.8"/>
    <x v="4"/>
    <n v="13140.26"/>
    <n v="1"/>
    <x v="488"/>
    <n v="3285.07"/>
    <d v="2024-01-26T00:00:00"/>
    <x v="347"/>
  </r>
  <r>
    <x v="14"/>
    <s v="Electronics"/>
    <s v="Samsung"/>
    <s v="Premium"/>
    <s v="North"/>
    <x v="1"/>
    <n v="19434.48"/>
    <x v="5"/>
    <n v="16519.308000000001"/>
    <n v="1"/>
    <x v="489"/>
    <n v="5781.76"/>
    <d v="2024-10-11T00:00:00"/>
    <x v="234"/>
  </r>
  <r>
    <x v="14"/>
    <s v="Electronics"/>
    <s v="Dell"/>
    <s v="Standard"/>
    <s v="South"/>
    <x v="5"/>
    <n v="14252.97"/>
    <x v="4"/>
    <n v="9977.0789999999997"/>
    <n v="4"/>
    <x v="490"/>
    <n v="9977.08"/>
    <d v="2024-03-05T00:00:00"/>
    <x v="348"/>
  </r>
  <r>
    <x v="10"/>
    <s v="Furniture"/>
    <s v="Nilkamal"/>
    <s v="Budget"/>
    <s v="South"/>
    <x v="5"/>
    <n v="27697.87"/>
    <x v="1"/>
    <n v="22158.295999999998"/>
    <n v="5"/>
    <x v="491"/>
    <n v="16618.72"/>
    <d v="2024-06-15T00:00:00"/>
    <x v="349"/>
  </r>
  <r>
    <x v="12"/>
    <s v="Clothing"/>
    <s v="Nike"/>
    <s v="Premium"/>
    <s v="West"/>
    <x v="7"/>
    <n v="1869.54"/>
    <x v="0"/>
    <n v="1869.54"/>
    <n v="2"/>
    <x v="492"/>
    <n v="1308.68"/>
    <d v="2025-02-17T00:00:00"/>
    <x v="147"/>
  </r>
  <r>
    <x v="2"/>
    <s v="Electronics"/>
    <s v="Realme"/>
    <s v="Budget"/>
    <s v="South"/>
    <x v="5"/>
    <n v="41982.99"/>
    <x v="3"/>
    <n v="37784.690999999999"/>
    <n v="1"/>
    <x v="493"/>
    <n v="5667.7"/>
    <d v="2024-06-15T00:00:00"/>
    <x v="349"/>
  </r>
  <r>
    <x v="13"/>
    <s v="Home Appliance"/>
    <s v="Godrej"/>
    <s v="Budget"/>
    <s v="South"/>
    <x v="6"/>
    <n v="14798.41"/>
    <x v="4"/>
    <n v="10358.887000000001"/>
    <n v="5"/>
    <x v="494"/>
    <n v="7769.16"/>
    <d v="2024-05-07T00:00:00"/>
    <x v="187"/>
  </r>
  <r>
    <x v="13"/>
    <s v="Home Appliance"/>
    <s v="LG"/>
    <s v="Premium"/>
    <s v="West"/>
    <x v="7"/>
    <n v="23491.83"/>
    <x v="0"/>
    <n v="23491.83"/>
    <n v="5"/>
    <x v="495"/>
    <n v="41110.699999999997"/>
    <d v="2025-06-14T00:00:00"/>
    <x v="350"/>
  </r>
  <r>
    <x v="1"/>
    <s v="Furniture"/>
    <s v="Godrej Interio"/>
    <s v="Premium"/>
    <s v="West"/>
    <x v="11"/>
    <n v="10861.16"/>
    <x v="6"/>
    <n v="8145.87"/>
    <n v="3"/>
    <x v="496"/>
    <n v="8553.16"/>
    <d v="2024-09-24T00:00:00"/>
    <x v="124"/>
  </r>
  <r>
    <x v="12"/>
    <s v="Clothing"/>
    <s v="Nike"/>
    <s v="Premium"/>
    <s v="West"/>
    <x v="7"/>
    <n v="1929.87"/>
    <x v="5"/>
    <n v="1640.3895"/>
    <n v="2"/>
    <x v="497"/>
    <n v="1148.27"/>
    <d v="2024-07-10T00:00:00"/>
    <x v="2"/>
  </r>
  <r>
    <x v="1"/>
    <s v="Furniture"/>
    <s v="Godrej Interio"/>
    <s v="Premium"/>
    <s v="West"/>
    <x v="9"/>
    <n v="10682.09"/>
    <x v="4"/>
    <n v="7477.4629999999997"/>
    <n v="4"/>
    <x v="498"/>
    <n v="10468.450000000001"/>
    <d v="2024-05-28T00:00:00"/>
    <x v="72"/>
  </r>
  <r>
    <x v="4"/>
    <s v="Furniture"/>
    <s v="Godrej Interio"/>
    <s v="Premium"/>
    <s v="South"/>
    <x v="0"/>
    <n v="36816.54"/>
    <x v="2"/>
    <n v="34975.713000000003"/>
    <n v="4"/>
    <x v="499"/>
    <n v="48966"/>
    <d v="2024-03-28T00:00:00"/>
    <x v="50"/>
  </r>
  <r>
    <x v="0"/>
    <s v="Footwear"/>
    <s v="Puma"/>
    <s v="Standard"/>
    <s v="South"/>
    <x v="5"/>
    <n v="2432.85"/>
    <x v="1"/>
    <n v="1946.28"/>
    <n v="1"/>
    <x v="500"/>
    <n v="486.57"/>
    <d v="2024-08-09T00:00:00"/>
    <x v="351"/>
  </r>
  <r>
    <x v="3"/>
    <s v="Electronics"/>
    <s v="HP"/>
    <s v="Standard"/>
    <s v="South"/>
    <x v="0"/>
    <n v="2011.43"/>
    <x v="4"/>
    <n v="1408.001"/>
    <n v="1"/>
    <x v="501"/>
    <n v="352"/>
    <d v="2024-09-01T00:00:00"/>
    <x v="315"/>
  </r>
  <r>
    <x v="12"/>
    <s v="Clothing"/>
    <s v="Max"/>
    <s v="Budget"/>
    <s v="West"/>
    <x v="9"/>
    <n v="1311.26"/>
    <x v="4"/>
    <n v="917.88199999999995"/>
    <n v="4"/>
    <x v="502"/>
    <n v="550.73"/>
    <d v="2024-08-07T00:00:00"/>
    <x v="285"/>
  </r>
  <r>
    <x v="2"/>
    <s v="Electronics"/>
    <s v="Samsung"/>
    <s v="Premium"/>
    <s v="East"/>
    <x v="3"/>
    <n v="55932.75"/>
    <x v="4"/>
    <n v="39152.925000000003"/>
    <n v="3"/>
    <x v="503"/>
    <n v="41110.57"/>
    <d v="2024-02-03T00:00:00"/>
    <x v="352"/>
  </r>
  <r>
    <x v="8"/>
    <s v="Furniture"/>
    <s v="Nilkamal"/>
    <s v="Budget"/>
    <s v="West"/>
    <x v="9"/>
    <n v="22040.62"/>
    <x v="0"/>
    <n v="22040.62"/>
    <n v="4"/>
    <x v="504"/>
    <n v="13224.37"/>
    <d v="2025-01-24T00:00:00"/>
    <x v="81"/>
  </r>
  <r>
    <x v="11"/>
    <s v="Home Appliance"/>
    <s v="Whirlpool"/>
    <s v="Standard"/>
    <s v="West"/>
    <x v="9"/>
    <n v="8932.34"/>
    <x v="3"/>
    <n v="8039.1060000000007"/>
    <n v="1"/>
    <x v="505"/>
    <n v="2009.78"/>
    <d v="2025-03-28T00:00:00"/>
    <x v="353"/>
  </r>
  <r>
    <x v="5"/>
    <s v="Clothing"/>
    <s v="H&amp;M"/>
    <s v="Standard"/>
    <s v="West"/>
    <x v="9"/>
    <n v="3368.87"/>
    <x v="6"/>
    <n v="2526.6525000000001"/>
    <n v="2"/>
    <x v="506"/>
    <n v="1263.33"/>
    <d v="2024-03-15T00:00:00"/>
    <x v="354"/>
  </r>
  <r>
    <x v="9"/>
    <s v="Clothing"/>
    <s v="Roadster"/>
    <s v="Budget"/>
    <s v="North"/>
    <x v="1"/>
    <n v="689"/>
    <x v="1"/>
    <n v="551.20000000000005"/>
    <n v="1"/>
    <x v="507"/>
    <n v="82.68"/>
    <d v="2025-03-22T00:00:00"/>
    <x v="355"/>
  </r>
  <r>
    <x v="4"/>
    <s v="Furniture"/>
    <s v="HomeTown"/>
    <s v="Standard"/>
    <s v="West"/>
    <x v="11"/>
    <n v="32503.66"/>
    <x v="4"/>
    <n v="22752.562000000002"/>
    <n v="3"/>
    <x v="508"/>
    <n v="17064.419999999998"/>
    <d v="2025-02-13T00:00:00"/>
    <x v="147"/>
  </r>
  <r>
    <x v="3"/>
    <s v="Electronics"/>
    <s v="Apple"/>
    <s v="Premium"/>
    <s v="West"/>
    <x v="11"/>
    <n v="2623.71"/>
    <x v="5"/>
    <n v="2230.1534999999999"/>
    <n v="1"/>
    <x v="509"/>
    <n v="780.55"/>
    <d v="2025-06-23T00:00:00"/>
    <x v="20"/>
  </r>
  <r>
    <x v="6"/>
    <s v="Footwear"/>
    <s v="Adidas"/>
    <s v="Premium"/>
    <s v="East"/>
    <x v="8"/>
    <n v="3865.4"/>
    <x v="3"/>
    <n v="3478.86"/>
    <n v="5"/>
    <x v="510"/>
    <n v="6088"/>
    <d v="2024-09-19T00:00:00"/>
    <x v="46"/>
  </r>
  <r>
    <x v="1"/>
    <s v="Furniture"/>
    <s v="Ikea"/>
    <s v="Premium"/>
    <s v="North"/>
    <x v="4"/>
    <n v="9924.07"/>
    <x v="4"/>
    <n v="6946.8489999999993"/>
    <n v="4"/>
    <x v="511"/>
    <n v="9725.59"/>
    <d v="2024-12-21T00:00:00"/>
    <x v="356"/>
  </r>
  <r>
    <x v="0"/>
    <s v="Footwear"/>
    <s v="Adidas"/>
    <s v="Premium"/>
    <s v="North"/>
    <x v="1"/>
    <n v="3033.79"/>
    <x v="4"/>
    <n v="2123.6529999999998"/>
    <n v="3"/>
    <x v="512"/>
    <n v="2229.84"/>
    <d v="2025-04-13T00:00:00"/>
    <x v="357"/>
  </r>
  <r>
    <x v="11"/>
    <s v="Home Appliance"/>
    <s v="Samsung"/>
    <s v="Premium"/>
    <s v="South"/>
    <x v="0"/>
    <n v="9217.4599999999991"/>
    <x v="4"/>
    <n v="6452.2219999999988"/>
    <n v="1"/>
    <x v="513"/>
    <n v="2258.2800000000002"/>
    <d v="2025-03-28T00:00:00"/>
    <x v="353"/>
  </r>
  <r>
    <x v="1"/>
    <s v="Furniture"/>
    <s v="Godrej Interio"/>
    <s v="Premium"/>
    <s v="North"/>
    <x v="4"/>
    <n v="10474.99"/>
    <x v="5"/>
    <n v="8903.7415000000001"/>
    <n v="2"/>
    <x v="514"/>
    <n v="6232.62"/>
    <d v="2025-06-27T00:00:00"/>
    <x v="23"/>
  </r>
  <r>
    <x v="10"/>
    <s v="Furniture"/>
    <s v="Ikea"/>
    <s v="Premium"/>
    <s v="South"/>
    <x v="5"/>
    <n v="41846.58"/>
    <x v="2"/>
    <n v="39754.250999999997"/>
    <n v="3"/>
    <x v="515"/>
    <n v="41741.96"/>
    <d v="2025-03-31T00:00:00"/>
    <x v="358"/>
  </r>
  <r>
    <x v="3"/>
    <s v="Electronics"/>
    <s v="Xiaomi"/>
    <s v="Budget"/>
    <s v="West"/>
    <x v="7"/>
    <n v="1804.9"/>
    <x v="1"/>
    <n v="1443.92"/>
    <n v="5"/>
    <x v="516"/>
    <n v="1082.94"/>
    <d v="2024-06-03T00:00:00"/>
    <x v="164"/>
  </r>
  <r>
    <x v="6"/>
    <s v="Footwear"/>
    <s v="Adidas"/>
    <s v="Premium"/>
    <s v="East"/>
    <x v="3"/>
    <n v="4105.08"/>
    <x v="2"/>
    <n v="3899.826"/>
    <n v="4"/>
    <x v="517"/>
    <n v="5459.75"/>
    <d v="2024-12-20T00:00:00"/>
    <x v="359"/>
  </r>
  <r>
    <x v="2"/>
    <s v="Electronics"/>
    <s v="Xiaomi"/>
    <s v="Budget"/>
    <s v="North"/>
    <x v="1"/>
    <n v="42799.02"/>
    <x v="5"/>
    <n v="36379.166999999987"/>
    <n v="3"/>
    <x v="518"/>
    <n v="16370.62"/>
    <d v="2024-04-22T00:00:00"/>
    <x v="360"/>
  </r>
  <r>
    <x v="1"/>
    <s v="Furniture"/>
    <s v="Godrej Interio"/>
    <s v="Premium"/>
    <s v="South"/>
    <x v="6"/>
    <n v="9692.86"/>
    <x v="1"/>
    <n v="7754.2879999999996"/>
    <n v="2"/>
    <x v="519"/>
    <n v="5428"/>
    <d v="2024-09-17T00:00:00"/>
    <x v="270"/>
  </r>
  <r>
    <x v="9"/>
    <s v="Clothing"/>
    <s v="Max"/>
    <s v="Budget"/>
    <s v="South"/>
    <x v="6"/>
    <n v="697.42"/>
    <x v="3"/>
    <n v="627.678"/>
    <n v="2"/>
    <x v="520"/>
    <n v="188.3"/>
    <d v="2024-03-02T00:00:00"/>
    <x v="361"/>
  </r>
  <r>
    <x v="3"/>
    <s v="Electronics"/>
    <s v="Apple"/>
    <s v="Premium"/>
    <s v="East"/>
    <x v="10"/>
    <n v="2168.37"/>
    <x v="0"/>
    <n v="2168.37"/>
    <n v="5"/>
    <x v="521"/>
    <n v="3794.65"/>
    <d v="2024-05-03T00:00:00"/>
    <x v="362"/>
  </r>
  <r>
    <x v="1"/>
    <s v="Furniture"/>
    <s v="HomeTown"/>
    <s v="Standard"/>
    <s v="East"/>
    <x v="10"/>
    <n v="7811.99"/>
    <x v="6"/>
    <n v="5858.9925000000003"/>
    <n v="3"/>
    <x v="522"/>
    <n v="4394.24"/>
    <d v="2024-07-12T00:00:00"/>
    <x v="175"/>
  </r>
  <r>
    <x v="10"/>
    <s v="Furniture"/>
    <s v="HomeTown"/>
    <s v="Standard"/>
    <s v="West"/>
    <x v="11"/>
    <n v="37782.29"/>
    <x v="3"/>
    <n v="34004.061000000002"/>
    <n v="1"/>
    <x v="523"/>
    <n v="8501.01"/>
    <d v="2024-08-25T00:00:00"/>
    <x v="256"/>
  </r>
  <r>
    <x v="13"/>
    <s v="Home Appliance"/>
    <s v="Samsung"/>
    <s v="Premium"/>
    <s v="East"/>
    <x v="3"/>
    <n v="20144.38"/>
    <x v="3"/>
    <n v="18129.941999999999"/>
    <n v="5"/>
    <x v="524"/>
    <n v="31727.4"/>
    <d v="2025-04-11T00:00:00"/>
    <x v="363"/>
  </r>
  <r>
    <x v="10"/>
    <s v="Furniture"/>
    <s v="Ikea"/>
    <s v="Premium"/>
    <s v="West"/>
    <x v="9"/>
    <n v="43837.56"/>
    <x v="1"/>
    <n v="35070.048000000003"/>
    <n v="3"/>
    <x v="525"/>
    <n v="36823.550000000003"/>
    <d v="2024-06-25T00:00:00"/>
    <x v="260"/>
  </r>
  <r>
    <x v="0"/>
    <s v="Footwear"/>
    <s v="Adidas"/>
    <s v="Premium"/>
    <s v="East"/>
    <x v="10"/>
    <n v="2749.66"/>
    <x v="6"/>
    <n v="2062.2449999999999"/>
    <n v="1"/>
    <x v="526"/>
    <n v="721.78"/>
    <d v="2024-05-06T00:00:00"/>
    <x v="207"/>
  </r>
  <r>
    <x v="13"/>
    <s v="Home Appliance"/>
    <s v="Samsung"/>
    <s v="Premium"/>
    <s v="West"/>
    <x v="11"/>
    <n v="23053.24"/>
    <x v="3"/>
    <n v="20747.916000000001"/>
    <n v="4"/>
    <x v="527"/>
    <n v="29047.08"/>
    <d v="2024-08-19T00:00:00"/>
    <x v="364"/>
  </r>
  <r>
    <x v="0"/>
    <s v="Footwear"/>
    <s v="Adidas"/>
    <s v="Premium"/>
    <s v="West"/>
    <x v="9"/>
    <n v="3260.34"/>
    <x v="6"/>
    <n v="2445.2550000000001"/>
    <n v="4"/>
    <x v="528"/>
    <n v="3423.36"/>
    <d v="2025-03-12T00:00:00"/>
    <x v="365"/>
  </r>
  <r>
    <x v="10"/>
    <s v="Furniture"/>
    <s v="Ikea"/>
    <s v="Premium"/>
    <s v="East"/>
    <x v="8"/>
    <n v="39220.519999999997"/>
    <x v="5"/>
    <n v="33337.442000000003"/>
    <n v="2"/>
    <x v="529"/>
    <n v="23336.21"/>
    <d v="2024-12-13T00:00:00"/>
    <x v="366"/>
  </r>
  <r>
    <x v="2"/>
    <s v="Electronics"/>
    <s v="Apple"/>
    <s v="Premium"/>
    <s v="East"/>
    <x v="10"/>
    <n v="58766.87"/>
    <x v="2"/>
    <n v="55828.5265"/>
    <n v="4"/>
    <x v="530"/>
    <n v="78159.94"/>
    <d v="2025-04-25T00:00:00"/>
    <x v="86"/>
  </r>
  <r>
    <x v="4"/>
    <s v="Furniture"/>
    <s v="Godrej Interio"/>
    <s v="Premium"/>
    <s v="West"/>
    <x v="9"/>
    <n v="39852.699999999997"/>
    <x v="1"/>
    <n v="31882.16"/>
    <n v="2"/>
    <x v="531"/>
    <n v="22317.51"/>
    <d v="2024-12-29T00:00:00"/>
    <x v="244"/>
  </r>
  <r>
    <x v="4"/>
    <s v="Furniture"/>
    <s v="Ikea"/>
    <s v="Premium"/>
    <s v="South"/>
    <x v="5"/>
    <n v="34040.92"/>
    <x v="2"/>
    <n v="32338.874"/>
    <n v="3"/>
    <x v="532"/>
    <n v="33955.82"/>
    <d v="2024-05-27T00:00:00"/>
    <x v="367"/>
  </r>
  <r>
    <x v="9"/>
    <s v="Clothing"/>
    <s v="Max"/>
    <s v="Budget"/>
    <s v="West"/>
    <x v="9"/>
    <n v="741.61"/>
    <x v="1"/>
    <n v="593.28800000000001"/>
    <n v="2"/>
    <x v="533"/>
    <n v="177.99"/>
    <d v="2024-06-04T00:00:00"/>
    <x v="35"/>
  </r>
  <r>
    <x v="7"/>
    <s v="Home Appliance"/>
    <s v="Godrej"/>
    <s v="Budget"/>
    <s v="East"/>
    <x v="3"/>
    <n v="19744.13"/>
    <x v="6"/>
    <n v="14808.0975"/>
    <n v="5"/>
    <x v="534"/>
    <n v="11106.07"/>
    <d v="2024-03-02T00:00:00"/>
    <x v="368"/>
  </r>
  <r>
    <x v="6"/>
    <s v="Footwear"/>
    <s v="Puma"/>
    <s v="Standard"/>
    <s v="West"/>
    <x v="11"/>
    <n v="3612.53"/>
    <x v="1"/>
    <n v="2890.0239999999999"/>
    <n v="5"/>
    <x v="535"/>
    <n v="3612.53"/>
    <d v="2024-01-15T00:00:00"/>
    <x v="312"/>
  </r>
  <r>
    <x v="3"/>
    <s v="Electronics"/>
    <s v="Samsung"/>
    <s v="Premium"/>
    <s v="North"/>
    <x v="1"/>
    <n v="2414.5500000000002"/>
    <x v="0"/>
    <n v="2414.5500000000002"/>
    <n v="4"/>
    <x v="536"/>
    <n v="3380.37"/>
    <d v="2024-07-30T00:00:00"/>
    <x v="191"/>
  </r>
  <r>
    <x v="7"/>
    <s v="Home Appliance"/>
    <s v="Whirlpool"/>
    <s v="Standard"/>
    <s v="West"/>
    <x v="7"/>
    <n v="27309.58"/>
    <x v="6"/>
    <n v="20482.185000000001"/>
    <n v="3"/>
    <x v="537"/>
    <n v="15361.64"/>
    <d v="2024-03-21T00:00:00"/>
    <x v="61"/>
  </r>
  <r>
    <x v="6"/>
    <s v="Footwear"/>
    <s v="Puma"/>
    <s v="Standard"/>
    <s v="East"/>
    <x v="8"/>
    <n v="3370.43"/>
    <x v="5"/>
    <n v="2864.8654999999999"/>
    <n v="2"/>
    <x v="538"/>
    <n v="1432.43"/>
    <d v="2024-09-28T00:00:00"/>
    <x v="369"/>
  </r>
  <r>
    <x v="10"/>
    <s v="Furniture"/>
    <s v="HomeTown"/>
    <s v="Standard"/>
    <s v="East"/>
    <x v="8"/>
    <n v="33947.56"/>
    <x v="3"/>
    <n v="30552.804"/>
    <n v="2"/>
    <x v="539"/>
    <n v="15276.4"/>
    <d v="2024-03-16T00:00:00"/>
    <x v="370"/>
  </r>
  <r>
    <x v="0"/>
    <s v="Footwear"/>
    <s v="Puma"/>
    <s v="Standard"/>
    <s v="East"/>
    <x v="10"/>
    <n v="2468.91"/>
    <x v="4"/>
    <n v="1728.2370000000001"/>
    <n v="1"/>
    <x v="540"/>
    <n v="432.06"/>
    <d v="2025-06-04T00:00:00"/>
    <x v="172"/>
  </r>
  <r>
    <x v="7"/>
    <s v="Home Appliance"/>
    <s v="LG"/>
    <s v="Premium"/>
    <s v="North"/>
    <x v="1"/>
    <n v="30852.84"/>
    <x v="2"/>
    <n v="29310.198"/>
    <n v="1"/>
    <x v="541"/>
    <n v="10258.57"/>
    <d v="2025-07-11T00:00:00"/>
    <x v="11"/>
  </r>
  <r>
    <x v="10"/>
    <s v="Furniture"/>
    <s v="Ikea"/>
    <s v="Premium"/>
    <s v="West"/>
    <x v="7"/>
    <n v="45564.42"/>
    <x v="5"/>
    <n v="38729.756999999998"/>
    <n v="5"/>
    <x v="542"/>
    <n v="67777.070000000007"/>
    <d v="2024-05-01T00:00:00"/>
    <x v="362"/>
  </r>
  <r>
    <x v="0"/>
    <s v="Footwear"/>
    <s v="Adidas"/>
    <s v="Premium"/>
    <s v="North"/>
    <x v="2"/>
    <n v="3021"/>
    <x v="6"/>
    <n v="2265.75"/>
    <n v="3"/>
    <x v="543"/>
    <n v="2379.04"/>
    <d v="2025-05-19T00:00:00"/>
    <x v="210"/>
  </r>
  <r>
    <x v="6"/>
    <s v="Footwear"/>
    <s v="Bata"/>
    <s v="Budget"/>
    <s v="West"/>
    <x v="9"/>
    <n v="3304.26"/>
    <x v="1"/>
    <n v="2643.4079999999999"/>
    <n v="1"/>
    <x v="544"/>
    <n v="396.51"/>
    <d v="2024-02-02T00:00:00"/>
    <x v="38"/>
  </r>
  <r>
    <x v="4"/>
    <s v="Furniture"/>
    <s v="HomeTown"/>
    <s v="Standard"/>
    <s v="East"/>
    <x v="8"/>
    <n v="27218.59"/>
    <x v="2"/>
    <n v="25857.660500000002"/>
    <n v="1"/>
    <x v="545"/>
    <n v="6464.41"/>
    <d v="2024-08-10T00:00:00"/>
    <x v="371"/>
  </r>
  <r>
    <x v="13"/>
    <s v="Home Appliance"/>
    <s v="Samsung"/>
    <s v="Premium"/>
    <s v="West"/>
    <x v="9"/>
    <n v="24100.400000000001"/>
    <x v="5"/>
    <n v="20485.34"/>
    <n v="5"/>
    <x v="546"/>
    <n v="35849.339999999997"/>
    <d v="2024-01-16T00:00:00"/>
    <x v="372"/>
  </r>
  <r>
    <x v="6"/>
    <s v="Footwear"/>
    <s v="Adidas"/>
    <s v="Premium"/>
    <s v="West"/>
    <x v="7"/>
    <n v="4756.07"/>
    <x v="4"/>
    <n v="3329.2489999999998"/>
    <n v="1"/>
    <x v="547"/>
    <n v="1165.24"/>
    <d v="2024-02-27T00:00:00"/>
    <x v="214"/>
  </r>
  <r>
    <x v="7"/>
    <s v="Home Appliance"/>
    <s v="Samsung"/>
    <s v="Premium"/>
    <s v="South"/>
    <x v="0"/>
    <n v="29705.96"/>
    <x v="4"/>
    <n v="20794.171999999999"/>
    <n v="3"/>
    <x v="548"/>
    <n v="21833.88"/>
    <d v="2024-05-04T00:00:00"/>
    <x v="362"/>
  </r>
  <r>
    <x v="14"/>
    <s v="Electronics"/>
    <s v="Apple"/>
    <s v="Premium"/>
    <s v="East"/>
    <x v="3"/>
    <n v="17330.97"/>
    <x v="4"/>
    <n v="12131.679"/>
    <n v="1"/>
    <x v="549"/>
    <n v="4246.09"/>
    <d v="2024-06-27T00:00:00"/>
    <x v="231"/>
  </r>
  <r>
    <x v="0"/>
    <s v="Footwear"/>
    <s v="Bata"/>
    <s v="Budget"/>
    <s v="South"/>
    <x v="6"/>
    <n v="2003.27"/>
    <x v="5"/>
    <n v="1702.7795000000001"/>
    <n v="2"/>
    <x v="550"/>
    <n v="510.83"/>
    <d v="2025-07-03T00:00:00"/>
    <x v="373"/>
  </r>
  <r>
    <x v="14"/>
    <s v="Electronics"/>
    <s v="Dell"/>
    <s v="Standard"/>
    <s v="West"/>
    <x v="7"/>
    <n v="16783.41"/>
    <x v="3"/>
    <n v="15105.069"/>
    <n v="1"/>
    <x v="551"/>
    <n v="3776.27"/>
    <d v="2024-02-20T00:00:00"/>
    <x v="104"/>
  </r>
  <r>
    <x v="4"/>
    <s v="Furniture"/>
    <s v="Ikea"/>
    <s v="Premium"/>
    <s v="West"/>
    <x v="11"/>
    <n v="38712.31"/>
    <x v="3"/>
    <n v="34841.078999999998"/>
    <n v="4"/>
    <x v="552"/>
    <n v="48777.51"/>
    <d v="2024-10-26T00:00:00"/>
    <x v="153"/>
  </r>
  <r>
    <x v="9"/>
    <s v="Clothing"/>
    <s v="Max"/>
    <s v="Budget"/>
    <s v="East"/>
    <x v="8"/>
    <n v="627.07000000000005"/>
    <x v="0"/>
    <n v="627.07000000000005"/>
    <n v="5"/>
    <x v="553"/>
    <n v="470.3"/>
    <d v="2025-06-24T00:00:00"/>
    <x v="117"/>
  </r>
  <r>
    <x v="7"/>
    <s v="Home Appliance"/>
    <s v="Samsung"/>
    <s v="Premium"/>
    <s v="East"/>
    <x v="3"/>
    <n v="27496.91"/>
    <x v="2"/>
    <n v="26122.0645"/>
    <n v="1"/>
    <x v="554"/>
    <n v="9142.7199999999993"/>
    <d v="2025-02-12T00:00:00"/>
    <x v="374"/>
  </r>
  <r>
    <x v="13"/>
    <s v="Home Appliance"/>
    <s v="Godrej"/>
    <s v="Budget"/>
    <s v="West"/>
    <x v="7"/>
    <n v="16966.18"/>
    <x v="3"/>
    <n v="15269.562"/>
    <n v="2"/>
    <x v="555"/>
    <n v="4580.87"/>
    <d v="2025-04-27T00:00:00"/>
    <x v="375"/>
  </r>
  <r>
    <x v="0"/>
    <s v="Footwear"/>
    <s v="Adidas"/>
    <s v="Premium"/>
    <s v="North"/>
    <x v="2"/>
    <n v="3082.65"/>
    <x v="3"/>
    <n v="2774.3850000000002"/>
    <n v="3"/>
    <x v="556"/>
    <n v="2913.11"/>
    <d v="2024-11-30T00:00:00"/>
    <x v="111"/>
  </r>
  <r>
    <x v="10"/>
    <s v="Furniture"/>
    <s v="Ikea"/>
    <s v="Premium"/>
    <s v="East"/>
    <x v="3"/>
    <n v="39923.08"/>
    <x v="5"/>
    <n v="33934.618000000002"/>
    <n v="5"/>
    <x v="557"/>
    <n v="59385.58"/>
    <d v="2025-06-05T00:00:00"/>
    <x v="200"/>
  </r>
  <r>
    <x v="10"/>
    <s v="Furniture"/>
    <s v="Nilkamal"/>
    <s v="Budget"/>
    <s v="South"/>
    <x v="0"/>
    <n v="28418.32"/>
    <x v="0"/>
    <n v="28418.32"/>
    <n v="4"/>
    <x v="558"/>
    <n v="17050.990000000002"/>
    <d v="2024-07-02T00:00:00"/>
    <x v="137"/>
  </r>
  <r>
    <x v="1"/>
    <s v="Furniture"/>
    <s v="Nilkamal"/>
    <s v="Budget"/>
    <s v="North"/>
    <x v="4"/>
    <n v="6914.96"/>
    <x v="1"/>
    <n v="5531.9680000000008"/>
    <n v="5"/>
    <x v="559"/>
    <n v="4148.9799999999996"/>
    <d v="2024-09-19T00:00:00"/>
    <x v="329"/>
  </r>
  <r>
    <x v="8"/>
    <s v="Furniture"/>
    <s v="Nilkamal"/>
    <s v="Budget"/>
    <s v="North"/>
    <x v="2"/>
    <n v="22645.17"/>
    <x v="5"/>
    <n v="19248.394499999999"/>
    <n v="1"/>
    <x v="560"/>
    <n v="2887.26"/>
    <d v="2024-06-18T00:00:00"/>
    <x v="349"/>
  </r>
  <r>
    <x v="1"/>
    <s v="Furniture"/>
    <s v="Godrej Interio"/>
    <s v="Premium"/>
    <s v="East"/>
    <x v="8"/>
    <n v="9108.09"/>
    <x v="4"/>
    <n v="6375.6629999999996"/>
    <n v="5"/>
    <x v="561"/>
    <n v="11157.41"/>
    <d v="2025-02-16T00:00:00"/>
    <x v="376"/>
  </r>
  <r>
    <x v="9"/>
    <s v="Clothing"/>
    <s v="Zara"/>
    <s v="Premium"/>
    <s v="North"/>
    <x v="2"/>
    <n v="976.07"/>
    <x v="2"/>
    <n v="927.26649999999995"/>
    <n v="3"/>
    <x v="562"/>
    <n v="973.63"/>
    <d v="2025-07-07T00:00:00"/>
    <x v="156"/>
  </r>
  <r>
    <x v="9"/>
    <s v="Clothing"/>
    <s v="Nike"/>
    <s v="Premium"/>
    <s v="South"/>
    <x v="6"/>
    <n v="983.89"/>
    <x v="4"/>
    <n v="688.72299999999996"/>
    <n v="3"/>
    <x v="563"/>
    <n v="723.16"/>
    <d v="2024-09-06T00:00:00"/>
    <x v="30"/>
  </r>
  <r>
    <x v="12"/>
    <s v="Clothing"/>
    <s v="Nike"/>
    <s v="Premium"/>
    <s v="North"/>
    <x v="2"/>
    <n v="1928.84"/>
    <x v="6"/>
    <n v="1446.63"/>
    <n v="4"/>
    <x v="564"/>
    <n v="2025.28"/>
    <d v="2024-12-21T00:00:00"/>
    <x v="267"/>
  </r>
  <r>
    <x v="0"/>
    <s v="Footwear"/>
    <s v="Adidas"/>
    <s v="Premium"/>
    <s v="North"/>
    <x v="1"/>
    <n v="3067.43"/>
    <x v="1"/>
    <n v="2453.944"/>
    <n v="3"/>
    <x v="565"/>
    <n v="2576.64"/>
    <d v="2024-02-15T00:00:00"/>
    <x v="346"/>
  </r>
  <r>
    <x v="6"/>
    <s v="Footwear"/>
    <s v="Bata"/>
    <s v="Budget"/>
    <s v="South"/>
    <x v="5"/>
    <n v="2968.22"/>
    <x v="5"/>
    <n v="2522.9870000000001"/>
    <n v="1"/>
    <x v="566"/>
    <n v="378.45"/>
    <d v="2025-03-31T00:00:00"/>
    <x v="319"/>
  </r>
  <r>
    <x v="11"/>
    <s v="Home Appliance"/>
    <s v="Godrej"/>
    <s v="Budget"/>
    <s v="South"/>
    <x v="6"/>
    <n v="6541.07"/>
    <x v="6"/>
    <n v="4905.8024999999998"/>
    <n v="3"/>
    <x v="567"/>
    <n v="2207.61"/>
    <d v="2025-06-07T00:00:00"/>
    <x v="132"/>
  </r>
  <r>
    <x v="11"/>
    <s v="Home Appliance"/>
    <s v="Samsung"/>
    <s v="Premium"/>
    <s v="South"/>
    <x v="0"/>
    <n v="9708.2099999999991"/>
    <x v="5"/>
    <n v="8251.9784999999993"/>
    <n v="3"/>
    <x v="568"/>
    <n v="8664.58"/>
    <d v="2024-11-16T00:00:00"/>
    <x v="47"/>
  </r>
  <r>
    <x v="11"/>
    <s v="Home Appliance"/>
    <s v="LG"/>
    <s v="Premium"/>
    <s v="North"/>
    <x v="2"/>
    <n v="9601.94"/>
    <x v="2"/>
    <n v="9121.8430000000008"/>
    <n v="4"/>
    <x v="569"/>
    <n v="12770.58"/>
    <d v="2024-07-28T00:00:00"/>
    <x v="51"/>
  </r>
  <r>
    <x v="6"/>
    <s v="Footwear"/>
    <s v="Bata"/>
    <s v="Budget"/>
    <s v="North"/>
    <x v="2"/>
    <n v="3064.87"/>
    <x v="0"/>
    <n v="3064.87"/>
    <n v="4"/>
    <x v="570"/>
    <n v="1838.92"/>
    <d v="2024-04-18T00:00:00"/>
    <x v="338"/>
  </r>
  <r>
    <x v="3"/>
    <s v="Electronics"/>
    <s v="Xiaomi"/>
    <s v="Budget"/>
    <s v="West"/>
    <x v="7"/>
    <n v="1830.55"/>
    <x v="1"/>
    <n v="1464.44"/>
    <n v="5"/>
    <x v="571"/>
    <n v="1098.33"/>
    <d v="2024-08-20T00:00:00"/>
    <x v="377"/>
  </r>
  <r>
    <x v="1"/>
    <s v="Furniture"/>
    <s v="HomeTown"/>
    <s v="Standard"/>
    <s v="East"/>
    <x v="10"/>
    <n v="7853.87"/>
    <x v="0"/>
    <n v="7853.87"/>
    <n v="5"/>
    <x v="572"/>
    <n v="9817.34"/>
    <d v="2024-11-19T00:00:00"/>
    <x v="115"/>
  </r>
  <r>
    <x v="2"/>
    <s v="Electronics"/>
    <s v="Xiaomi"/>
    <s v="Budget"/>
    <s v="West"/>
    <x v="9"/>
    <n v="46253.2"/>
    <x v="4"/>
    <n v="32377.239999999991"/>
    <n v="5"/>
    <x v="573"/>
    <n v="24282.93"/>
    <d v="2024-06-28T00:00:00"/>
    <x v="137"/>
  </r>
  <r>
    <x v="10"/>
    <s v="Furniture"/>
    <s v="HomeTown"/>
    <s v="Standard"/>
    <s v="West"/>
    <x v="9"/>
    <n v="36834.910000000003"/>
    <x v="1"/>
    <n v="29467.928"/>
    <n v="4"/>
    <x v="574"/>
    <n v="29467.93"/>
    <d v="2025-04-24T00:00:00"/>
    <x v="337"/>
  </r>
  <r>
    <x v="7"/>
    <s v="Home Appliance"/>
    <s v="LG"/>
    <s v="Premium"/>
    <s v="East"/>
    <x v="8"/>
    <n v="29190.560000000001"/>
    <x v="4"/>
    <n v="20433.392"/>
    <n v="5"/>
    <x v="575"/>
    <n v="35758.44"/>
    <d v="2024-03-27T00:00:00"/>
    <x v="280"/>
  </r>
  <r>
    <x v="6"/>
    <s v="Footwear"/>
    <s v="Puma"/>
    <s v="Standard"/>
    <s v="East"/>
    <x v="3"/>
    <n v="3185.45"/>
    <x v="1"/>
    <n v="2548.36"/>
    <n v="2"/>
    <x v="576"/>
    <n v="1274.18"/>
    <d v="2025-05-12T00:00:00"/>
    <x v="378"/>
  </r>
  <r>
    <x v="14"/>
    <s v="Electronics"/>
    <s v="HP"/>
    <s v="Standard"/>
    <s v="East"/>
    <x v="8"/>
    <n v="13812.68"/>
    <x v="0"/>
    <n v="13812.68"/>
    <n v="5"/>
    <x v="577"/>
    <n v="17265.849999999999"/>
    <d v="2024-05-14T00:00:00"/>
    <x v="37"/>
  </r>
  <r>
    <x v="13"/>
    <s v="Home Appliance"/>
    <s v="Samsung"/>
    <s v="Premium"/>
    <s v="East"/>
    <x v="3"/>
    <n v="21094.48"/>
    <x v="2"/>
    <n v="20039.756000000001"/>
    <n v="2"/>
    <x v="578"/>
    <n v="14027.83"/>
    <d v="2024-03-18T00:00:00"/>
    <x v="370"/>
  </r>
  <r>
    <x v="13"/>
    <s v="Home Appliance"/>
    <s v="Samsung"/>
    <s v="Premium"/>
    <s v="East"/>
    <x v="10"/>
    <n v="20975.13"/>
    <x v="5"/>
    <n v="17828.860499999999"/>
    <n v="5"/>
    <x v="579"/>
    <n v="31200.5"/>
    <d v="2024-09-12T00:00:00"/>
    <x v="101"/>
  </r>
  <r>
    <x v="11"/>
    <s v="Home Appliance"/>
    <s v="Godrej"/>
    <s v="Budget"/>
    <s v="West"/>
    <x v="11"/>
    <n v="7001.03"/>
    <x v="0"/>
    <n v="7001.03"/>
    <n v="5"/>
    <x v="580"/>
    <n v="5250.77"/>
    <d v="2025-01-20T00:00:00"/>
    <x v="293"/>
  </r>
  <r>
    <x v="2"/>
    <s v="Electronics"/>
    <s v="Realme"/>
    <s v="Budget"/>
    <s v="South"/>
    <x v="0"/>
    <n v="41536.76"/>
    <x v="1"/>
    <n v="33229.408000000003"/>
    <n v="4"/>
    <x v="581"/>
    <n v="19937.64"/>
    <d v="2024-08-26T00:00:00"/>
    <x v="379"/>
  </r>
  <r>
    <x v="1"/>
    <s v="Furniture"/>
    <s v="HomeTown"/>
    <s v="Standard"/>
    <s v="West"/>
    <x v="7"/>
    <n v="8339.91"/>
    <x v="3"/>
    <n v="7505.9189999999999"/>
    <n v="4"/>
    <x v="582"/>
    <n v="7505.92"/>
    <d v="2024-03-08T00:00:00"/>
    <x v="4"/>
  </r>
  <r>
    <x v="13"/>
    <s v="Home Appliance"/>
    <s v="Samsung"/>
    <s v="Premium"/>
    <s v="North"/>
    <x v="4"/>
    <n v="22219.08"/>
    <x v="6"/>
    <n v="16664.310000000001"/>
    <n v="4"/>
    <x v="583"/>
    <n v="23330.03"/>
    <d v="2024-06-20T00:00:00"/>
    <x v="380"/>
  </r>
  <r>
    <x v="10"/>
    <s v="Furniture"/>
    <s v="Godrej Interio"/>
    <s v="Premium"/>
    <s v="West"/>
    <x v="9"/>
    <n v="44882.8"/>
    <x v="0"/>
    <n v="44882.8"/>
    <n v="1"/>
    <x v="584"/>
    <n v="15708.98"/>
    <d v="2025-07-19T00:00:00"/>
    <x v="381"/>
  </r>
  <r>
    <x v="9"/>
    <s v="Clothing"/>
    <s v="Roadster"/>
    <s v="Budget"/>
    <s v="South"/>
    <x v="6"/>
    <n v="672.18"/>
    <x v="5"/>
    <n v="571.35299999999995"/>
    <n v="3"/>
    <x v="585"/>
    <n v="257.11"/>
    <d v="2024-10-19T00:00:00"/>
    <x v="204"/>
  </r>
  <r>
    <x v="8"/>
    <s v="Furniture"/>
    <s v="HomeTown"/>
    <s v="Standard"/>
    <s v="North"/>
    <x v="1"/>
    <n v="26595.81"/>
    <x v="1"/>
    <n v="21276.648000000001"/>
    <n v="1"/>
    <x v="586"/>
    <n v="5319.16"/>
    <d v="2025-03-17T00:00:00"/>
    <x v="249"/>
  </r>
  <r>
    <x v="11"/>
    <s v="Home Appliance"/>
    <s v="LG"/>
    <s v="Premium"/>
    <s v="East"/>
    <x v="10"/>
    <n v="9045.32"/>
    <x v="1"/>
    <n v="7236.2560000000003"/>
    <n v="4"/>
    <x v="587"/>
    <n v="10130.76"/>
    <d v="2025-06-29T00:00:00"/>
    <x v="271"/>
  </r>
  <r>
    <x v="1"/>
    <s v="Furniture"/>
    <s v="Nilkamal"/>
    <s v="Budget"/>
    <s v="West"/>
    <x v="9"/>
    <n v="7286.46"/>
    <x v="0"/>
    <n v="7286.46"/>
    <n v="2"/>
    <x v="588"/>
    <n v="2185.94"/>
    <d v="2024-10-27T00:00:00"/>
    <x v="235"/>
  </r>
  <r>
    <x v="6"/>
    <s v="Footwear"/>
    <s v="Puma"/>
    <s v="Standard"/>
    <s v="South"/>
    <x v="6"/>
    <n v="3331.2"/>
    <x v="1"/>
    <n v="2664.96"/>
    <n v="2"/>
    <x v="589"/>
    <n v="1332.48"/>
    <d v="2025-06-17T00:00:00"/>
    <x v="127"/>
  </r>
  <r>
    <x v="1"/>
    <s v="Furniture"/>
    <s v="HomeTown"/>
    <s v="Standard"/>
    <s v="East"/>
    <x v="8"/>
    <n v="7626.35"/>
    <x v="0"/>
    <n v="7626.35"/>
    <n v="1"/>
    <x v="590"/>
    <n v="1906.59"/>
    <d v="2024-07-23T00:00:00"/>
    <x v="382"/>
  </r>
  <r>
    <x v="13"/>
    <s v="Home Appliance"/>
    <s v="LG"/>
    <s v="Premium"/>
    <s v="North"/>
    <x v="2"/>
    <n v="22040.32"/>
    <x v="2"/>
    <n v="20938.304"/>
    <n v="2"/>
    <x v="591"/>
    <n v="14656.81"/>
    <d v="2024-10-21T00:00:00"/>
    <x v="318"/>
  </r>
  <r>
    <x v="8"/>
    <s v="Furniture"/>
    <s v="Nilkamal"/>
    <s v="Budget"/>
    <s v="West"/>
    <x v="11"/>
    <n v="22050.84"/>
    <x v="6"/>
    <n v="16538.13"/>
    <n v="5"/>
    <x v="592"/>
    <n v="12403.6"/>
    <d v="2024-07-16T00:00:00"/>
    <x v="257"/>
  </r>
  <r>
    <x v="14"/>
    <s v="Electronics"/>
    <s v="Realme"/>
    <s v="Budget"/>
    <s v="West"/>
    <x v="9"/>
    <n v="13633"/>
    <x v="0"/>
    <n v="13633"/>
    <n v="5"/>
    <x v="593"/>
    <n v="10224.75"/>
    <d v="2025-05-19T00:00:00"/>
    <x v="15"/>
  </r>
  <r>
    <x v="1"/>
    <s v="Furniture"/>
    <s v="Godrej Interio"/>
    <s v="Premium"/>
    <s v="East"/>
    <x v="8"/>
    <n v="9433.6299999999992"/>
    <x v="1"/>
    <n v="7546.9040000000005"/>
    <n v="4"/>
    <x v="594"/>
    <n v="10565.67"/>
    <d v="2025-01-09T00:00:00"/>
    <x v="176"/>
  </r>
  <r>
    <x v="0"/>
    <s v="Footwear"/>
    <s v="Puma"/>
    <s v="Standard"/>
    <s v="West"/>
    <x v="11"/>
    <n v="2770.56"/>
    <x v="0"/>
    <n v="2770.56"/>
    <n v="2"/>
    <x v="595"/>
    <n v="1385.28"/>
    <d v="2025-04-08T00:00:00"/>
    <x v="158"/>
  </r>
  <r>
    <x v="12"/>
    <s v="Clothing"/>
    <s v="Nike"/>
    <s v="Premium"/>
    <s v="West"/>
    <x v="9"/>
    <n v="1971.41"/>
    <x v="0"/>
    <n v="1971.41"/>
    <n v="4"/>
    <x v="596"/>
    <n v="2759.97"/>
    <d v="2025-04-24T00:00:00"/>
    <x v="375"/>
  </r>
  <r>
    <x v="4"/>
    <s v="Furniture"/>
    <s v="HomeTown"/>
    <s v="Standard"/>
    <s v="North"/>
    <x v="4"/>
    <n v="32467.41"/>
    <x v="5"/>
    <n v="27597.298500000001"/>
    <n v="2"/>
    <x v="597"/>
    <n v="13798.65"/>
    <d v="2025-05-01T00:00:00"/>
    <x v="112"/>
  </r>
  <r>
    <x v="3"/>
    <s v="Electronics"/>
    <s v="Apple"/>
    <s v="Premium"/>
    <s v="North"/>
    <x v="2"/>
    <n v="2408.5300000000002"/>
    <x v="4"/>
    <n v="1685.971"/>
    <n v="1"/>
    <x v="598"/>
    <n v="590.09"/>
    <d v="2025-01-21T00:00:00"/>
    <x v="293"/>
  </r>
  <r>
    <x v="13"/>
    <s v="Home Appliance"/>
    <s v="LG"/>
    <s v="Premium"/>
    <s v="West"/>
    <x v="7"/>
    <n v="24354.13"/>
    <x v="1"/>
    <n v="19483.304"/>
    <n v="1"/>
    <x v="599"/>
    <n v="6819.15"/>
    <d v="2024-03-20T00:00:00"/>
    <x v="383"/>
  </r>
  <r>
    <x v="2"/>
    <s v="Electronics"/>
    <s v="HP"/>
    <s v="Standard"/>
    <s v="West"/>
    <x v="9"/>
    <n v="56323.99"/>
    <x v="6"/>
    <n v="42242.9925"/>
    <n v="2"/>
    <x v="600"/>
    <n v="21121.5"/>
    <d v="2025-07-29T00:00:00"/>
    <x v="130"/>
  </r>
  <r>
    <x v="9"/>
    <s v="Clothing"/>
    <s v="Zara"/>
    <s v="Premium"/>
    <s v="East"/>
    <x v="10"/>
    <n v="870.42"/>
    <x v="0"/>
    <n v="870.42"/>
    <n v="2"/>
    <x v="601"/>
    <n v="609.29"/>
    <d v="2024-09-20T00:00:00"/>
    <x v="384"/>
  </r>
  <r>
    <x v="12"/>
    <s v="Clothing"/>
    <s v="Max"/>
    <s v="Budget"/>
    <s v="North"/>
    <x v="2"/>
    <n v="1390.28"/>
    <x v="3"/>
    <n v="1251.252"/>
    <n v="4"/>
    <x v="602"/>
    <n v="750.75"/>
    <d v="2025-06-03T00:00:00"/>
    <x v="177"/>
  </r>
  <r>
    <x v="6"/>
    <s v="Footwear"/>
    <s v="Puma"/>
    <s v="Standard"/>
    <s v="West"/>
    <x v="9"/>
    <n v="3943.85"/>
    <x v="1"/>
    <n v="3155.08"/>
    <n v="2"/>
    <x v="603"/>
    <n v="1577.54"/>
    <d v="2024-06-24T00:00:00"/>
    <x v="385"/>
  </r>
  <r>
    <x v="11"/>
    <s v="Home Appliance"/>
    <s v="Godrej"/>
    <s v="Budget"/>
    <s v="South"/>
    <x v="0"/>
    <n v="6600.14"/>
    <x v="6"/>
    <n v="4950.1049999999996"/>
    <n v="3"/>
    <x v="604"/>
    <n v="2227.5500000000002"/>
    <d v="2025-03-09T00:00:00"/>
    <x v="171"/>
  </r>
  <r>
    <x v="6"/>
    <s v="Footwear"/>
    <s v="Bata"/>
    <s v="Budget"/>
    <s v="North"/>
    <x v="1"/>
    <n v="2964.63"/>
    <x v="0"/>
    <n v="2964.63"/>
    <n v="4"/>
    <x v="605"/>
    <n v="1778.78"/>
    <d v="2025-01-14T00:00:00"/>
    <x v="386"/>
  </r>
  <r>
    <x v="3"/>
    <s v="Electronics"/>
    <s v="Samsung"/>
    <s v="Premium"/>
    <s v="East"/>
    <x v="10"/>
    <n v="2351.89"/>
    <x v="6"/>
    <n v="1763.9175"/>
    <n v="1"/>
    <x v="606"/>
    <n v="617.37"/>
    <d v="2024-10-11T00:00:00"/>
    <x v="284"/>
  </r>
  <r>
    <x v="0"/>
    <s v="Footwear"/>
    <s v="Adidas"/>
    <s v="Premium"/>
    <s v="North"/>
    <x v="2"/>
    <n v="2963.75"/>
    <x v="0"/>
    <n v="2963.75"/>
    <n v="4"/>
    <x v="607"/>
    <n v="4149.25"/>
    <d v="2024-05-12T00:00:00"/>
    <x v="387"/>
  </r>
  <r>
    <x v="12"/>
    <s v="Clothing"/>
    <s v="Levis"/>
    <s v="Premium"/>
    <s v="South"/>
    <x v="5"/>
    <n v="1827.19"/>
    <x v="0"/>
    <n v="1827.19"/>
    <n v="5"/>
    <x v="608"/>
    <n v="3197.58"/>
    <d v="2024-03-13T00:00:00"/>
    <x v="388"/>
  </r>
  <r>
    <x v="2"/>
    <s v="Electronics"/>
    <s v="Xiaomi"/>
    <s v="Budget"/>
    <s v="West"/>
    <x v="7"/>
    <n v="46808.27"/>
    <x v="6"/>
    <n v="35106.202499999999"/>
    <n v="4"/>
    <x v="609"/>
    <n v="21063.72"/>
    <d v="2024-07-06T00:00:00"/>
    <x v="137"/>
  </r>
  <r>
    <x v="6"/>
    <s v="Footwear"/>
    <s v="Adidas"/>
    <s v="Premium"/>
    <s v="West"/>
    <x v="9"/>
    <n v="4407.78"/>
    <x v="1"/>
    <n v="3526.2240000000002"/>
    <n v="1"/>
    <x v="610"/>
    <n v="1234.18"/>
    <d v="2024-09-24T00:00:00"/>
    <x v="92"/>
  </r>
  <r>
    <x v="12"/>
    <s v="Clothing"/>
    <s v="Zara"/>
    <s v="Premium"/>
    <s v="North"/>
    <x v="1"/>
    <n v="1939.43"/>
    <x v="3"/>
    <n v="1745.4870000000001"/>
    <n v="4"/>
    <x v="611"/>
    <n v="2443.6799999999998"/>
    <d v="2024-04-24T00:00:00"/>
    <x v="163"/>
  </r>
  <r>
    <x v="6"/>
    <s v="Footwear"/>
    <s v="Puma"/>
    <s v="Standard"/>
    <s v="West"/>
    <x v="9"/>
    <n v="3956.73"/>
    <x v="6"/>
    <n v="2967.5475000000001"/>
    <n v="4"/>
    <x v="612"/>
    <n v="2967.55"/>
    <d v="2024-09-18T00:00:00"/>
    <x v="329"/>
  </r>
  <r>
    <x v="6"/>
    <s v="Footwear"/>
    <s v="Adidas"/>
    <s v="Premium"/>
    <s v="South"/>
    <x v="6"/>
    <n v="4066.28"/>
    <x v="0"/>
    <n v="4066.28"/>
    <n v="2"/>
    <x v="613"/>
    <n v="2846.4"/>
    <d v="2025-03-10T00:00:00"/>
    <x v="389"/>
  </r>
  <r>
    <x v="10"/>
    <s v="Furniture"/>
    <s v="Godrej Interio"/>
    <s v="Premium"/>
    <s v="West"/>
    <x v="7"/>
    <n v="46286.91"/>
    <x v="2"/>
    <n v="43972.5645"/>
    <n v="2"/>
    <x v="614"/>
    <n v="30780.799999999999"/>
    <d v="2024-02-28T00:00:00"/>
    <x v="368"/>
  </r>
  <r>
    <x v="12"/>
    <s v="Clothing"/>
    <s v="Nike"/>
    <s v="Premium"/>
    <s v="North"/>
    <x v="2"/>
    <n v="1912.84"/>
    <x v="6"/>
    <n v="1434.63"/>
    <n v="2"/>
    <x v="615"/>
    <n v="1004.24"/>
    <d v="2025-02-20T00:00:00"/>
    <x v="390"/>
  </r>
  <r>
    <x v="9"/>
    <s v="Clothing"/>
    <s v="H&amp;M"/>
    <s v="Standard"/>
    <s v="West"/>
    <x v="11"/>
    <n v="890.85"/>
    <x v="4"/>
    <n v="623.59500000000003"/>
    <n v="2"/>
    <x v="616"/>
    <n v="311.8"/>
    <d v="2024-08-26T00:00:00"/>
    <x v="317"/>
  </r>
  <r>
    <x v="3"/>
    <s v="Electronics"/>
    <s v="Apple"/>
    <s v="Premium"/>
    <s v="East"/>
    <x v="3"/>
    <n v="2198.81"/>
    <x v="5"/>
    <n v="1868.9884999999999"/>
    <n v="4"/>
    <x v="617"/>
    <n v="2616.58"/>
    <d v="2024-12-15T00:00:00"/>
    <x v="366"/>
  </r>
  <r>
    <x v="10"/>
    <s v="Furniture"/>
    <s v="Godrej Interio"/>
    <s v="Premium"/>
    <s v="North"/>
    <x v="4"/>
    <n v="43667.64"/>
    <x v="6"/>
    <n v="32750.73"/>
    <n v="3"/>
    <x v="618"/>
    <n v="34388.269999999997"/>
    <d v="2024-06-26T00:00:00"/>
    <x v="260"/>
  </r>
  <r>
    <x v="1"/>
    <s v="Furniture"/>
    <s v="HomeTown"/>
    <s v="Standard"/>
    <s v="West"/>
    <x v="9"/>
    <n v="8352.9699999999993"/>
    <x v="4"/>
    <n v="5847.0789999999988"/>
    <n v="4"/>
    <x v="619"/>
    <n v="5847.08"/>
    <d v="2024-09-08T00:00:00"/>
    <x v="138"/>
  </r>
  <r>
    <x v="14"/>
    <s v="Electronics"/>
    <s v="Apple"/>
    <s v="Premium"/>
    <s v="East"/>
    <x v="3"/>
    <n v="17090.89"/>
    <x v="3"/>
    <n v="15381.800999999999"/>
    <n v="5"/>
    <x v="620"/>
    <n v="26918.15"/>
    <d v="2024-06-30T00:00:00"/>
    <x v="260"/>
  </r>
  <r>
    <x v="3"/>
    <s v="Electronics"/>
    <s v="Samsung"/>
    <s v="Premium"/>
    <s v="North"/>
    <x v="2"/>
    <n v="2576.35"/>
    <x v="4"/>
    <n v="1803.4449999999999"/>
    <n v="1"/>
    <x v="621"/>
    <n v="631.20000000000005"/>
    <d v="2024-10-20T00:00:00"/>
    <x v="204"/>
  </r>
  <r>
    <x v="2"/>
    <s v="Electronics"/>
    <s v="Realme"/>
    <s v="Budget"/>
    <s v="East"/>
    <x v="8"/>
    <n v="40148.639999999999"/>
    <x v="5"/>
    <n v="34126.343999999997"/>
    <n v="1"/>
    <x v="622"/>
    <n v="5118.95"/>
    <d v="2024-06-20T00:00:00"/>
    <x v="391"/>
  </r>
  <r>
    <x v="12"/>
    <s v="Clothing"/>
    <s v="H&amp;M"/>
    <s v="Standard"/>
    <s v="South"/>
    <x v="6"/>
    <n v="1482.32"/>
    <x v="5"/>
    <n v="1259.972"/>
    <n v="2"/>
    <x v="623"/>
    <n v="629.99"/>
    <d v="2025-03-11T00:00:00"/>
    <x v="109"/>
  </r>
  <r>
    <x v="10"/>
    <s v="Furniture"/>
    <s v="Nilkamal"/>
    <s v="Budget"/>
    <s v="East"/>
    <x v="3"/>
    <n v="28486.77"/>
    <x v="0"/>
    <n v="28486.77"/>
    <n v="4"/>
    <x v="624"/>
    <n v="17092.060000000001"/>
    <d v="2025-01-20T00:00:00"/>
    <x v="392"/>
  </r>
  <r>
    <x v="8"/>
    <s v="Furniture"/>
    <s v="HomeTown"/>
    <s v="Standard"/>
    <s v="North"/>
    <x v="1"/>
    <n v="25404.54"/>
    <x v="2"/>
    <n v="24134.312999999998"/>
    <n v="5"/>
    <x v="625"/>
    <n v="30167.89"/>
    <d v="2024-11-30T00:00:00"/>
    <x v="39"/>
  </r>
  <r>
    <x v="5"/>
    <s v="Clothing"/>
    <s v="Levis"/>
    <s v="Premium"/>
    <s v="East"/>
    <x v="3"/>
    <n v="3358.94"/>
    <x v="1"/>
    <n v="2687.152"/>
    <n v="2"/>
    <x v="626"/>
    <n v="1881"/>
    <d v="2024-04-15T00:00:00"/>
    <x v="360"/>
  </r>
  <r>
    <x v="4"/>
    <s v="Furniture"/>
    <s v="Godrej Interio"/>
    <s v="Premium"/>
    <s v="West"/>
    <x v="9"/>
    <n v="38457.35"/>
    <x v="2"/>
    <n v="36534.482499999998"/>
    <n v="1"/>
    <x v="627"/>
    <n v="12787.07"/>
    <d v="2025-05-10T00:00:00"/>
    <x v="62"/>
  </r>
  <r>
    <x v="13"/>
    <s v="Home Appliance"/>
    <s v="Whirlpool"/>
    <s v="Standard"/>
    <s v="East"/>
    <x v="10"/>
    <n v="16674.41"/>
    <x v="3"/>
    <n v="15006.968999999999"/>
    <n v="1"/>
    <x v="628"/>
    <n v="3751.74"/>
    <d v="2025-07-21T00:00:00"/>
    <x v="84"/>
  </r>
  <r>
    <x v="7"/>
    <s v="Home Appliance"/>
    <s v="LG"/>
    <s v="Premium"/>
    <s v="West"/>
    <x v="9"/>
    <n v="33201.39"/>
    <x v="0"/>
    <n v="33201.39"/>
    <n v="2"/>
    <x v="629"/>
    <n v="23240.97"/>
    <d v="2024-02-10T00:00:00"/>
    <x v="393"/>
  </r>
  <r>
    <x v="14"/>
    <s v="Electronics"/>
    <s v="Xiaomi"/>
    <s v="Budget"/>
    <s v="West"/>
    <x v="7"/>
    <n v="14230.83"/>
    <x v="4"/>
    <n v="9961.5810000000001"/>
    <n v="5"/>
    <x v="630"/>
    <n v="7471.18"/>
    <d v="2025-03-19T00:00:00"/>
    <x v="394"/>
  </r>
  <r>
    <x v="0"/>
    <s v="Footwear"/>
    <s v="Bata"/>
    <s v="Budget"/>
    <s v="North"/>
    <x v="1"/>
    <n v="2141.73"/>
    <x v="2"/>
    <n v="2034.6434999999999"/>
    <n v="5"/>
    <x v="631"/>
    <n v="1525.98"/>
    <d v="2024-10-28T00:00:00"/>
    <x v="153"/>
  </r>
  <r>
    <x v="5"/>
    <s v="Clothing"/>
    <s v="H&amp;M"/>
    <s v="Standard"/>
    <s v="North"/>
    <x v="1"/>
    <n v="3274.49"/>
    <x v="5"/>
    <n v="2783.3164999999999"/>
    <n v="2"/>
    <x v="632"/>
    <n v="1391.66"/>
    <d v="2024-01-07T00:00:00"/>
    <x v="327"/>
  </r>
  <r>
    <x v="13"/>
    <s v="Home Appliance"/>
    <s v="Whirlpool"/>
    <s v="Standard"/>
    <s v="North"/>
    <x v="1"/>
    <n v="17923.62"/>
    <x v="0"/>
    <n v="17923.62"/>
    <n v="5"/>
    <x v="633"/>
    <n v="22404.53"/>
    <d v="2024-07-11T00:00:00"/>
    <x v="300"/>
  </r>
  <r>
    <x v="14"/>
    <s v="Electronics"/>
    <s v="Realme"/>
    <s v="Budget"/>
    <s v="North"/>
    <x v="2"/>
    <n v="12893.77"/>
    <x v="4"/>
    <n v="9025.6389999999992"/>
    <n v="1"/>
    <x v="634"/>
    <n v="1353.85"/>
    <d v="2025-03-09T00:00:00"/>
    <x v="389"/>
  </r>
  <r>
    <x v="8"/>
    <s v="Furniture"/>
    <s v="Nilkamal"/>
    <s v="Budget"/>
    <s v="West"/>
    <x v="9"/>
    <n v="21923.39"/>
    <x v="1"/>
    <n v="17538.712"/>
    <n v="3"/>
    <x v="635"/>
    <n v="7892.42"/>
    <d v="2024-12-31T00:00:00"/>
    <x v="395"/>
  </r>
  <r>
    <x v="5"/>
    <s v="Clothing"/>
    <s v="Nike"/>
    <s v="Premium"/>
    <s v="North"/>
    <x v="4"/>
    <n v="3826.68"/>
    <x v="6"/>
    <n v="2870.01"/>
    <n v="1"/>
    <x v="636"/>
    <n v="1004.5"/>
    <d v="2024-11-23T00:00:00"/>
    <x v="396"/>
  </r>
  <r>
    <x v="10"/>
    <s v="Furniture"/>
    <s v="Godrej Interio"/>
    <s v="Premium"/>
    <s v="South"/>
    <x v="6"/>
    <n v="42744.52"/>
    <x v="0"/>
    <n v="42744.52"/>
    <n v="5"/>
    <x v="637"/>
    <n v="74802.91"/>
    <d v="2025-03-13T00:00:00"/>
    <x v="397"/>
  </r>
  <r>
    <x v="14"/>
    <s v="Electronics"/>
    <s v="Xiaomi"/>
    <s v="Budget"/>
    <s v="South"/>
    <x v="0"/>
    <n v="12624.98"/>
    <x v="3"/>
    <n v="11362.482"/>
    <n v="5"/>
    <x v="638"/>
    <n v="8521.86"/>
    <d v="2025-04-14T00:00:00"/>
    <x v="398"/>
  </r>
  <r>
    <x v="7"/>
    <s v="Home Appliance"/>
    <s v="Samsung"/>
    <s v="Premium"/>
    <s v="South"/>
    <x v="5"/>
    <n v="30279.69"/>
    <x v="1"/>
    <n v="24223.752"/>
    <n v="2"/>
    <x v="639"/>
    <n v="16956.62"/>
    <d v="2024-06-19T00:00:00"/>
    <x v="399"/>
  </r>
  <r>
    <x v="6"/>
    <s v="Footwear"/>
    <s v="Adidas"/>
    <s v="Premium"/>
    <s v="North"/>
    <x v="2"/>
    <n v="4231.91"/>
    <x v="1"/>
    <n v="3385.5279999999998"/>
    <n v="5"/>
    <x v="640"/>
    <n v="5924.67"/>
    <d v="2025-06-10T00:00:00"/>
    <x v="239"/>
  </r>
  <r>
    <x v="12"/>
    <s v="Clothing"/>
    <s v="Zara"/>
    <s v="Premium"/>
    <s v="East"/>
    <x v="10"/>
    <n v="1659.99"/>
    <x v="2"/>
    <n v="1576.9905000000001"/>
    <n v="2"/>
    <x v="641"/>
    <n v="1103.8900000000001"/>
    <d v="2024-05-01T00:00:00"/>
    <x v="400"/>
  </r>
  <r>
    <x v="5"/>
    <s v="Clothing"/>
    <s v="Levis"/>
    <s v="Premium"/>
    <s v="West"/>
    <x v="11"/>
    <n v="3709.9"/>
    <x v="3"/>
    <n v="3338.91"/>
    <n v="2"/>
    <x v="642"/>
    <n v="2337.2399999999998"/>
    <d v="2024-08-17T00:00:00"/>
    <x v="196"/>
  </r>
  <r>
    <x v="11"/>
    <s v="Home Appliance"/>
    <s v="Samsung"/>
    <s v="Premium"/>
    <s v="West"/>
    <x v="7"/>
    <n v="10798"/>
    <x v="1"/>
    <n v="8638.4"/>
    <n v="2"/>
    <x v="643"/>
    <n v="6046.88"/>
    <d v="2024-06-03T00:00:00"/>
    <x v="401"/>
  </r>
  <r>
    <x v="13"/>
    <s v="Home Appliance"/>
    <s v="Whirlpool"/>
    <s v="Standard"/>
    <s v="East"/>
    <x v="10"/>
    <n v="16581.64"/>
    <x v="0"/>
    <n v="16581.64"/>
    <n v="2"/>
    <x v="644"/>
    <n v="8290.82"/>
    <d v="2025-05-16T00:00:00"/>
    <x v="110"/>
  </r>
  <r>
    <x v="4"/>
    <s v="Furniture"/>
    <s v="Nilkamal"/>
    <s v="Budget"/>
    <s v="North"/>
    <x v="1"/>
    <n v="25732.240000000002"/>
    <x v="1"/>
    <n v="20585.792000000001"/>
    <n v="3"/>
    <x v="645"/>
    <n v="9263.61"/>
    <d v="2024-10-21T00:00:00"/>
    <x v="166"/>
  </r>
  <r>
    <x v="4"/>
    <s v="Furniture"/>
    <s v="Godrej Interio"/>
    <s v="Premium"/>
    <s v="South"/>
    <x v="6"/>
    <n v="33718.18"/>
    <x v="5"/>
    <n v="28660.453000000001"/>
    <n v="3"/>
    <x v="646"/>
    <n v="30093.48"/>
    <d v="2024-08-29T00:00:00"/>
    <x v="315"/>
  </r>
  <r>
    <x v="8"/>
    <s v="Furniture"/>
    <s v="Nilkamal"/>
    <s v="Budget"/>
    <s v="South"/>
    <x v="6"/>
    <n v="20277.25"/>
    <x v="4"/>
    <n v="14194.075000000001"/>
    <n v="1"/>
    <x v="647"/>
    <n v="2129.11"/>
    <d v="2024-07-10T00:00:00"/>
    <x v="221"/>
  </r>
  <r>
    <x v="14"/>
    <s v="Electronics"/>
    <s v="Samsung"/>
    <s v="Premium"/>
    <s v="West"/>
    <x v="11"/>
    <n v="19766.05"/>
    <x v="0"/>
    <n v="19766.05"/>
    <n v="1"/>
    <x v="648"/>
    <n v="6918.12"/>
    <d v="2024-05-19T00:00:00"/>
    <x v="402"/>
  </r>
  <r>
    <x v="12"/>
    <s v="Clothing"/>
    <s v="Levis"/>
    <s v="Premium"/>
    <s v="South"/>
    <x v="6"/>
    <n v="1831.6"/>
    <x v="2"/>
    <n v="1740.02"/>
    <n v="1"/>
    <x v="649"/>
    <n v="609.01"/>
    <d v="2025-02-25T00:00:00"/>
    <x v="247"/>
  </r>
  <r>
    <x v="1"/>
    <s v="Furniture"/>
    <s v="Godrej Interio"/>
    <s v="Premium"/>
    <s v="North"/>
    <x v="4"/>
    <n v="10256.59"/>
    <x v="1"/>
    <n v="8205.2720000000008"/>
    <n v="1"/>
    <x v="650"/>
    <n v="2871.84"/>
    <d v="2024-11-11T00:00:00"/>
    <x v="403"/>
  </r>
  <r>
    <x v="6"/>
    <s v="Footwear"/>
    <s v="Bata"/>
    <s v="Budget"/>
    <s v="North"/>
    <x v="4"/>
    <n v="3024.07"/>
    <x v="2"/>
    <n v="2872.8665000000001"/>
    <n v="2"/>
    <x v="651"/>
    <n v="861.86"/>
    <d v="2024-06-14T00:00:00"/>
    <x v="404"/>
  </r>
  <r>
    <x v="11"/>
    <s v="Home Appliance"/>
    <s v="Godrej"/>
    <s v="Budget"/>
    <s v="West"/>
    <x v="7"/>
    <n v="7268.7"/>
    <x v="1"/>
    <n v="5814.96"/>
    <n v="1"/>
    <x v="652"/>
    <n v="872.24"/>
    <d v="2024-02-10T00:00:00"/>
    <x v="264"/>
  </r>
  <r>
    <x v="10"/>
    <s v="Furniture"/>
    <s v="HomeTown"/>
    <s v="Standard"/>
    <s v="South"/>
    <x v="5"/>
    <n v="34279.96"/>
    <x v="1"/>
    <n v="27423.968000000001"/>
    <n v="3"/>
    <x v="653"/>
    <n v="20567.97"/>
    <d v="2025-02-28T00:00:00"/>
    <x v="220"/>
  </r>
  <r>
    <x v="1"/>
    <s v="Furniture"/>
    <s v="Nilkamal"/>
    <s v="Budget"/>
    <s v="South"/>
    <x v="5"/>
    <n v="6988.32"/>
    <x v="2"/>
    <n v="6638.9040000000005"/>
    <n v="5"/>
    <x v="654"/>
    <n v="4979.18"/>
    <d v="2025-06-03T00:00:00"/>
    <x v="405"/>
  </r>
  <r>
    <x v="3"/>
    <s v="Electronics"/>
    <s v="Samsung"/>
    <s v="Premium"/>
    <s v="North"/>
    <x v="2"/>
    <n v="2460.91"/>
    <x v="3"/>
    <n v="2214.819"/>
    <n v="1"/>
    <x v="655"/>
    <n v="775.19"/>
    <d v="2025-01-17T00:00:00"/>
    <x v="406"/>
  </r>
  <r>
    <x v="12"/>
    <s v="Clothing"/>
    <s v="Nike"/>
    <s v="Premium"/>
    <s v="East"/>
    <x v="10"/>
    <n v="1772.54"/>
    <x v="1"/>
    <n v="1418.0319999999999"/>
    <n v="4"/>
    <x v="656"/>
    <n v="1985.25"/>
    <d v="2024-08-19T00:00:00"/>
    <x v="24"/>
  </r>
  <r>
    <x v="12"/>
    <s v="Clothing"/>
    <s v="Nike"/>
    <s v="Premium"/>
    <s v="North"/>
    <x v="4"/>
    <n v="1875.01"/>
    <x v="4"/>
    <n v="1312.5070000000001"/>
    <n v="1"/>
    <x v="657"/>
    <n v="459.38"/>
    <d v="2024-12-19T00:00:00"/>
    <x v="359"/>
  </r>
  <r>
    <x v="13"/>
    <s v="Home Appliance"/>
    <s v="Whirlpool"/>
    <s v="Standard"/>
    <s v="East"/>
    <x v="3"/>
    <n v="17168.05"/>
    <x v="2"/>
    <n v="16309.647499999999"/>
    <n v="3"/>
    <x v="658"/>
    <n v="12232.24"/>
    <d v="2025-01-27T00:00:00"/>
    <x v="113"/>
  </r>
  <r>
    <x v="7"/>
    <s v="Home Appliance"/>
    <s v="Godrej"/>
    <s v="Budget"/>
    <s v="South"/>
    <x v="5"/>
    <n v="21549.52"/>
    <x v="4"/>
    <n v="15084.664000000001"/>
    <n v="2"/>
    <x v="659"/>
    <n v="4525.3999999999996"/>
    <d v="2024-06-11T00:00:00"/>
    <x v="70"/>
  </r>
  <r>
    <x v="13"/>
    <s v="Home Appliance"/>
    <s v="Whirlpool"/>
    <s v="Standard"/>
    <s v="South"/>
    <x v="6"/>
    <n v="17104.27"/>
    <x v="1"/>
    <n v="13683.415999999999"/>
    <n v="4"/>
    <x v="660"/>
    <n v="13683.42"/>
    <d v="2025-07-09T00:00:00"/>
    <x v="407"/>
  </r>
  <r>
    <x v="11"/>
    <s v="Home Appliance"/>
    <s v="Samsung"/>
    <s v="Premium"/>
    <s v="East"/>
    <x v="8"/>
    <n v="8720.5400000000009"/>
    <x v="6"/>
    <n v="6540.4050000000007"/>
    <n v="3"/>
    <x v="661"/>
    <n v="6867.43"/>
    <d v="2025-01-04T00:00:00"/>
    <x v="408"/>
  </r>
  <r>
    <x v="14"/>
    <s v="Electronics"/>
    <s v="Samsung"/>
    <s v="Premium"/>
    <s v="South"/>
    <x v="6"/>
    <n v="16989.16"/>
    <x v="4"/>
    <n v="11892.412"/>
    <n v="3"/>
    <x v="662"/>
    <n v="12487.03"/>
    <d v="2024-01-23T00:00:00"/>
    <x v="148"/>
  </r>
  <r>
    <x v="5"/>
    <s v="Clothing"/>
    <s v="Levis"/>
    <s v="Premium"/>
    <s v="North"/>
    <x v="4"/>
    <n v="3826.4"/>
    <x v="0"/>
    <n v="3826.4"/>
    <n v="1"/>
    <x v="663"/>
    <n v="1339.24"/>
    <d v="2025-05-16T00:00:00"/>
    <x v="110"/>
  </r>
  <r>
    <x v="6"/>
    <s v="Footwear"/>
    <s v="Puma"/>
    <s v="Standard"/>
    <s v="South"/>
    <x v="5"/>
    <n v="3306.26"/>
    <x v="0"/>
    <n v="3306.26"/>
    <n v="5"/>
    <x v="664"/>
    <n v="4132.82"/>
    <d v="2025-06-25T00:00:00"/>
    <x v="117"/>
  </r>
  <r>
    <x v="9"/>
    <s v="Clothing"/>
    <s v="Zara"/>
    <s v="Premium"/>
    <s v="East"/>
    <x v="8"/>
    <n v="879.44"/>
    <x v="0"/>
    <n v="879.44"/>
    <n v="3"/>
    <x v="665"/>
    <n v="923.41"/>
    <d v="2024-05-08T00:00:00"/>
    <x v="71"/>
  </r>
  <r>
    <x v="1"/>
    <s v="Furniture"/>
    <s v="Godrej Interio"/>
    <s v="Premium"/>
    <s v="West"/>
    <x v="11"/>
    <n v="10536.13"/>
    <x v="4"/>
    <n v="7375.2909999999993"/>
    <n v="5"/>
    <x v="666"/>
    <n v="12906.76"/>
    <d v="2024-02-28T00:00:00"/>
    <x v="48"/>
  </r>
  <r>
    <x v="5"/>
    <s v="Clothing"/>
    <s v="Roadster"/>
    <s v="Budget"/>
    <s v="South"/>
    <x v="6"/>
    <n v="2575.9499999999998"/>
    <x v="2"/>
    <n v="2447.1525000000001"/>
    <n v="5"/>
    <x v="667"/>
    <n v="1835.36"/>
    <d v="2024-01-11T00:00:00"/>
    <x v="409"/>
  </r>
  <r>
    <x v="3"/>
    <s v="Electronics"/>
    <s v="Samsung"/>
    <s v="Premium"/>
    <s v="East"/>
    <x v="10"/>
    <n v="2276"/>
    <x v="1"/>
    <n v="1820.8"/>
    <n v="5"/>
    <x v="668"/>
    <n v="3186.4"/>
    <d v="2024-12-06T00:00:00"/>
    <x v="111"/>
  </r>
  <r>
    <x v="2"/>
    <s v="Electronics"/>
    <s v="Apple"/>
    <s v="Premium"/>
    <s v="North"/>
    <x v="4"/>
    <n v="63264.76"/>
    <x v="0"/>
    <n v="63264.76"/>
    <n v="4"/>
    <x v="669"/>
    <n v="88570.66"/>
    <d v="2025-05-13T00:00:00"/>
    <x v="410"/>
  </r>
  <r>
    <x v="6"/>
    <s v="Footwear"/>
    <s v="Puma"/>
    <s v="Standard"/>
    <s v="North"/>
    <x v="4"/>
    <n v="3807.07"/>
    <x v="4"/>
    <n v="2664.9490000000001"/>
    <n v="4"/>
    <x v="670"/>
    <n v="2664.95"/>
    <d v="2025-01-06T00:00:00"/>
    <x v="228"/>
  </r>
  <r>
    <x v="14"/>
    <s v="Electronics"/>
    <s v="Apple"/>
    <s v="Premium"/>
    <s v="North"/>
    <x v="1"/>
    <n v="19265.060000000001"/>
    <x v="4"/>
    <n v="13485.541999999999"/>
    <n v="3"/>
    <x v="671"/>
    <n v="14159.82"/>
    <d v="2024-12-13T00:00:00"/>
    <x v="366"/>
  </r>
  <r>
    <x v="12"/>
    <s v="Clothing"/>
    <s v="Nike"/>
    <s v="Premium"/>
    <s v="West"/>
    <x v="7"/>
    <n v="2000.83"/>
    <x v="3"/>
    <n v="1800.7470000000001"/>
    <n v="5"/>
    <x v="672"/>
    <n v="3151.31"/>
    <d v="2024-09-28T00:00:00"/>
    <x v="411"/>
  </r>
  <r>
    <x v="2"/>
    <s v="Electronics"/>
    <s v="Apple"/>
    <s v="Premium"/>
    <s v="North"/>
    <x v="1"/>
    <n v="62414.02"/>
    <x v="1"/>
    <n v="49931.216"/>
    <n v="3"/>
    <x v="673"/>
    <n v="52427.78"/>
    <d v="2024-11-01T00:00:00"/>
    <x v="153"/>
  </r>
  <r>
    <x v="10"/>
    <s v="Furniture"/>
    <s v="Ikea"/>
    <s v="Premium"/>
    <s v="West"/>
    <x v="9"/>
    <n v="45996.82"/>
    <x v="0"/>
    <n v="45996.82"/>
    <n v="5"/>
    <x v="674"/>
    <n v="80494.429999999993"/>
    <d v="2024-11-18T00:00:00"/>
    <x v="412"/>
  </r>
  <r>
    <x v="0"/>
    <s v="Footwear"/>
    <s v="Bata"/>
    <s v="Budget"/>
    <s v="West"/>
    <x v="7"/>
    <n v="2340.79"/>
    <x v="3"/>
    <n v="2106.7109999999998"/>
    <n v="1"/>
    <x v="675"/>
    <n v="316.01"/>
    <d v="2025-01-20T00:00:00"/>
    <x v="413"/>
  </r>
  <r>
    <x v="3"/>
    <s v="Electronics"/>
    <s v="Dell"/>
    <s v="Standard"/>
    <s v="West"/>
    <x v="11"/>
    <n v="2158.9899999999998"/>
    <x v="2"/>
    <n v="2051.0405000000001"/>
    <n v="3"/>
    <x v="676"/>
    <n v="1538.28"/>
    <d v="2024-12-16T00:00:00"/>
    <x v="356"/>
  </r>
  <r>
    <x v="9"/>
    <s v="Clothing"/>
    <s v="Max"/>
    <s v="Budget"/>
    <s v="North"/>
    <x v="1"/>
    <n v="718.64"/>
    <x v="0"/>
    <n v="718.64"/>
    <n v="4"/>
    <x v="677"/>
    <n v="431.18"/>
    <d v="2024-11-21T00:00:00"/>
    <x v="414"/>
  </r>
  <r>
    <x v="13"/>
    <s v="Home Appliance"/>
    <s v="Samsung"/>
    <s v="Premium"/>
    <s v="North"/>
    <x v="2"/>
    <n v="21590.03"/>
    <x v="5"/>
    <n v="18351.5255"/>
    <n v="4"/>
    <x v="678"/>
    <n v="25692.14"/>
    <d v="2025-06-04T00:00:00"/>
    <x v="200"/>
  </r>
  <r>
    <x v="6"/>
    <s v="Footwear"/>
    <s v="Bata"/>
    <s v="Budget"/>
    <s v="South"/>
    <x v="5"/>
    <n v="2834.68"/>
    <x v="5"/>
    <n v="2409.4780000000001"/>
    <n v="5"/>
    <x v="679"/>
    <n v="1807.11"/>
    <d v="2024-01-21T00:00:00"/>
    <x v="250"/>
  </r>
  <r>
    <x v="10"/>
    <s v="Furniture"/>
    <s v="HomeTown"/>
    <s v="Standard"/>
    <s v="North"/>
    <x v="2"/>
    <n v="36198.18"/>
    <x v="6"/>
    <n v="27148.634999999998"/>
    <n v="5"/>
    <x v="680"/>
    <n v="33935.79"/>
    <d v="2024-09-11T00:00:00"/>
    <x v="138"/>
  </r>
  <r>
    <x v="14"/>
    <s v="Electronics"/>
    <s v="Realme"/>
    <s v="Budget"/>
    <s v="East"/>
    <x v="10"/>
    <n v="12431.49"/>
    <x v="2"/>
    <n v="11809.915499999999"/>
    <n v="1"/>
    <x v="681"/>
    <n v="1771.49"/>
    <d v="2024-05-08T00:00:00"/>
    <x v="415"/>
  </r>
  <r>
    <x v="13"/>
    <s v="Home Appliance"/>
    <s v="Samsung"/>
    <s v="Premium"/>
    <s v="North"/>
    <x v="4"/>
    <n v="23367.54"/>
    <x v="6"/>
    <n v="17525.654999999999"/>
    <n v="2"/>
    <x v="682"/>
    <n v="12267.96"/>
    <d v="2024-06-25T00:00:00"/>
    <x v="416"/>
  </r>
  <r>
    <x v="12"/>
    <s v="Clothing"/>
    <s v="H&amp;M"/>
    <s v="Standard"/>
    <s v="South"/>
    <x v="5"/>
    <n v="1498.45"/>
    <x v="5"/>
    <n v="1273.6824999999999"/>
    <n v="2"/>
    <x v="683"/>
    <n v="636.84"/>
    <d v="2024-08-16T00:00:00"/>
    <x v="66"/>
  </r>
  <r>
    <x v="2"/>
    <s v="Electronics"/>
    <s v="Apple"/>
    <s v="Premium"/>
    <s v="South"/>
    <x v="6"/>
    <n v="58318.57"/>
    <x v="0"/>
    <n v="58318.57"/>
    <n v="5"/>
    <x v="684"/>
    <n v="102057.5"/>
    <d v="2024-10-04T00:00:00"/>
    <x v="284"/>
  </r>
  <r>
    <x v="6"/>
    <s v="Footwear"/>
    <s v="Puma"/>
    <s v="Standard"/>
    <s v="East"/>
    <x v="8"/>
    <n v="3172.92"/>
    <x v="1"/>
    <n v="2538.3359999999998"/>
    <n v="2"/>
    <x v="685"/>
    <n v="1269.17"/>
    <d v="2025-04-24T00:00:00"/>
    <x v="417"/>
  </r>
  <r>
    <x v="11"/>
    <s v="Home Appliance"/>
    <s v="Samsung"/>
    <s v="Premium"/>
    <s v="East"/>
    <x v="3"/>
    <n v="9305.23"/>
    <x v="3"/>
    <n v="8374.7070000000003"/>
    <n v="4"/>
    <x v="686"/>
    <n v="11724.59"/>
    <d v="2024-02-13T00:00:00"/>
    <x v="346"/>
  </r>
  <r>
    <x v="6"/>
    <s v="Footwear"/>
    <s v="Puma"/>
    <s v="Standard"/>
    <s v="East"/>
    <x v="3"/>
    <n v="3319.23"/>
    <x v="5"/>
    <n v="2821.3454999999999"/>
    <n v="3"/>
    <x v="687"/>
    <n v="2116.0100000000002"/>
    <d v="2024-08-19T00:00:00"/>
    <x v="377"/>
  </r>
  <r>
    <x v="2"/>
    <s v="Electronics"/>
    <s v="Dell"/>
    <s v="Standard"/>
    <s v="South"/>
    <x v="5"/>
    <n v="48287.32"/>
    <x v="6"/>
    <n v="36215.49"/>
    <n v="4"/>
    <x v="688"/>
    <n v="36215.49"/>
    <d v="2024-02-15T00:00:00"/>
    <x v="418"/>
  </r>
  <r>
    <x v="5"/>
    <s v="Clothing"/>
    <s v="H&amp;M"/>
    <s v="Standard"/>
    <s v="East"/>
    <x v="3"/>
    <n v="2990.52"/>
    <x v="3"/>
    <n v="2691.4679999999998"/>
    <n v="5"/>
    <x v="689"/>
    <n v="3364.34"/>
    <d v="2024-11-19T00:00:00"/>
    <x v="287"/>
  </r>
  <r>
    <x v="10"/>
    <s v="Furniture"/>
    <s v="Nilkamal"/>
    <s v="Budget"/>
    <s v="West"/>
    <x v="11"/>
    <n v="31028.54"/>
    <x v="6"/>
    <n v="23271.404999999999"/>
    <n v="3"/>
    <x v="690"/>
    <n v="10472.129999999999"/>
    <d v="2024-03-06T00:00:00"/>
    <x v="245"/>
  </r>
  <r>
    <x v="12"/>
    <s v="Clothing"/>
    <s v="Nike"/>
    <s v="Premium"/>
    <s v="North"/>
    <x v="4"/>
    <n v="1872.02"/>
    <x v="2"/>
    <n v="1778.4190000000001"/>
    <n v="1"/>
    <x v="691"/>
    <n v="622.45000000000005"/>
    <d v="2024-10-20T00:00:00"/>
    <x v="318"/>
  </r>
  <r>
    <x v="14"/>
    <s v="Electronics"/>
    <s v="Dell"/>
    <s v="Standard"/>
    <s v="East"/>
    <x v="8"/>
    <n v="13954.31"/>
    <x v="0"/>
    <n v="13954.31"/>
    <n v="3"/>
    <x v="692"/>
    <n v="10465.73"/>
    <d v="2024-12-13T00:00:00"/>
    <x v="267"/>
  </r>
  <r>
    <x v="8"/>
    <s v="Furniture"/>
    <s v="Ikea"/>
    <s v="Premium"/>
    <s v="East"/>
    <x v="10"/>
    <n v="29530.27"/>
    <x v="3"/>
    <n v="26577.242999999999"/>
    <n v="5"/>
    <x v="693"/>
    <n v="46510.18"/>
    <d v="2025-05-05T00:00:00"/>
    <x v="419"/>
  </r>
  <r>
    <x v="6"/>
    <s v="Footwear"/>
    <s v="Adidas"/>
    <s v="Premium"/>
    <s v="West"/>
    <x v="11"/>
    <n v="4429.3599999999997"/>
    <x v="2"/>
    <n v="4207.8919999999998"/>
    <n v="4"/>
    <x v="694"/>
    <n v="5891.05"/>
    <d v="2025-05-26T00:00:00"/>
    <x v="68"/>
  </r>
  <r>
    <x v="0"/>
    <s v="Footwear"/>
    <s v="Adidas"/>
    <s v="Premium"/>
    <s v="West"/>
    <x v="7"/>
    <n v="3156.14"/>
    <x v="5"/>
    <n v="2682.7190000000001"/>
    <n v="3"/>
    <x v="695"/>
    <n v="2816.86"/>
    <d v="2024-09-10T00:00:00"/>
    <x v="126"/>
  </r>
  <r>
    <x v="10"/>
    <s v="Furniture"/>
    <s v="Godrej Interio"/>
    <s v="Premium"/>
    <s v="West"/>
    <x v="9"/>
    <n v="46618.66"/>
    <x v="1"/>
    <n v="37294.928000000007"/>
    <n v="2"/>
    <x v="696"/>
    <n v="26106.45"/>
    <d v="2024-01-07T00:00:00"/>
    <x v="306"/>
  </r>
  <r>
    <x v="0"/>
    <s v="Footwear"/>
    <s v="Bata"/>
    <s v="Budget"/>
    <s v="East"/>
    <x v="3"/>
    <n v="2090.37"/>
    <x v="2"/>
    <n v="1985.8515"/>
    <n v="4"/>
    <x v="697"/>
    <n v="1191.51"/>
    <d v="2024-06-21T00:00:00"/>
    <x v="420"/>
  </r>
  <r>
    <x v="9"/>
    <s v="Clothing"/>
    <s v="Nike"/>
    <s v="Premium"/>
    <s v="South"/>
    <x v="5"/>
    <n v="943.53"/>
    <x v="2"/>
    <n v="896.35349999999994"/>
    <n v="2"/>
    <x v="698"/>
    <n v="627.45000000000005"/>
    <d v="2025-02-13T00:00:00"/>
    <x v="390"/>
  </r>
  <r>
    <x v="11"/>
    <s v="Home Appliance"/>
    <s v="Whirlpool"/>
    <s v="Standard"/>
    <s v="South"/>
    <x v="6"/>
    <n v="8018.33"/>
    <x v="2"/>
    <n v="7617.4134999999997"/>
    <n v="1"/>
    <x v="699"/>
    <n v="1904.35"/>
    <d v="2024-02-05T00:00:00"/>
    <x v="38"/>
  </r>
  <r>
    <x v="13"/>
    <s v="Home Appliance"/>
    <s v="Whirlpool"/>
    <s v="Standard"/>
    <s v="East"/>
    <x v="10"/>
    <n v="17022.14"/>
    <x v="6"/>
    <n v="12766.605"/>
    <n v="2"/>
    <x v="700"/>
    <n v="6383.3"/>
    <d v="2024-02-14T00:00:00"/>
    <x v="421"/>
  </r>
  <r>
    <x v="4"/>
    <s v="Furniture"/>
    <s v="Nilkamal"/>
    <s v="Budget"/>
    <s v="North"/>
    <x v="2"/>
    <n v="27370.98"/>
    <x v="2"/>
    <n v="26002.431"/>
    <n v="3"/>
    <x v="701"/>
    <n v="11701.09"/>
    <d v="2024-12-14T00:00:00"/>
    <x v="366"/>
  </r>
  <r>
    <x v="8"/>
    <s v="Furniture"/>
    <s v="Nilkamal"/>
    <s v="Budget"/>
    <s v="West"/>
    <x v="7"/>
    <n v="23069.06"/>
    <x v="2"/>
    <n v="21915.607"/>
    <n v="4"/>
    <x v="702"/>
    <n v="13149.36"/>
    <d v="2024-11-28T00:00:00"/>
    <x v="422"/>
  </r>
  <r>
    <x v="3"/>
    <s v="Electronics"/>
    <s v="Dell"/>
    <s v="Standard"/>
    <s v="North"/>
    <x v="4"/>
    <n v="2006.33"/>
    <x v="4"/>
    <n v="1404.431"/>
    <n v="2"/>
    <x v="703"/>
    <n v="702.22"/>
    <d v="2025-05-08T00:00:00"/>
    <x v="410"/>
  </r>
  <r>
    <x v="7"/>
    <s v="Home Appliance"/>
    <s v="LG"/>
    <s v="Premium"/>
    <s v="South"/>
    <x v="6"/>
    <n v="28839.599999999999"/>
    <x v="1"/>
    <n v="23071.68"/>
    <n v="5"/>
    <x v="704"/>
    <n v="40375.440000000002"/>
    <d v="2024-06-30T00:00:00"/>
    <x v="25"/>
  </r>
  <r>
    <x v="4"/>
    <s v="Furniture"/>
    <s v="Nilkamal"/>
    <s v="Budget"/>
    <s v="South"/>
    <x v="6"/>
    <n v="24141.19"/>
    <x v="5"/>
    <n v="20520.011500000001"/>
    <n v="3"/>
    <x v="705"/>
    <n v="9234"/>
    <d v="2025-02-28T00:00:00"/>
    <x v="254"/>
  </r>
  <r>
    <x v="6"/>
    <s v="Footwear"/>
    <s v="Bata"/>
    <s v="Budget"/>
    <s v="North"/>
    <x v="1"/>
    <n v="3095.67"/>
    <x v="3"/>
    <n v="2786.1030000000001"/>
    <n v="1"/>
    <x v="706"/>
    <n v="417.91"/>
    <d v="2024-08-15T00:00:00"/>
    <x v="82"/>
  </r>
  <r>
    <x v="12"/>
    <s v="Clothing"/>
    <s v="H&amp;M"/>
    <s v="Standard"/>
    <s v="West"/>
    <x v="11"/>
    <n v="1587.92"/>
    <x v="6"/>
    <n v="1190.94"/>
    <n v="4"/>
    <x v="707"/>
    <n v="1190.94"/>
    <d v="2025-02-07T00:00:00"/>
    <x v="423"/>
  </r>
  <r>
    <x v="3"/>
    <s v="Electronics"/>
    <s v="Xiaomi"/>
    <s v="Budget"/>
    <s v="East"/>
    <x v="8"/>
    <n v="1587.89"/>
    <x v="4"/>
    <n v="1111.5229999999999"/>
    <n v="4"/>
    <x v="708"/>
    <n v="666.91"/>
    <d v="2024-11-19T00:00:00"/>
    <x v="424"/>
  </r>
  <r>
    <x v="0"/>
    <s v="Footwear"/>
    <s v="Puma"/>
    <s v="Standard"/>
    <s v="North"/>
    <x v="1"/>
    <n v="2527.73"/>
    <x v="4"/>
    <n v="1769.4110000000001"/>
    <n v="2"/>
    <x v="709"/>
    <n v="884.71"/>
    <d v="2024-07-16T00:00:00"/>
    <x v="116"/>
  </r>
  <r>
    <x v="2"/>
    <s v="Electronics"/>
    <s v="Samsung"/>
    <s v="Premium"/>
    <s v="East"/>
    <x v="10"/>
    <n v="57212.49"/>
    <x v="4"/>
    <n v="40048.742999999988"/>
    <n v="4"/>
    <x v="710"/>
    <n v="56068.24"/>
    <d v="2025-07-07T00:00:00"/>
    <x v="205"/>
  </r>
  <r>
    <x v="13"/>
    <s v="Home Appliance"/>
    <s v="Godrej"/>
    <s v="Budget"/>
    <s v="West"/>
    <x v="11"/>
    <n v="16059.24"/>
    <x v="5"/>
    <n v="13650.353999999999"/>
    <n v="3"/>
    <x v="711"/>
    <n v="6142.66"/>
    <d v="2025-04-23T00:00:00"/>
    <x v="425"/>
  </r>
  <r>
    <x v="1"/>
    <s v="Furniture"/>
    <s v="Nilkamal"/>
    <s v="Budget"/>
    <s v="South"/>
    <x v="5"/>
    <n v="6846.34"/>
    <x v="3"/>
    <n v="6161.7060000000001"/>
    <n v="2"/>
    <x v="712"/>
    <n v="1848.51"/>
    <d v="2024-09-06T00:00:00"/>
    <x v="42"/>
  </r>
  <r>
    <x v="13"/>
    <s v="Home Appliance"/>
    <s v="Godrej"/>
    <s v="Budget"/>
    <s v="South"/>
    <x v="0"/>
    <n v="15617.21"/>
    <x v="2"/>
    <n v="14836.3495"/>
    <n v="1"/>
    <x v="713"/>
    <n v="2225.4499999999998"/>
    <d v="2024-11-25T00:00:00"/>
    <x v="396"/>
  </r>
  <r>
    <x v="6"/>
    <s v="Footwear"/>
    <s v="Bata"/>
    <s v="Budget"/>
    <s v="West"/>
    <x v="9"/>
    <n v="3316.45"/>
    <x v="2"/>
    <n v="3150.6275000000001"/>
    <n v="5"/>
    <x v="714"/>
    <n v="2362.9699999999998"/>
    <d v="2025-06-16T00:00:00"/>
    <x v="426"/>
  </r>
  <r>
    <x v="3"/>
    <s v="Electronics"/>
    <s v="HP"/>
    <s v="Standard"/>
    <s v="West"/>
    <x v="9"/>
    <n v="2190.59"/>
    <x v="0"/>
    <n v="2190.59"/>
    <n v="3"/>
    <x v="715"/>
    <n v="1642.94"/>
    <d v="2025-03-11T00:00:00"/>
    <x v="171"/>
  </r>
  <r>
    <x v="1"/>
    <s v="Furniture"/>
    <s v="HomeTown"/>
    <s v="Standard"/>
    <s v="South"/>
    <x v="6"/>
    <n v="7762.53"/>
    <x v="5"/>
    <n v="6598.1504999999997"/>
    <n v="2"/>
    <x v="716"/>
    <n v="3299.07"/>
    <d v="2024-10-08T00:00:00"/>
    <x v="427"/>
  </r>
  <r>
    <x v="6"/>
    <s v="Footwear"/>
    <s v="Bata"/>
    <s v="Budget"/>
    <s v="North"/>
    <x v="2"/>
    <n v="3052.84"/>
    <x v="4"/>
    <n v="2136.9879999999998"/>
    <n v="3"/>
    <x v="717"/>
    <n v="961.64"/>
    <d v="2024-01-25T00:00:00"/>
    <x v="347"/>
  </r>
  <r>
    <x v="11"/>
    <s v="Home Appliance"/>
    <s v="LG"/>
    <s v="Premium"/>
    <s v="West"/>
    <x v="9"/>
    <n v="10405.14"/>
    <x v="1"/>
    <n v="8324.1119999999992"/>
    <n v="2"/>
    <x v="718"/>
    <n v="5826.88"/>
    <d v="2025-06-09T00:00:00"/>
    <x v="428"/>
  </r>
  <r>
    <x v="7"/>
    <s v="Home Appliance"/>
    <s v="Samsung"/>
    <s v="Premium"/>
    <s v="South"/>
    <x v="0"/>
    <n v="29605.91"/>
    <x v="3"/>
    <n v="26645.319"/>
    <n v="3"/>
    <x v="719"/>
    <n v="27977.59"/>
    <d v="2024-10-21T00:00:00"/>
    <x v="64"/>
  </r>
  <r>
    <x v="11"/>
    <s v="Home Appliance"/>
    <s v="Godrej"/>
    <s v="Budget"/>
    <s v="South"/>
    <x v="0"/>
    <n v="6499.55"/>
    <x v="3"/>
    <n v="5849.5950000000003"/>
    <n v="5"/>
    <x v="720"/>
    <n v="4387.2"/>
    <d v="2025-04-02T00:00:00"/>
    <x v="429"/>
  </r>
  <r>
    <x v="10"/>
    <s v="Furniture"/>
    <s v="HomeTown"/>
    <s v="Standard"/>
    <s v="East"/>
    <x v="3"/>
    <n v="33092.76"/>
    <x v="6"/>
    <n v="24819.57"/>
    <n v="4"/>
    <x v="721"/>
    <n v="24819.57"/>
    <d v="2024-01-12T00:00:00"/>
    <x v="430"/>
  </r>
  <r>
    <x v="11"/>
    <s v="Home Appliance"/>
    <s v="Godrej"/>
    <s v="Budget"/>
    <s v="North"/>
    <x v="1"/>
    <n v="7149.2"/>
    <x v="4"/>
    <n v="5004.4399999999996"/>
    <n v="1"/>
    <x v="722"/>
    <n v="750.67"/>
    <d v="2025-04-27T00:00:00"/>
    <x v="135"/>
  </r>
  <r>
    <x v="3"/>
    <s v="Electronics"/>
    <s v="HP"/>
    <s v="Standard"/>
    <s v="South"/>
    <x v="0"/>
    <n v="1882.52"/>
    <x v="0"/>
    <n v="1882.52"/>
    <n v="2"/>
    <x v="723"/>
    <n v="941.26"/>
    <d v="2024-11-24T00:00:00"/>
    <x v="208"/>
  </r>
  <r>
    <x v="14"/>
    <s v="Electronics"/>
    <s v="HP"/>
    <s v="Standard"/>
    <s v="East"/>
    <x v="8"/>
    <n v="14413.12"/>
    <x v="1"/>
    <n v="11530.495999999999"/>
    <n v="2"/>
    <x v="724"/>
    <n v="5765.25"/>
    <d v="2024-12-07T00:00:00"/>
    <x v="111"/>
  </r>
  <r>
    <x v="12"/>
    <s v="Clothing"/>
    <s v="Zara"/>
    <s v="Premium"/>
    <s v="South"/>
    <x v="6"/>
    <n v="1692.53"/>
    <x v="6"/>
    <n v="1269.3975"/>
    <n v="4"/>
    <x v="725"/>
    <n v="1777.16"/>
    <d v="2024-12-22T00:00:00"/>
    <x v="356"/>
  </r>
  <r>
    <x v="9"/>
    <s v="Clothing"/>
    <s v="Max"/>
    <s v="Budget"/>
    <s v="East"/>
    <x v="3"/>
    <n v="654.01"/>
    <x v="3"/>
    <n v="588.60900000000004"/>
    <n v="4"/>
    <x v="726"/>
    <n v="353.17"/>
    <d v="2025-06-26T00:00:00"/>
    <x v="431"/>
  </r>
  <r>
    <x v="12"/>
    <s v="Clothing"/>
    <s v="Roadster"/>
    <s v="Budget"/>
    <s v="North"/>
    <x v="1"/>
    <n v="1359.73"/>
    <x v="2"/>
    <n v="1291.7435"/>
    <n v="5"/>
    <x v="727"/>
    <n v="968.81"/>
    <d v="2025-07-05T00:00:00"/>
    <x v="193"/>
  </r>
  <r>
    <x v="1"/>
    <s v="Furniture"/>
    <s v="Ikea"/>
    <s v="Premium"/>
    <s v="West"/>
    <x v="11"/>
    <n v="10144.43"/>
    <x v="2"/>
    <n v="9637.2085000000006"/>
    <n v="1"/>
    <x v="728"/>
    <n v="3373.02"/>
    <d v="2024-07-15T00:00:00"/>
    <x v="53"/>
  </r>
  <r>
    <x v="8"/>
    <s v="Furniture"/>
    <s v="Ikea"/>
    <s v="Premium"/>
    <s v="East"/>
    <x v="10"/>
    <n v="27533.55"/>
    <x v="4"/>
    <n v="19273.485000000001"/>
    <n v="4"/>
    <x v="729"/>
    <n v="26982.880000000001"/>
    <d v="2024-11-26T00:00:00"/>
    <x v="432"/>
  </r>
  <r>
    <x v="9"/>
    <s v="Clothing"/>
    <s v="Zara"/>
    <s v="Premium"/>
    <s v="North"/>
    <x v="4"/>
    <n v="1006.65"/>
    <x v="0"/>
    <n v="1006.65"/>
    <n v="4"/>
    <x v="730"/>
    <n v="1409.31"/>
    <d v="2024-05-18T00:00:00"/>
    <x v="433"/>
  </r>
  <r>
    <x v="10"/>
    <s v="Furniture"/>
    <s v="Ikea"/>
    <s v="Premium"/>
    <s v="North"/>
    <x v="4"/>
    <n v="45441.95"/>
    <x v="2"/>
    <n v="43169.852499999994"/>
    <n v="1"/>
    <x v="731"/>
    <n v="15109.45"/>
    <d v="2024-02-17T00:00:00"/>
    <x v="258"/>
  </r>
  <r>
    <x v="9"/>
    <s v="Clothing"/>
    <s v="Zara"/>
    <s v="Premium"/>
    <s v="West"/>
    <x v="9"/>
    <n v="1044.8"/>
    <x v="6"/>
    <n v="783.59999999999991"/>
    <n v="1"/>
    <x v="732"/>
    <n v="274.26"/>
    <d v="2024-10-23T00:00:00"/>
    <x v="318"/>
  </r>
  <r>
    <x v="3"/>
    <s v="Electronics"/>
    <s v="HP"/>
    <s v="Standard"/>
    <s v="West"/>
    <x v="7"/>
    <n v="2222.69"/>
    <x v="6"/>
    <n v="1667.0174999999999"/>
    <n v="1"/>
    <x v="733"/>
    <n v="416.75"/>
    <d v="2024-04-06T00:00:00"/>
    <x v="434"/>
  </r>
  <r>
    <x v="5"/>
    <s v="Clothing"/>
    <s v="Nike"/>
    <s v="Premium"/>
    <s v="West"/>
    <x v="7"/>
    <n v="3960.84"/>
    <x v="6"/>
    <n v="2970.63"/>
    <n v="5"/>
    <x v="734"/>
    <n v="5198.6000000000004"/>
    <d v="2025-07-10T00:00:00"/>
    <x v="435"/>
  </r>
  <r>
    <x v="12"/>
    <s v="Clothing"/>
    <s v="Nike"/>
    <s v="Premium"/>
    <s v="South"/>
    <x v="6"/>
    <n v="1801.08"/>
    <x v="3"/>
    <n v="1620.972"/>
    <n v="5"/>
    <x v="735"/>
    <n v="2836.7"/>
    <d v="2025-03-11T00:00:00"/>
    <x v="436"/>
  </r>
  <r>
    <x v="7"/>
    <s v="Home Appliance"/>
    <s v="Whirlpool"/>
    <s v="Standard"/>
    <s v="South"/>
    <x v="0"/>
    <n v="24409.09"/>
    <x v="6"/>
    <n v="18306.817500000001"/>
    <n v="1"/>
    <x v="736"/>
    <n v="4576.7"/>
    <d v="2024-04-28T00:00:00"/>
    <x v="362"/>
  </r>
  <r>
    <x v="1"/>
    <s v="Furniture"/>
    <s v="Ikea"/>
    <s v="Premium"/>
    <s v="East"/>
    <x v="3"/>
    <n v="9336.19"/>
    <x v="4"/>
    <n v="6535.3329999999996"/>
    <n v="1"/>
    <x v="737"/>
    <n v="2287.37"/>
    <d v="2024-01-10T00:00:00"/>
    <x v="409"/>
  </r>
  <r>
    <x v="10"/>
    <s v="Furniture"/>
    <s v="HomeTown"/>
    <s v="Standard"/>
    <s v="East"/>
    <x v="10"/>
    <n v="32037.75"/>
    <x v="5"/>
    <n v="27232.087500000001"/>
    <n v="4"/>
    <x v="738"/>
    <n v="27232.09"/>
    <d v="2025-02-12T00:00:00"/>
    <x v="437"/>
  </r>
  <r>
    <x v="14"/>
    <s v="Electronics"/>
    <s v="Realme"/>
    <s v="Budget"/>
    <s v="North"/>
    <x v="4"/>
    <n v="13654.93"/>
    <x v="5"/>
    <n v="11606.690500000001"/>
    <n v="3"/>
    <x v="739"/>
    <n v="5223.01"/>
    <d v="2024-02-26T00:00:00"/>
    <x v="438"/>
  </r>
  <r>
    <x v="0"/>
    <s v="Footwear"/>
    <s v="Puma"/>
    <s v="Standard"/>
    <s v="West"/>
    <x v="9"/>
    <n v="2568.31"/>
    <x v="0"/>
    <n v="2568.31"/>
    <n v="1"/>
    <x v="740"/>
    <n v="642.08000000000004"/>
    <d v="2024-05-31T00:00:00"/>
    <x v="439"/>
  </r>
  <r>
    <x v="2"/>
    <s v="Electronics"/>
    <s v="Xiaomi"/>
    <s v="Budget"/>
    <s v="East"/>
    <x v="10"/>
    <n v="39645.949999999997"/>
    <x v="3"/>
    <n v="35681.355000000003"/>
    <n v="5"/>
    <x v="741"/>
    <n v="26761.02"/>
    <d v="2024-05-28T00:00:00"/>
    <x v="87"/>
  </r>
  <r>
    <x v="9"/>
    <s v="Clothing"/>
    <s v="Max"/>
    <s v="Budget"/>
    <s v="East"/>
    <x v="10"/>
    <n v="620.75"/>
    <x v="3"/>
    <n v="558.67500000000007"/>
    <n v="4"/>
    <x v="742"/>
    <n v="335.2"/>
    <d v="2024-01-27T00:00:00"/>
    <x v="288"/>
  </r>
  <r>
    <x v="2"/>
    <s v="Electronics"/>
    <s v="Dell"/>
    <s v="Standard"/>
    <s v="North"/>
    <x v="1"/>
    <n v="52109.79"/>
    <x v="2"/>
    <n v="49504.300499999998"/>
    <n v="1"/>
    <x v="743"/>
    <n v="12376.08"/>
    <d v="2025-05-22T00:00:00"/>
    <x v="232"/>
  </r>
  <r>
    <x v="0"/>
    <s v="Footwear"/>
    <s v="Adidas"/>
    <s v="Premium"/>
    <s v="East"/>
    <x v="8"/>
    <n v="2789.83"/>
    <x v="2"/>
    <n v="2650.3384999999998"/>
    <n v="1"/>
    <x v="744"/>
    <n v="927.62"/>
    <d v="2025-04-17T00:00:00"/>
    <x v="440"/>
  </r>
  <r>
    <x v="10"/>
    <s v="Furniture"/>
    <s v="Godrej Interio"/>
    <s v="Premium"/>
    <s v="East"/>
    <x v="10"/>
    <n v="39640.85"/>
    <x v="0"/>
    <n v="39640.85"/>
    <n v="4"/>
    <x v="745"/>
    <n v="55497.19"/>
    <d v="2024-02-02T00:00:00"/>
    <x v="266"/>
  </r>
  <r>
    <x v="10"/>
    <s v="Furniture"/>
    <s v="Nilkamal"/>
    <s v="Budget"/>
    <s v="West"/>
    <x v="9"/>
    <n v="30688.29"/>
    <x v="3"/>
    <n v="27619.460999999999"/>
    <n v="5"/>
    <x v="746"/>
    <n v="20714.599999999999"/>
    <d v="2024-11-06T00:00:00"/>
    <x v="403"/>
  </r>
  <r>
    <x v="9"/>
    <s v="Clothing"/>
    <s v="Max"/>
    <s v="Budget"/>
    <s v="North"/>
    <x v="1"/>
    <n v="709.25"/>
    <x v="5"/>
    <n v="602.86249999999995"/>
    <n v="5"/>
    <x v="747"/>
    <n v="452.15"/>
    <d v="2024-11-11T00:00:00"/>
    <x v="120"/>
  </r>
  <r>
    <x v="2"/>
    <s v="Electronics"/>
    <s v="HP"/>
    <s v="Standard"/>
    <s v="North"/>
    <x v="4"/>
    <n v="52408.26"/>
    <x v="2"/>
    <n v="49787.847000000002"/>
    <n v="4"/>
    <x v="748"/>
    <n v="49787.85"/>
    <d v="2024-04-05T00:00:00"/>
    <x v="441"/>
  </r>
  <r>
    <x v="14"/>
    <s v="Electronics"/>
    <s v="Dell"/>
    <s v="Standard"/>
    <s v="West"/>
    <x v="11"/>
    <n v="16894.349999999999"/>
    <x v="0"/>
    <n v="16894.349999999999"/>
    <n v="5"/>
    <x v="749"/>
    <n v="21117.94"/>
    <d v="2024-08-21T00:00:00"/>
    <x v="377"/>
  </r>
  <r>
    <x v="4"/>
    <s v="Furniture"/>
    <s v="Ikea"/>
    <s v="Premium"/>
    <s v="North"/>
    <x v="2"/>
    <n v="37006.300000000003"/>
    <x v="2"/>
    <n v="35155.985000000001"/>
    <n v="1"/>
    <x v="750"/>
    <n v="12304.6"/>
    <d v="2025-05-28T00:00:00"/>
    <x v="442"/>
  </r>
  <r>
    <x v="13"/>
    <s v="Home Appliance"/>
    <s v="LG"/>
    <s v="Premium"/>
    <s v="East"/>
    <x v="3"/>
    <n v="20742.86"/>
    <x v="5"/>
    <n v="17631.431"/>
    <n v="1"/>
    <x v="751"/>
    <n v="6171"/>
    <d v="2025-04-15T00:00:00"/>
    <x v="363"/>
  </r>
  <r>
    <x v="11"/>
    <s v="Home Appliance"/>
    <s v="Samsung"/>
    <s v="Premium"/>
    <s v="North"/>
    <x v="2"/>
    <n v="10331.290000000001"/>
    <x v="2"/>
    <n v="9814.7255000000005"/>
    <n v="5"/>
    <x v="752"/>
    <n v="17175.77"/>
    <d v="2024-12-11T00:00:00"/>
    <x v="342"/>
  </r>
  <r>
    <x v="7"/>
    <s v="Home Appliance"/>
    <s v="Samsung"/>
    <s v="Premium"/>
    <s v="South"/>
    <x v="0"/>
    <n v="28931.64"/>
    <x v="2"/>
    <n v="27485.058000000001"/>
    <n v="1"/>
    <x v="753"/>
    <n v="9619.77"/>
    <d v="2025-05-01T00:00:00"/>
    <x v="443"/>
  </r>
  <r>
    <x v="7"/>
    <s v="Home Appliance"/>
    <s v="Godrej"/>
    <s v="Budget"/>
    <s v="South"/>
    <x v="0"/>
    <n v="21404.67"/>
    <x v="6"/>
    <n v="16053.502500000001"/>
    <n v="1"/>
    <x v="754"/>
    <n v="2408.0300000000002"/>
    <d v="2025-05-27T00:00:00"/>
    <x v="444"/>
  </r>
  <r>
    <x v="9"/>
    <s v="Clothing"/>
    <s v="Levis"/>
    <s v="Premium"/>
    <s v="North"/>
    <x v="1"/>
    <n v="1008.01"/>
    <x v="5"/>
    <n v="856.80849999999998"/>
    <n v="4"/>
    <x v="755"/>
    <n v="1199.53"/>
    <d v="2024-08-30T00:00:00"/>
    <x v="7"/>
  </r>
  <r>
    <x v="8"/>
    <s v="Furniture"/>
    <s v="Godrej Interio"/>
    <s v="Premium"/>
    <s v="North"/>
    <x v="4"/>
    <n v="32669.11"/>
    <x v="1"/>
    <n v="26135.288"/>
    <n v="5"/>
    <x v="756"/>
    <n v="45736.75"/>
    <d v="2024-11-13T00:00:00"/>
    <x v="44"/>
  </r>
  <r>
    <x v="8"/>
    <s v="Furniture"/>
    <s v="HomeTown"/>
    <s v="Standard"/>
    <s v="West"/>
    <x v="7"/>
    <n v="27550.17"/>
    <x v="5"/>
    <n v="23417.644499999999"/>
    <n v="2"/>
    <x v="757"/>
    <n v="11708.82"/>
    <d v="2024-10-24T00:00:00"/>
    <x v="277"/>
  </r>
  <r>
    <x v="11"/>
    <s v="Home Appliance"/>
    <s v="LG"/>
    <s v="Premium"/>
    <s v="West"/>
    <x v="7"/>
    <n v="10295.84"/>
    <x v="3"/>
    <n v="9266.2560000000012"/>
    <n v="2"/>
    <x v="758"/>
    <n v="6486.38"/>
    <d v="2025-02-12T00:00:00"/>
    <x v="147"/>
  </r>
  <r>
    <x v="14"/>
    <s v="Electronics"/>
    <s v="Dell"/>
    <s v="Standard"/>
    <s v="South"/>
    <x v="5"/>
    <n v="14297.72"/>
    <x v="3"/>
    <n v="12867.948"/>
    <n v="4"/>
    <x v="759"/>
    <n v="12867.95"/>
    <d v="2024-01-18T00:00:00"/>
    <x v="103"/>
  </r>
  <r>
    <x v="1"/>
    <s v="Furniture"/>
    <s v="Nilkamal"/>
    <s v="Budget"/>
    <s v="North"/>
    <x v="2"/>
    <n v="7030.41"/>
    <x v="0"/>
    <n v="7030.41"/>
    <n v="2"/>
    <x v="760"/>
    <n v="2109.12"/>
    <d v="2024-03-29T00:00:00"/>
    <x v="289"/>
  </r>
  <r>
    <x v="6"/>
    <s v="Footwear"/>
    <s v="Adidas"/>
    <s v="Premium"/>
    <s v="East"/>
    <x v="3"/>
    <n v="3815.67"/>
    <x v="1"/>
    <n v="3052.5360000000001"/>
    <n v="5"/>
    <x v="761"/>
    <n v="5341.94"/>
    <d v="2024-10-31T00:00:00"/>
    <x v="277"/>
  </r>
  <r>
    <x v="8"/>
    <s v="Furniture"/>
    <s v="Nilkamal"/>
    <s v="Budget"/>
    <s v="South"/>
    <x v="5"/>
    <n v="21170.71"/>
    <x v="3"/>
    <n v="19053.638999999999"/>
    <n v="2"/>
    <x v="762"/>
    <n v="5716.09"/>
    <d v="2024-11-30T00:00:00"/>
    <x v="336"/>
  </r>
  <r>
    <x v="2"/>
    <s v="Electronics"/>
    <s v="Xiaomi"/>
    <s v="Budget"/>
    <s v="West"/>
    <x v="11"/>
    <n v="47164.69"/>
    <x v="1"/>
    <n v="37731.752"/>
    <n v="4"/>
    <x v="763"/>
    <n v="22639.05"/>
    <d v="2025-03-22T00:00:00"/>
    <x v="122"/>
  </r>
  <r>
    <x v="11"/>
    <s v="Home Appliance"/>
    <s v="Samsung"/>
    <s v="Premium"/>
    <s v="East"/>
    <x v="3"/>
    <n v="8994.77"/>
    <x v="3"/>
    <n v="8095.2930000000006"/>
    <n v="2"/>
    <x v="764"/>
    <n v="5666.71"/>
    <d v="2024-08-22T00:00:00"/>
    <x v="445"/>
  </r>
  <r>
    <x v="9"/>
    <s v="Clothing"/>
    <s v="Zara"/>
    <s v="Premium"/>
    <s v="West"/>
    <x v="9"/>
    <n v="993.57"/>
    <x v="5"/>
    <n v="844.53449999999998"/>
    <n v="2"/>
    <x v="765"/>
    <n v="591.16999999999996"/>
    <d v="2024-02-16T00:00:00"/>
    <x v="258"/>
  </r>
  <r>
    <x v="3"/>
    <s v="Electronics"/>
    <s v="Xiaomi"/>
    <s v="Budget"/>
    <s v="South"/>
    <x v="5"/>
    <n v="1655.57"/>
    <x v="4"/>
    <n v="1158.8989999999999"/>
    <n v="5"/>
    <x v="766"/>
    <n v="869.17"/>
    <d v="2024-06-28T00:00:00"/>
    <x v="231"/>
  </r>
  <r>
    <x v="8"/>
    <s v="Furniture"/>
    <s v="Ikea"/>
    <s v="Premium"/>
    <s v="North"/>
    <x v="4"/>
    <n v="31398.18"/>
    <x v="6"/>
    <n v="23548.634999999998"/>
    <n v="1"/>
    <x v="767"/>
    <n v="8242.02"/>
    <d v="2024-06-02T00:00:00"/>
    <x v="367"/>
  </r>
  <r>
    <x v="1"/>
    <s v="Furniture"/>
    <s v="Ikea"/>
    <s v="Premium"/>
    <s v="South"/>
    <x v="5"/>
    <n v="9147.98"/>
    <x v="1"/>
    <n v="7318.384"/>
    <n v="3"/>
    <x v="768"/>
    <n v="7684.3"/>
    <d v="2024-07-31T00:00:00"/>
    <x v="251"/>
  </r>
  <r>
    <x v="6"/>
    <s v="Footwear"/>
    <s v="Bata"/>
    <s v="Budget"/>
    <s v="South"/>
    <x v="5"/>
    <n v="2856.09"/>
    <x v="5"/>
    <n v="2427.6765"/>
    <n v="5"/>
    <x v="769"/>
    <n v="1820.76"/>
    <d v="2024-07-22T00:00:00"/>
    <x v="446"/>
  </r>
  <r>
    <x v="10"/>
    <s v="Furniture"/>
    <s v="Godrej Interio"/>
    <s v="Premium"/>
    <s v="South"/>
    <x v="0"/>
    <n v="42153.07"/>
    <x v="2"/>
    <n v="40045.416499999999"/>
    <n v="1"/>
    <x v="770"/>
    <n v="14015.9"/>
    <d v="2024-02-23T00:00:00"/>
    <x v="88"/>
  </r>
  <r>
    <x v="12"/>
    <s v="Clothing"/>
    <s v="Roadster"/>
    <s v="Budget"/>
    <s v="South"/>
    <x v="0"/>
    <n v="1239.46"/>
    <x v="3"/>
    <n v="1115.5139999999999"/>
    <n v="2"/>
    <x v="771"/>
    <n v="334.65"/>
    <d v="2024-07-30T00:00:00"/>
    <x v="447"/>
  </r>
  <r>
    <x v="11"/>
    <s v="Home Appliance"/>
    <s v="Whirlpool"/>
    <s v="Standard"/>
    <s v="West"/>
    <x v="7"/>
    <n v="8353.4699999999993"/>
    <x v="3"/>
    <n v="7518.1229999999996"/>
    <n v="5"/>
    <x v="772"/>
    <n v="9397.65"/>
    <d v="2024-11-29T00:00:00"/>
    <x v="448"/>
  </r>
  <r>
    <x v="7"/>
    <s v="Home Appliance"/>
    <s v="Whirlpool"/>
    <s v="Standard"/>
    <s v="East"/>
    <x v="10"/>
    <n v="23319.22"/>
    <x v="2"/>
    <n v="22153.258999999998"/>
    <n v="3"/>
    <x v="773"/>
    <n v="16614.939999999999"/>
    <d v="2025-06-13T00:00:00"/>
    <x v="350"/>
  </r>
  <r>
    <x v="11"/>
    <s v="Home Appliance"/>
    <s v="LG"/>
    <s v="Premium"/>
    <s v="West"/>
    <x v="11"/>
    <n v="9875.9"/>
    <x v="0"/>
    <n v="9875.9"/>
    <n v="1"/>
    <x v="774"/>
    <n v="3456.56"/>
    <d v="2025-03-16T00:00:00"/>
    <x v="109"/>
  </r>
  <r>
    <x v="3"/>
    <s v="Electronics"/>
    <s v="Xiaomi"/>
    <s v="Budget"/>
    <s v="North"/>
    <x v="2"/>
    <n v="1823.51"/>
    <x v="3"/>
    <n v="1641.1590000000001"/>
    <n v="4"/>
    <x v="775"/>
    <n v="984.7"/>
    <d v="2025-03-13T00:00:00"/>
    <x v="397"/>
  </r>
  <r>
    <x v="9"/>
    <s v="Clothing"/>
    <s v="H&amp;M"/>
    <s v="Standard"/>
    <s v="West"/>
    <x v="7"/>
    <n v="825.28"/>
    <x v="0"/>
    <n v="825.28"/>
    <n v="5"/>
    <x v="776"/>
    <n v="1031.5999999999999"/>
    <d v="2024-01-15T00:00:00"/>
    <x v="155"/>
  </r>
  <r>
    <x v="8"/>
    <s v="Furniture"/>
    <s v="HomeTown"/>
    <s v="Standard"/>
    <s v="East"/>
    <x v="8"/>
    <n v="24170.51"/>
    <x v="3"/>
    <n v="21753.458999999999"/>
    <n v="4"/>
    <x v="777"/>
    <n v="21753.46"/>
    <d v="2025-03-14T00:00:00"/>
    <x v="397"/>
  </r>
  <r>
    <x v="12"/>
    <s v="Clothing"/>
    <s v="Nike"/>
    <s v="Premium"/>
    <s v="West"/>
    <x v="11"/>
    <n v="1955.12"/>
    <x v="4"/>
    <n v="1368.5840000000001"/>
    <n v="5"/>
    <x v="778"/>
    <n v="2395.02"/>
    <d v="2025-06-07T00:00:00"/>
    <x v="283"/>
  </r>
  <r>
    <x v="4"/>
    <s v="Furniture"/>
    <s v="Ikea"/>
    <s v="Premium"/>
    <s v="South"/>
    <x v="6"/>
    <n v="34628.129999999997"/>
    <x v="0"/>
    <n v="34628.129999999997"/>
    <n v="5"/>
    <x v="779"/>
    <n v="60599.23"/>
    <d v="2025-04-28T00:00:00"/>
    <x v="112"/>
  </r>
  <r>
    <x v="2"/>
    <s v="Electronics"/>
    <s v="HP"/>
    <s v="Standard"/>
    <s v="West"/>
    <x v="11"/>
    <n v="54554.81"/>
    <x v="3"/>
    <n v="49099.328999999998"/>
    <n v="3"/>
    <x v="780"/>
    <n v="36824.5"/>
    <d v="2024-03-03T00:00:00"/>
    <x v="449"/>
  </r>
  <r>
    <x v="9"/>
    <s v="Clothing"/>
    <s v="Zara"/>
    <s v="Premium"/>
    <s v="East"/>
    <x v="10"/>
    <n v="894.16"/>
    <x v="6"/>
    <n v="670.62"/>
    <n v="2"/>
    <x v="781"/>
    <n v="469.43"/>
    <d v="2024-10-19T00:00:00"/>
    <x v="145"/>
  </r>
  <r>
    <x v="12"/>
    <s v="Clothing"/>
    <s v="Nike"/>
    <s v="Premium"/>
    <s v="North"/>
    <x v="4"/>
    <n v="1955.5"/>
    <x v="1"/>
    <n v="1564.4"/>
    <n v="4"/>
    <x v="782"/>
    <n v="2190.16"/>
    <d v="2025-01-21T00:00:00"/>
    <x v="331"/>
  </r>
  <r>
    <x v="1"/>
    <s v="Furniture"/>
    <s v="Nilkamal"/>
    <s v="Budget"/>
    <s v="West"/>
    <x v="11"/>
    <n v="7697.86"/>
    <x v="6"/>
    <n v="5773.3950000000004"/>
    <n v="5"/>
    <x v="783"/>
    <n v="4330.05"/>
    <d v="2024-01-15T00:00:00"/>
    <x v="155"/>
  </r>
  <r>
    <x v="12"/>
    <s v="Clothing"/>
    <s v="Max"/>
    <s v="Budget"/>
    <s v="South"/>
    <x v="5"/>
    <n v="1288.1500000000001"/>
    <x v="1"/>
    <n v="1030.52"/>
    <n v="3"/>
    <x v="784"/>
    <n v="463.73"/>
    <d v="2024-07-02T00:00:00"/>
    <x v="25"/>
  </r>
  <r>
    <x v="6"/>
    <s v="Footwear"/>
    <s v="Bata"/>
    <s v="Budget"/>
    <s v="South"/>
    <x v="6"/>
    <n v="2973.05"/>
    <x v="4"/>
    <n v="2081.1350000000002"/>
    <n v="2"/>
    <x v="785"/>
    <n v="624.34"/>
    <d v="2024-06-07T00:00:00"/>
    <x v="439"/>
  </r>
  <r>
    <x v="1"/>
    <s v="Furniture"/>
    <s v="Ikea"/>
    <s v="Premium"/>
    <s v="North"/>
    <x v="1"/>
    <n v="9559.49"/>
    <x v="3"/>
    <n v="8603.5409999999993"/>
    <n v="2"/>
    <x v="786"/>
    <n v="6022.48"/>
    <d v="2025-04-26T00:00:00"/>
    <x v="450"/>
  </r>
  <r>
    <x v="11"/>
    <s v="Home Appliance"/>
    <s v="Godrej"/>
    <s v="Budget"/>
    <s v="West"/>
    <x v="7"/>
    <n v="7242.13"/>
    <x v="1"/>
    <n v="5793.7040000000006"/>
    <n v="3"/>
    <x v="787"/>
    <n v="2607.17"/>
    <d v="2024-06-25T00:00:00"/>
    <x v="265"/>
  </r>
  <r>
    <x v="12"/>
    <s v="Clothing"/>
    <s v="Roadster"/>
    <s v="Budget"/>
    <s v="South"/>
    <x v="0"/>
    <n v="1269.46"/>
    <x v="3"/>
    <n v="1142.5139999999999"/>
    <n v="4"/>
    <x v="788"/>
    <n v="685.51"/>
    <d v="2024-07-02T00:00:00"/>
    <x v="231"/>
  </r>
  <r>
    <x v="10"/>
    <s v="Furniture"/>
    <s v="HomeTown"/>
    <s v="Standard"/>
    <s v="South"/>
    <x v="0"/>
    <n v="34305.519999999997"/>
    <x v="0"/>
    <n v="34305.519999999997"/>
    <n v="2"/>
    <x v="789"/>
    <n v="17152.759999999998"/>
    <d v="2025-01-27T00:00:00"/>
    <x v="189"/>
  </r>
  <r>
    <x v="6"/>
    <s v="Footwear"/>
    <s v="Adidas"/>
    <s v="Premium"/>
    <s v="West"/>
    <x v="11"/>
    <n v="4601.13"/>
    <x v="4"/>
    <n v="3220.7910000000002"/>
    <n v="5"/>
    <x v="790"/>
    <n v="5636.38"/>
    <d v="2024-01-30T00:00:00"/>
    <x v="451"/>
  </r>
  <r>
    <x v="9"/>
    <s v="Clothing"/>
    <s v="Zara"/>
    <s v="Premium"/>
    <s v="West"/>
    <x v="7"/>
    <n v="1032.45"/>
    <x v="3"/>
    <n v="929.20500000000004"/>
    <n v="5"/>
    <x v="791"/>
    <n v="1626.11"/>
    <d v="2024-09-28T00:00:00"/>
    <x v="13"/>
  </r>
  <r>
    <x v="11"/>
    <s v="Home Appliance"/>
    <s v="LG"/>
    <s v="Premium"/>
    <s v="North"/>
    <x v="4"/>
    <n v="10472.91"/>
    <x v="1"/>
    <n v="8378.3279999999995"/>
    <n v="2"/>
    <x v="792"/>
    <n v="5864.83"/>
    <d v="2024-08-22T00:00:00"/>
    <x v="364"/>
  </r>
  <r>
    <x v="3"/>
    <s v="Electronics"/>
    <s v="Realme"/>
    <s v="Budget"/>
    <s v="South"/>
    <x v="6"/>
    <n v="1713.41"/>
    <x v="2"/>
    <n v="1627.7394999999999"/>
    <n v="4"/>
    <x v="793"/>
    <n v="976.64"/>
    <d v="2025-03-03T00:00:00"/>
    <x v="272"/>
  </r>
  <r>
    <x v="2"/>
    <s v="Electronics"/>
    <s v="Xiaomi"/>
    <s v="Budget"/>
    <s v="North"/>
    <x v="4"/>
    <n v="43823"/>
    <x v="1"/>
    <n v="35058.400000000001"/>
    <n v="4"/>
    <x v="794"/>
    <n v="21035.040000000001"/>
    <d v="2025-06-28T00:00:00"/>
    <x v="271"/>
  </r>
  <r>
    <x v="10"/>
    <s v="Furniture"/>
    <s v="Godrej Interio"/>
    <s v="Premium"/>
    <s v="South"/>
    <x v="5"/>
    <n v="42414.13"/>
    <x v="0"/>
    <n v="42414.13"/>
    <n v="4"/>
    <x v="795"/>
    <n v="59379.78"/>
    <d v="2025-03-06T00:00:00"/>
    <x v="220"/>
  </r>
  <r>
    <x v="8"/>
    <s v="Furniture"/>
    <s v="Godrej Interio"/>
    <s v="Premium"/>
    <s v="North"/>
    <x v="1"/>
    <n v="31935.78"/>
    <x v="3"/>
    <n v="28742.202000000001"/>
    <n v="1"/>
    <x v="796"/>
    <n v="10059.77"/>
    <d v="2025-07-14T00:00:00"/>
    <x v="49"/>
  </r>
  <r>
    <x v="11"/>
    <s v="Home Appliance"/>
    <s v="Whirlpool"/>
    <s v="Standard"/>
    <s v="East"/>
    <x v="10"/>
    <n v="7563.04"/>
    <x v="0"/>
    <n v="7563.04"/>
    <n v="2"/>
    <x v="797"/>
    <n v="3781.52"/>
    <d v="2024-03-09T00:00:00"/>
    <x v="4"/>
  </r>
  <r>
    <x v="2"/>
    <s v="Electronics"/>
    <s v="Apple"/>
    <s v="Premium"/>
    <s v="East"/>
    <x v="3"/>
    <n v="58182.3"/>
    <x v="2"/>
    <n v="55273.184999999998"/>
    <n v="5"/>
    <x v="798"/>
    <n v="96728.07"/>
    <d v="2024-05-06T00:00:00"/>
    <x v="14"/>
  </r>
  <r>
    <x v="9"/>
    <s v="Clothing"/>
    <s v="Roadster"/>
    <s v="Budget"/>
    <s v="North"/>
    <x v="2"/>
    <n v="736.53"/>
    <x v="1"/>
    <n v="589.22400000000005"/>
    <n v="3"/>
    <x v="799"/>
    <n v="265.14999999999998"/>
    <d v="2024-09-30T00:00:00"/>
    <x v="124"/>
  </r>
  <r>
    <x v="11"/>
    <s v="Home Appliance"/>
    <s v="Godrej"/>
    <s v="Budget"/>
    <s v="South"/>
    <x v="6"/>
    <n v="6994.85"/>
    <x v="5"/>
    <n v="5945.6225000000004"/>
    <n v="2"/>
    <x v="800"/>
    <n v="1783.69"/>
    <d v="2024-04-19T00:00:00"/>
    <x v="338"/>
  </r>
  <r>
    <x v="10"/>
    <s v="Furniture"/>
    <s v="Ikea"/>
    <s v="Premium"/>
    <s v="East"/>
    <x v="8"/>
    <n v="41157.39"/>
    <x v="3"/>
    <n v="37041.650999999998"/>
    <n v="3"/>
    <x v="801"/>
    <n v="38893.730000000003"/>
    <d v="2024-02-26T00:00:00"/>
    <x v="368"/>
  </r>
  <r>
    <x v="4"/>
    <s v="Furniture"/>
    <s v="Godrej Interio"/>
    <s v="Premium"/>
    <s v="East"/>
    <x v="3"/>
    <n v="34216.639999999999"/>
    <x v="1"/>
    <n v="27373.312000000002"/>
    <n v="3"/>
    <x v="802"/>
    <n v="28741.98"/>
    <d v="2024-02-18T00:00:00"/>
    <x v="142"/>
  </r>
  <r>
    <x v="8"/>
    <s v="Furniture"/>
    <s v="Ikea"/>
    <s v="Premium"/>
    <s v="East"/>
    <x v="3"/>
    <n v="29629.7"/>
    <x v="6"/>
    <n v="22222.275000000001"/>
    <n v="1"/>
    <x v="803"/>
    <n v="7777.8"/>
    <d v="2024-08-18T00:00:00"/>
    <x v="445"/>
  </r>
  <r>
    <x v="4"/>
    <s v="Furniture"/>
    <s v="Nilkamal"/>
    <s v="Budget"/>
    <s v="West"/>
    <x v="9"/>
    <n v="26357.91"/>
    <x v="5"/>
    <n v="22404.2235"/>
    <n v="5"/>
    <x v="804"/>
    <n v="16803.169999999998"/>
    <d v="2025-02-04T00:00:00"/>
    <x v="374"/>
  </r>
  <r>
    <x v="13"/>
    <s v="Home Appliance"/>
    <s v="Samsung"/>
    <s v="Premium"/>
    <s v="North"/>
    <x v="4"/>
    <n v="22046.26"/>
    <x v="1"/>
    <n v="17637.008000000002"/>
    <n v="1"/>
    <x v="805"/>
    <n v="6172.95"/>
    <d v="2025-02-23T00:00:00"/>
    <x v="452"/>
  </r>
  <r>
    <x v="10"/>
    <s v="Furniture"/>
    <s v="HomeTown"/>
    <s v="Standard"/>
    <s v="East"/>
    <x v="8"/>
    <n v="32361"/>
    <x v="6"/>
    <n v="24270.75"/>
    <n v="2"/>
    <x v="806"/>
    <n v="12135.38"/>
    <d v="2024-12-24T00:00:00"/>
    <x v="32"/>
  </r>
  <r>
    <x v="5"/>
    <s v="Clothing"/>
    <s v="Roadster"/>
    <s v="Budget"/>
    <s v="West"/>
    <x v="7"/>
    <n v="2843.49"/>
    <x v="0"/>
    <n v="2843.49"/>
    <n v="1"/>
    <x v="807"/>
    <n v="426.52"/>
    <d v="2025-06-30T00:00:00"/>
    <x v="373"/>
  </r>
  <r>
    <x v="14"/>
    <s v="Electronics"/>
    <s v="HP"/>
    <s v="Standard"/>
    <s v="West"/>
    <x v="9"/>
    <n v="15823.08"/>
    <x v="5"/>
    <n v="13449.618"/>
    <n v="5"/>
    <x v="808"/>
    <n v="16812.02"/>
    <d v="2024-02-13T00:00:00"/>
    <x v="142"/>
  </r>
  <r>
    <x v="14"/>
    <s v="Electronics"/>
    <s v="HP"/>
    <s v="Standard"/>
    <s v="South"/>
    <x v="0"/>
    <n v="14394.88"/>
    <x v="4"/>
    <n v="10076.415999999999"/>
    <n v="3"/>
    <x v="809"/>
    <n v="7557.31"/>
    <d v="2024-04-01T00:00:00"/>
    <x v="1"/>
  </r>
  <r>
    <x v="9"/>
    <s v="Clothing"/>
    <s v="Nike"/>
    <s v="Premium"/>
    <s v="South"/>
    <x v="5"/>
    <n v="959.07"/>
    <x v="3"/>
    <n v="863.16300000000001"/>
    <n v="5"/>
    <x v="810"/>
    <n v="1510.54"/>
    <d v="2024-05-05T00:00:00"/>
    <x v="187"/>
  </r>
  <r>
    <x v="14"/>
    <s v="Electronics"/>
    <s v="Apple"/>
    <s v="Premium"/>
    <s v="East"/>
    <x v="3"/>
    <n v="17871.240000000002"/>
    <x v="4"/>
    <n v="12509.868"/>
    <n v="4"/>
    <x v="811"/>
    <n v="17513.810000000001"/>
    <d v="2024-10-04T00:00:00"/>
    <x v="21"/>
  </r>
  <r>
    <x v="8"/>
    <s v="Furniture"/>
    <s v="HomeTown"/>
    <s v="Standard"/>
    <s v="East"/>
    <x v="3"/>
    <n v="24892.28"/>
    <x v="3"/>
    <n v="22403.052"/>
    <n v="5"/>
    <x v="812"/>
    <n v="28003.81"/>
    <d v="2024-08-31T00:00:00"/>
    <x v="453"/>
  </r>
  <r>
    <x v="5"/>
    <s v="Clothing"/>
    <s v="Levis"/>
    <s v="Premium"/>
    <s v="North"/>
    <x v="4"/>
    <n v="3662.53"/>
    <x v="5"/>
    <n v="3113.1505000000002"/>
    <n v="5"/>
    <x v="813"/>
    <n v="5448.01"/>
    <d v="2025-02-01T00:00:00"/>
    <x v="174"/>
  </r>
  <r>
    <x v="4"/>
    <s v="Furniture"/>
    <s v="Ikea"/>
    <s v="Premium"/>
    <s v="West"/>
    <x v="9"/>
    <n v="39920.720000000001"/>
    <x v="6"/>
    <n v="29940.54"/>
    <n v="3"/>
    <x v="814"/>
    <n v="31437.57"/>
    <d v="2024-04-08T00:00:00"/>
    <x v="56"/>
  </r>
  <r>
    <x v="7"/>
    <s v="Home Appliance"/>
    <s v="Samsung"/>
    <s v="Premium"/>
    <s v="South"/>
    <x v="0"/>
    <n v="28293.45"/>
    <x v="6"/>
    <n v="21220.087500000001"/>
    <n v="4"/>
    <x v="815"/>
    <n v="29708.12"/>
    <d v="2025-06-07T00:00:00"/>
    <x v="172"/>
  </r>
  <r>
    <x v="11"/>
    <s v="Home Appliance"/>
    <s v="LG"/>
    <s v="Premium"/>
    <s v="South"/>
    <x v="5"/>
    <n v="9351.5499999999993"/>
    <x v="6"/>
    <n v="7013.6624999999995"/>
    <n v="2"/>
    <x v="816"/>
    <n v="4909.5600000000004"/>
    <d v="2025-01-31T00:00:00"/>
    <x v="189"/>
  </r>
  <r>
    <x v="2"/>
    <s v="Electronics"/>
    <s v="Dell"/>
    <s v="Standard"/>
    <s v="South"/>
    <x v="6"/>
    <n v="50398.53"/>
    <x v="6"/>
    <n v="37798.897499999999"/>
    <n v="1"/>
    <x v="817"/>
    <n v="9449.73"/>
    <d v="2024-10-05T00:00:00"/>
    <x v="284"/>
  </r>
  <r>
    <x v="3"/>
    <s v="Electronics"/>
    <s v="HP"/>
    <s v="Standard"/>
    <s v="East"/>
    <x v="8"/>
    <n v="1922.43"/>
    <x v="2"/>
    <n v="1826.3085000000001"/>
    <n v="4"/>
    <x v="818"/>
    <n v="1826.31"/>
    <d v="2024-09-21T00:00:00"/>
    <x v="384"/>
  </r>
  <r>
    <x v="6"/>
    <s v="Footwear"/>
    <s v="Bata"/>
    <s v="Budget"/>
    <s v="South"/>
    <x v="0"/>
    <n v="2783.5"/>
    <x v="0"/>
    <n v="2783.5"/>
    <n v="2"/>
    <x v="819"/>
    <n v="835.05"/>
    <d v="2024-11-13T00:00:00"/>
    <x v="412"/>
  </r>
  <r>
    <x v="2"/>
    <s v="Electronics"/>
    <s v="Apple"/>
    <s v="Premium"/>
    <s v="West"/>
    <x v="9"/>
    <n v="62381.39"/>
    <x v="5"/>
    <n v="53024.181499999999"/>
    <n v="2"/>
    <x v="820"/>
    <n v="37116.93"/>
    <d v="2025-03-08T00:00:00"/>
    <x v="454"/>
  </r>
  <r>
    <x v="1"/>
    <s v="Furniture"/>
    <s v="Ikea"/>
    <s v="Premium"/>
    <s v="South"/>
    <x v="5"/>
    <n v="9760.15"/>
    <x v="3"/>
    <n v="8784.1350000000002"/>
    <n v="2"/>
    <x v="821"/>
    <n v="6148.89"/>
    <d v="2025-04-09T00:00:00"/>
    <x v="398"/>
  </r>
  <r>
    <x v="8"/>
    <s v="Furniture"/>
    <s v="Godrej Interio"/>
    <s v="Premium"/>
    <s v="South"/>
    <x v="0"/>
    <n v="28316.53"/>
    <x v="5"/>
    <n v="24069.050500000001"/>
    <n v="1"/>
    <x v="822"/>
    <n v="8424.17"/>
    <d v="2025-05-19T00:00:00"/>
    <x v="230"/>
  </r>
  <r>
    <x v="6"/>
    <s v="Footwear"/>
    <s v="Adidas"/>
    <s v="Premium"/>
    <s v="West"/>
    <x v="7"/>
    <n v="4482.1000000000004"/>
    <x v="6"/>
    <n v="3361.5749999999998"/>
    <n v="1"/>
    <x v="823"/>
    <n v="1176.55"/>
    <d v="2025-03-21T00:00:00"/>
    <x v="455"/>
  </r>
  <r>
    <x v="11"/>
    <s v="Home Appliance"/>
    <s v="Samsung"/>
    <s v="Premium"/>
    <s v="South"/>
    <x v="5"/>
    <n v="8976.35"/>
    <x v="0"/>
    <n v="8976.35"/>
    <n v="2"/>
    <x v="824"/>
    <n v="6283.44"/>
    <d v="2025-06-27T00:00:00"/>
    <x v="97"/>
  </r>
  <r>
    <x v="9"/>
    <s v="Clothing"/>
    <s v="H&amp;M"/>
    <s v="Standard"/>
    <s v="East"/>
    <x v="10"/>
    <n v="785.71"/>
    <x v="6"/>
    <n v="589.28250000000003"/>
    <n v="5"/>
    <x v="825"/>
    <n v="736.6"/>
    <d v="2024-08-12T00:00:00"/>
    <x v="0"/>
  </r>
  <r>
    <x v="10"/>
    <s v="Furniture"/>
    <s v="Nilkamal"/>
    <s v="Budget"/>
    <s v="North"/>
    <x v="1"/>
    <n v="30503.919999999998"/>
    <x v="1"/>
    <n v="24403.135999999999"/>
    <n v="5"/>
    <x v="826"/>
    <n v="18302.349999999999"/>
    <d v="2024-02-26T00:00:00"/>
    <x v="368"/>
  </r>
  <r>
    <x v="9"/>
    <s v="Clothing"/>
    <s v="Roadster"/>
    <s v="Budget"/>
    <s v="South"/>
    <x v="6"/>
    <n v="635.72"/>
    <x v="3"/>
    <n v="572.14800000000002"/>
    <n v="4"/>
    <x v="827"/>
    <n v="343.29"/>
    <d v="2025-01-08T00:00:00"/>
    <x v="456"/>
  </r>
  <r>
    <x v="7"/>
    <s v="Home Appliance"/>
    <s v="Godrej"/>
    <s v="Budget"/>
    <s v="West"/>
    <x v="7"/>
    <n v="23760.57"/>
    <x v="2"/>
    <n v="22572.541499999999"/>
    <n v="2"/>
    <x v="828"/>
    <n v="6771.76"/>
    <d v="2025-01-23T00:00:00"/>
    <x v="457"/>
  </r>
  <r>
    <x v="10"/>
    <s v="Furniture"/>
    <s v="Godrej Interio"/>
    <s v="Premium"/>
    <s v="West"/>
    <x v="9"/>
    <n v="43610.19"/>
    <x v="5"/>
    <n v="37068.661500000002"/>
    <n v="3"/>
    <x v="829"/>
    <n v="38922.089999999997"/>
    <d v="2025-07-04T00:00:00"/>
    <x v="23"/>
  </r>
  <r>
    <x v="14"/>
    <s v="Electronics"/>
    <s v="Realme"/>
    <s v="Budget"/>
    <s v="East"/>
    <x v="3"/>
    <n v="11554.78"/>
    <x v="6"/>
    <n v="8666.0850000000009"/>
    <n v="3"/>
    <x v="830"/>
    <n v="3899.74"/>
    <d v="2024-04-28T00:00:00"/>
    <x v="458"/>
  </r>
  <r>
    <x v="2"/>
    <s v="Electronics"/>
    <s v="Dell"/>
    <s v="Standard"/>
    <s v="East"/>
    <x v="10"/>
    <n v="47008.38"/>
    <x v="5"/>
    <n v="39957.123"/>
    <n v="5"/>
    <x v="831"/>
    <n v="49946.400000000001"/>
    <d v="2025-05-20T00:00:00"/>
    <x v="110"/>
  </r>
  <r>
    <x v="5"/>
    <s v="Clothing"/>
    <s v="H&amp;M"/>
    <s v="Standard"/>
    <s v="East"/>
    <x v="3"/>
    <n v="2764.87"/>
    <x v="3"/>
    <n v="2488.3829999999998"/>
    <n v="3"/>
    <x v="832"/>
    <n v="1866.29"/>
    <d v="2024-08-25T00:00:00"/>
    <x v="240"/>
  </r>
  <r>
    <x v="10"/>
    <s v="Furniture"/>
    <s v="Ikea"/>
    <s v="Premium"/>
    <s v="West"/>
    <x v="9"/>
    <n v="45530.49"/>
    <x v="1"/>
    <n v="36424.392"/>
    <n v="5"/>
    <x v="833"/>
    <n v="63742.69"/>
    <d v="2024-01-11T00:00:00"/>
    <x v="298"/>
  </r>
  <r>
    <x v="7"/>
    <s v="Home Appliance"/>
    <s v="Whirlpool"/>
    <s v="Standard"/>
    <s v="South"/>
    <x v="6"/>
    <n v="23565.38"/>
    <x v="1"/>
    <n v="18852.304"/>
    <n v="3"/>
    <x v="834"/>
    <n v="14139.23"/>
    <d v="2025-03-02T00:00:00"/>
    <x v="16"/>
  </r>
  <r>
    <x v="0"/>
    <s v="Footwear"/>
    <s v="Bata"/>
    <s v="Budget"/>
    <s v="East"/>
    <x v="10"/>
    <n v="2025.12"/>
    <x v="6"/>
    <n v="1518.84"/>
    <n v="4"/>
    <x v="835"/>
    <n v="911.3"/>
    <d v="2024-06-06T00:00:00"/>
    <x v="459"/>
  </r>
  <r>
    <x v="2"/>
    <s v="Electronics"/>
    <s v="Xiaomi"/>
    <s v="Budget"/>
    <s v="South"/>
    <x v="5"/>
    <n v="40674.18"/>
    <x v="3"/>
    <n v="36606.762000000002"/>
    <n v="3"/>
    <x v="836"/>
    <n v="16473.04"/>
    <d v="2024-02-28T00:00:00"/>
    <x v="48"/>
  </r>
  <r>
    <x v="5"/>
    <s v="Clothing"/>
    <s v="Max"/>
    <s v="Budget"/>
    <s v="South"/>
    <x v="5"/>
    <n v="2594.5100000000002"/>
    <x v="5"/>
    <n v="2205.3335000000002"/>
    <n v="5"/>
    <x v="837"/>
    <n v="1654"/>
    <d v="2024-04-12T00:00:00"/>
    <x v="460"/>
  </r>
  <r>
    <x v="3"/>
    <s v="Electronics"/>
    <s v="Xiaomi"/>
    <s v="Budget"/>
    <s v="North"/>
    <x v="1"/>
    <n v="1758.56"/>
    <x v="0"/>
    <n v="1758.56"/>
    <n v="4"/>
    <x v="838"/>
    <n v="1055.1400000000001"/>
    <d v="2025-06-29T00:00:00"/>
    <x v="271"/>
  </r>
  <r>
    <x v="5"/>
    <s v="Clothing"/>
    <s v="H&amp;M"/>
    <s v="Standard"/>
    <s v="West"/>
    <x v="11"/>
    <n v="3386.87"/>
    <x v="6"/>
    <n v="2540.1525000000001"/>
    <n v="4"/>
    <x v="839"/>
    <n v="2540.15"/>
    <d v="2024-04-04T00:00:00"/>
    <x v="461"/>
  </r>
  <r>
    <x v="5"/>
    <s v="Clothing"/>
    <s v="Roadster"/>
    <s v="Budget"/>
    <s v="North"/>
    <x v="2"/>
    <n v="2592.42"/>
    <x v="3"/>
    <n v="2333.1779999999999"/>
    <n v="3"/>
    <x v="840"/>
    <n v="1049.93"/>
    <d v="2024-12-02T00:00:00"/>
    <x v="111"/>
  </r>
  <r>
    <x v="10"/>
    <s v="Furniture"/>
    <s v="Godrej Interio"/>
    <s v="Premium"/>
    <s v="West"/>
    <x v="9"/>
    <n v="44387.42"/>
    <x v="0"/>
    <n v="44387.42"/>
    <n v="1"/>
    <x v="841"/>
    <n v="15535.6"/>
    <d v="2024-10-02T00:00:00"/>
    <x v="411"/>
  </r>
  <r>
    <x v="3"/>
    <s v="Electronics"/>
    <s v="Apple"/>
    <s v="Premium"/>
    <s v="West"/>
    <x v="11"/>
    <n v="2573.5300000000002"/>
    <x v="0"/>
    <n v="2573.5300000000002"/>
    <n v="5"/>
    <x v="842"/>
    <n v="4503.68"/>
    <d v="2025-04-23T00:00:00"/>
    <x v="86"/>
  </r>
  <r>
    <x v="6"/>
    <s v="Footwear"/>
    <s v="Adidas"/>
    <s v="Premium"/>
    <s v="West"/>
    <x v="11"/>
    <n v="4407.32"/>
    <x v="3"/>
    <n v="3966.5880000000002"/>
    <n v="5"/>
    <x v="843"/>
    <n v="6941.53"/>
    <d v="2024-08-17T00:00:00"/>
    <x v="203"/>
  </r>
  <r>
    <x v="6"/>
    <s v="Footwear"/>
    <s v="Puma"/>
    <s v="Standard"/>
    <s v="East"/>
    <x v="3"/>
    <n v="3206.66"/>
    <x v="3"/>
    <n v="2885.9940000000001"/>
    <n v="5"/>
    <x v="844"/>
    <n v="3607.49"/>
    <d v="2025-01-15T00:00:00"/>
    <x v="386"/>
  </r>
  <r>
    <x v="11"/>
    <s v="Home Appliance"/>
    <s v="Godrej"/>
    <s v="Budget"/>
    <s v="South"/>
    <x v="0"/>
    <n v="6705.75"/>
    <x v="3"/>
    <n v="6035.1750000000002"/>
    <n v="2"/>
    <x v="845"/>
    <n v="1810.55"/>
    <d v="2025-02-10T00:00:00"/>
    <x v="131"/>
  </r>
  <r>
    <x v="0"/>
    <s v="Footwear"/>
    <s v="Bata"/>
    <s v="Budget"/>
    <s v="North"/>
    <x v="4"/>
    <n v="2257"/>
    <x v="1"/>
    <n v="1805.6"/>
    <n v="5"/>
    <x v="846"/>
    <n v="1354.2"/>
    <d v="2025-05-30T00:00:00"/>
    <x v="172"/>
  </r>
  <r>
    <x v="12"/>
    <s v="Clothing"/>
    <s v="Max"/>
    <s v="Budget"/>
    <s v="North"/>
    <x v="4"/>
    <n v="1337.08"/>
    <x v="5"/>
    <n v="1136.518"/>
    <n v="4"/>
    <x v="847"/>
    <n v="681.91"/>
    <d v="2024-02-20T00:00:00"/>
    <x v="63"/>
  </r>
  <r>
    <x v="3"/>
    <s v="Electronics"/>
    <s v="Samsung"/>
    <s v="Premium"/>
    <s v="West"/>
    <x v="7"/>
    <n v="2466.15"/>
    <x v="2"/>
    <n v="2342.8425000000002"/>
    <n v="1"/>
    <x v="848"/>
    <n v="819.99"/>
    <d v="2024-09-25T00:00:00"/>
    <x v="46"/>
  </r>
  <r>
    <x v="5"/>
    <s v="Clothing"/>
    <s v="Max"/>
    <s v="Budget"/>
    <s v="East"/>
    <x v="3"/>
    <n v="2455.08"/>
    <x v="2"/>
    <n v="2332.326"/>
    <n v="4"/>
    <x v="849"/>
    <n v="1399.39"/>
    <d v="2024-03-06T00:00:00"/>
    <x v="462"/>
  </r>
  <r>
    <x v="5"/>
    <s v="Clothing"/>
    <s v="Nike"/>
    <s v="Premium"/>
    <s v="West"/>
    <x v="7"/>
    <n v="3719.55"/>
    <x v="2"/>
    <n v="3533.5725000000002"/>
    <n v="5"/>
    <x v="850"/>
    <n v="6183.75"/>
    <d v="2024-03-24T00:00:00"/>
    <x v="50"/>
  </r>
  <r>
    <x v="8"/>
    <s v="Furniture"/>
    <s v="Godrej Interio"/>
    <s v="Premium"/>
    <s v="West"/>
    <x v="11"/>
    <n v="33481.089999999997"/>
    <x v="3"/>
    <n v="30132.981"/>
    <n v="2"/>
    <x v="851"/>
    <n v="21093.09"/>
    <d v="2024-10-03T00:00:00"/>
    <x v="21"/>
  </r>
  <r>
    <x v="12"/>
    <s v="Clothing"/>
    <s v="Roadster"/>
    <s v="Budget"/>
    <s v="East"/>
    <x v="8"/>
    <n v="1170.1500000000001"/>
    <x v="3"/>
    <n v="1053.135"/>
    <n v="5"/>
    <x v="852"/>
    <n v="789.85"/>
    <d v="2025-05-31T00:00:00"/>
    <x v="444"/>
  </r>
  <r>
    <x v="9"/>
    <s v="Clothing"/>
    <s v="Nike"/>
    <s v="Premium"/>
    <s v="East"/>
    <x v="3"/>
    <n v="894.4"/>
    <x v="1"/>
    <n v="715.52"/>
    <n v="5"/>
    <x v="853"/>
    <n v="1252.1600000000001"/>
    <d v="2024-07-29T00:00:00"/>
    <x v="463"/>
  </r>
  <r>
    <x v="14"/>
    <s v="Electronics"/>
    <s v="Samsung"/>
    <s v="Premium"/>
    <s v="West"/>
    <x v="7"/>
    <n v="20115.96"/>
    <x v="4"/>
    <n v="14081.172"/>
    <n v="2"/>
    <x v="854"/>
    <n v="9856.82"/>
    <d v="2025-06-17T00:00:00"/>
    <x v="179"/>
  </r>
  <r>
    <x v="6"/>
    <s v="Footwear"/>
    <s v="Adidas"/>
    <s v="Premium"/>
    <s v="East"/>
    <x v="3"/>
    <n v="3896.85"/>
    <x v="3"/>
    <n v="3507.165"/>
    <n v="5"/>
    <x v="855"/>
    <n v="6137.54"/>
    <d v="2025-02-17T00:00:00"/>
    <x v="291"/>
  </r>
  <r>
    <x v="11"/>
    <s v="Home Appliance"/>
    <s v="Godrej"/>
    <s v="Budget"/>
    <s v="East"/>
    <x v="10"/>
    <n v="6140.51"/>
    <x v="1"/>
    <n v="4912.4080000000004"/>
    <n v="2"/>
    <x v="856"/>
    <n v="1473.72"/>
    <d v="2024-07-03T00:00:00"/>
    <x v="85"/>
  </r>
  <r>
    <x v="1"/>
    <s v="Furniture"/>
    <s v="HomeTown"/>
    <s v="Standard"/>
    <s v="North"/>
    <x v="2"/>
    <n v="8096.26"/>
    <x v="3"/>
    <n v="7286.634"/>
    <n v="1"/>
    <x v="857"/>
    <n v="1821.66"/>
    <d v="2025-06-03T00:00:00"/>
    <x v="177"/>
  </r>
  <r>
    <x v="9"/>
    <s v="Clothing"/>
    <s v="Zara"/>
    <s v="Premium"/>
    <s v="South"/>
    <x v="5"/>
    <n v="917.72"/>
    <x v="0"/>
    <n v="917.72"/>
    <n v="2"/>
    <x v="858"/>
    <n v="642.4"/>
    <d v="2024-04-24T00:00:00"/>
    <x v="78"/>
  </r>
  <r>
    <x v="7"/>
    <s v="Home Appliance"/>
    <s v="Samsung"/>
    <s v="Premium"/>
    <s v="North"/>
    <x v="2"/>
    <n v="30434.34"/>
    <x v="2"/>
    <n v="28912.623"/>
    <n v="4"/>
    <x v="859"/>
    <n v="40477.67"/>
    <d v="2025-01-26T00:00:00"/>
    <x v="81"/>
  </r>
  <r>
    <x v="6"/>
    <s v="Footwear"/>
    <s v="Bata"/>
    <s v="Budget"/>
    <s v="North"/>
    <x v="4"/>
    <n v="3019.33"/>
    <x v="2"/>
    <n v="2868.3634999999999"/>
    <n v="2"/>
    <x v="860"/>
    <n v="860.51"/>
    <d v="2025-02-09T00:00:00"/>
    <x v="464"/>
  </r>
  <r>
    <x v="6"/>
    <s v="Footwear"/>
    <s v="Puma"/>
    <s v="Standard"/>
    <s v="South"/>
    <x v="0"/>
    <n v="3335.19"/>
    <x v="6"/>
    <n v="2501.3924999999999"/>
    <n v="3"/>
    <x v="861"/>
    <n v="1876.05"/>
    <d v="2024-09-18T00:00:00"/>
    <x v="465"/>
  </r>
  <r>
    <x v="3"/>
    <s v="Electronics"/>
    <s v="Dell"/>
    <s v="Standard"/>
    <s v="South"/>
    <x v="0"/>
    <n v="1896.86"/>
    <x v="4"/>
    <n v="1327.8019999999999"/>
    <n v="3"/>
    <x v="862"/>
    <n v="995.85"/>
    <d v="2025-06-10T00:00:00"/>
    <x v="198"/>
  </r>
  <r>
    <x v="10"/>
    <s v="Furniture"/>
    <s v="HomeTown"/>
    <s v="Standard"/>
    <s v="South"/>
    <x v="5"/>
    <n v="32758.22"/>
    <x v="5"/>
    <n v="27844.487000000001"/>
    <n v="1"/>
    <x v="863"/>
    <n v="6961.12"/>
    <d v="2025-01-17T00:00:00"/>
    <x v="134"/>
  </r>
  <r>
    <x v="8"/>
    <s v="Furniture"/>
    <s v="Ikea"/>
    <s v="Premium"/>
    <s v="East"/>
    <x v="10"/>
    <n v="27188.53"/>
    <x v="0"/>
    <n v="27188.53"/>
    <n v="4"/>
    <x v="864"/>
    <n v="38063.94"/>
    <d v="2025-05-27T00:00:00"/>
    <x v="168"/>
  </r>
  <r>
    <x v="11"/>
    <s v="Home Appliance"/>
    <s v="LG"/>
    <s v="Premium"/>
    <s v="West"/>
    <x v="7"/>
    <n v="10732.6"/>
    <x v="3"/>
    <n v="9659.34"/>
    <n v="1"/>
    <x v="865"/>
    <n v="3380.77"/>
    <d v="2024-09-28T00:00:00"/>
    <x v="21"/>
  </r>
  <r>
    <x v="8"/>
    <s v="Furniture"/>
    <s v="Godrej Interio"/>
    <s v="Premium"/>
    <s v="North"/>
    <x v="4"/>
    <n v="31944.45"/>
    <x v="5"/>
    <n v="27152.782500000001"/>
    <n v="4"/>
    <x v="866"/>
    <n v="38013.9"/>
    <d v="2025-06-06T00:00:00"/>
    <x v="200"/>
  </r>
  <r>
    <x v="9"/>
    <s v="Clothing"/>
    <s v="H&amp;M"/>
    <s v="Standard"/>
    <s v="East"/>
    <x v="8"/>
    <n v="730.11"/>
    <x v="2"/>
    <n v="693.60450000000003"/>
    <n v="5"/>
    <x v="867"/>
    <n v="867"/>
    <d v="2024-07-03T00:00:00"/>
    <x v="273"/>
  </r>
  <r>
    <x v="2"/>
    <s v="Electronics"/>
    <s v="Xiaomi"/>
    <s v="Budget"/>
    <s v="South"/>
    <x v="0"/>
    <n v="43701.13"/>
    <x v="1"/>
    <n v="34960.904000000002"/>
    <n v="4"/>
    <x v="868"/>
    <n v="20976.54"/>
    <d v="2024-01-08T00:00:00"/>
    <x v="306"/>
  </r>
  <r>
    <x v="6"/>
    <s v="Footwear"/>
    <s v="Bata"/>
    <s v="Budget"/>
    <s v="West"/>
    <x v="11"/>
    <n v="3117.07"/>
    <x v="0"/>
    <n v="3117.07"/>
    <n v="4"/>
    <x v="869"/>
    <n v="1870.24"/>
    <d v="2025-07-15T00:00:00"/>
    <x v="205"/>
  </r>
  <r>
    <x v="0"/>
    <s v="Footwear"/>
    <s v="Puma"/>
    <s v="Standard"/>
    <s v="North"/>
    <x v="4"/>
    <n v="2567.2600000000002"/>
    <x v="1"/>
    <n v="2053.808"/>
    <n v="1"/>
    <x v="870"/>
    <n v="513.45000000000005"/>
    <d v="2024-10-30T00:00:00"/>
    <x v="253"/>
  </r>
  <r>
    <x v="9"/>
    <s v="Clothing"/>
    <s v="Nike"/>
    <s v="Premium"/>
    <s v="South"/>
    <x v="6"/>
    <n v="919.64"/>
    <x v="0"/>
    <n v="919.64"/>
    <n v="2"/>
    <x v="871"/>
    <n v="643.75"/>
    <d v="2025-01-30T00:00:00"/>
    <x v="81"/>
  </r>
  <r>
    <x v="10"/>
    <s v="Furniture"/>
    <s v="Nilkamal"/>
    <s v="Budget"/>
    <s v="West"/>
    <x v="11"/>
    <n v="31289.71"/>
    <x v="1"/>
    <n v="25031.768"/>
    <n v="3"/>
    <x v="872"/>
    <n v="11264.3"/>
    <d v="2025-02-18T00:00:00"/>
    <x v="247"/>
  </r>
  <r>
    <x v="4"/>
    <s v="Furniture"/>
    <s v="Nilkamal"/>
    <s v="Budget"/>
    <s v="South"/>
    <x v="6"/>
    <n v="24311.62"/>
    <x v="1"/>
    <n v="19449.295999999998"/>
    <n v="3"/>
    <x v="873"/>
    <n v="8752.18"/>
    <d v="2024-04-11T00:00:00"/>
    <x v="345"/>
  </r>
  <r>
    <x v="12"/>
    <s v="Clothing"/>
    <s v="Max"/>
    <s v="Budget"/>
    <s v="East"/>
    <x v="10"/>
    <n v="1261.67"/>
    <x v="5"/>
    <n v="1072.4195"/>
    <n v="3"/>
    <x v="874"/>
    <n v="482.59"/>
    <d v="2024-04-01T00:00:00"/>
    <x v="466"/>
  </r>
  <r>
    <x v="14"/>
    <s v="Electronics"/>
    <s v="Realme"/>
    <s v="Budget"/>
    <s v="South"/>
    <x v="6"/>
    <n v="12428.68"/>
    <x v="1"/>
    <n v="9942.9440000000013"/>
    <n v="4"/>
    <x v="875"/>
    <n v="5965.77"/>
    <d v="2024-06-30T00:00:00"/>
    <x v="85"/>
  </r>
  <r>
    <x v="5"/>
    <s v="Clothing"/>
    <s v="Roadster"/>
    <s v="Budget"/>
    <s v="South"/>
    <x v="5"/>
    <n v="2593.5"/>
    <x v="4"/>
    <n v="1815.45"/>
    <n v="5"/>
    <x v="876"/>
    <n v="1361.59"/>
    <d v="2024-08-01T00:00:00"/>
    <x v="467"/>
  </r>
  <r>
    <x v="1"/>
    <s v="Furniture"/>
    <s v="HomeTown"/>
    <s v="Standard"/>
    <s v="South"/>
    <x v="6"/>
    <n v="7529.98"/>
    <x v="2"/>
    <n v="7153.4809999999989"/>
    <n v="3"/>
    <x v="877"/>
    <n v="5365.11"/>
    <d v="2024-06-25T00:00:00"/>
    <x v="416"/>
  </r>
  <r>
    <x v="6"/>
    <s v="Footwear"/>
    <s v="Puma"/>
    <s v="Standard"/>
    <s v="East"/>
    <x v="8"/>
    <n v="3300"/>
    <x v="2"/>
    <n v="3135"/>
    <n v="5"/>
    <x v="878"/>
    <n v="3918.75"/>
    <d v="2024-12-15T00:00:00"/>
    <x v="468"/>
  </r>
  <r>
    <x v="12"/>
    <s v="Clothing"/>
    <s v="Zara"/>
    <s v="Premium"/>
    <s v="South"/>
    <x v="0"/>
    <n v="1812.85"/>
    <x v="5"/>
    <n v="1540.9224999999999"/>
    <n v="3"/>
    <x v="879"/>
    <n v="1617.97"/>
    <d v="2024-09-17T00:00:00"/>
    <x v="140"/>
  </r>
  <r>
    <x v="0"/>
    <s v="Footwear"/>
    <s v="Bata"/>
    <s v="Budget"/>
    <s v="North"/>
    <x v="1"/>
    <n v="2208.19"/>
    <x v="4"/>
    <n v="1545.7329999999999"/>
    <n v="5"/>
    <x v="880"/>
    <n v="1159.3"/>
    <d v="2024-10-04T00:00:00"/>
    <x v="469"/>
  </r>
  <r>
    <x v="7"/>
    <s v="Home Appliance"/>
    <s v="Whirlpool"/>
    <s v="Standard"/>
    <s v="North"/>
    <x v="2"/>
    <n v="27141.48"/>
    <x v="0"/>
    <n v="27141.48"/>
    <n v="3"/>
    <x v="881"/>
    <n v="20356.11"/>
    <d v="2024-07-09T00:00:00"/>
    <x v="222"/>
  </r>
  <r>
    <x v="4"/>
    <s v="Furniture"/>
    <s v="HomeTown"/>
    <s v="Standard"/>
    <s v="South"/>
    <x v="6"/>
    <n v="29230.18"/>
    <x v="3"/>
    <n v="26307.162"/>
    <n v="3"/>
    <x v="882"/>
    <n v="19730.37"/>
    <d v="2025-02-28T00:00:00"/>
    <x v="121"/>
  </r>
  <r>
    <x v="12"/>
    <s v="Clothing"/>
    <s v="Levis"/>
    <s v="Premium"/>
    <s v="South"/>
    <x v="6"/>
    <n v="1791.29"/>
    <x v="3"/>
    <n v="1612.1610000000001"/>
    <n v="1"/>
    <x v="883"/>
    <n v="564.26"/>
    <d v="2024-11-02T00:00:00"/>
    <x v="253"/>
  </r>
  <r>
    <x v="2"/>
    <s v="Electronics"/>
    <s v="Xiaomi"/>
    <s v="Budget"/>
    <s v="North"/>
    <x v="4"/>
    <n v="45302.17"/>
    <x v="3"/>
    <n v="40771.953000000001"/>
    <n v="1"/>
    <x v="884"/>
    <n v="6115.79"/>
    <d v="2025-04-29T00:00:00"/>
    <x v="135"/>
  </r>
  <r>
    <x v="5"/>
    <s v="Clothing"/>
    <s v="Max"/>
    <s v="Budget"/>
    <s v="North"/>
    <x v="2"/>
    <n v="2579.85"/>
    <x v="1"/>
    <n v="2063.88"/>
    <n v="5"/>
    <x v="885"/>
    <n v="1547.91"/>
    <d v="2024-02-26T00:00:00"/>
    <x v="368"/>
  </r>
  <r>
    <x v="12"/>
    <s v="Clothing"/>
    <s v="Roadster"/>
    <s v="Budget"/>
    <s v="North"/>
    <x v="1"/>
    <n v="1288.5"/>
    <x v="3"/>
    <n v="1159.6500000000001"/>
    <n v="3"/>
    <x v="886"/>
    <n v="521.84"/>
    <d v="2024-06-14T00:00:00"/>
    <x v="243"/>
  </r>
  <r>
    <x v="9"/>
    <s v="Clothing"/>
    <s v="Levis"/>
    <s v="Premium"/>
    <s v="West"/>
    <x v="7"/>
    <n v="1044.3900000000001"/>
    <x v="4"/>
    <n v="731.07299999999998"/>
    <n v="4"/>
    <x v="887"/>
    <n v="1023.5"/>
    <d v="2024-01-22T00:00:00"/>
    <x v="347"/>
  </r>
  <r>
    <x v="6"/>
    <s v="Footwear"/>
    <s v="Bata"/>
    <s v="Budget"/>
    <s v="South"/>
    <x v="6"/>
    <n v="2800.71"/>
    <x v="1"/>
    <n v="2240.5680000000002"/>
    <n v="2"/>
    <x v="888"/>
    <n v="672.17"/>
    <d v="2024-04-19T00:00:00"/>
    <x v="54"/>
  </r>
  <r>
    <x v="10"/>
    <s v="Furniture"/>
    <s v="HomeTown"/>
    <s v="Standard"/>
    <s v="North"/>
    <x v="1"/>
    <n v="34834.97"/>
    <x v="3"/>
    <n v="31351.473000000002"/>
    <n v="2"/>
    <x v="889"/>
    <n v="15675.74"/>
    <d v="2025-05-15T00:00:00"/>
    <x v="307"/>
  </r>
  <r>
    <x v="6"/>
    <s v="Footwear"/>
    <s v="Puma"/>
    <s v="Standard"/>
    <s v="South"/>
    <x v="6"/>
    <n v="3574.66"/>
    <x v="3"/>
    <n v="3217.194"/>
    <n v="3"/>
    <x v="890"/>
    <n v="2412.89"/>
    <d v="2025-04-15T00:00:00"/>
    <x v="470"/>
  </r>
  <r>
    <x v="9"/>
    <s v="Clothing"/>
    <s v="Nike"/>
    <s v="Premium"/>
    <s v="West"/>
    <x v="7"/>
    <n v="1040.1400000000001"/>
    <x v="6"/>
    <n v="780.10500000000002"/>
    <n v="4"/>
    <x v="891"/>
    <n v="1092.1500000000001"/>
    <d v="2024-05-28T00:00:00"/>
    <x v="87"/>
  </r>
  <r>
    <x v="4"/>
    <s v="Furniture"/>
    <s v="Ikea"/>
    <s v="Premium"/>
    <s v="East"/>
    <x v="10"/>
    <n v="33620.99"/>
    <x v="3"/>
    <n v="30258.891"/>
    <n v="5"/>
    <x v="892"/>
    <n v="52953.06"/>
    <d v="2025-02-17T00:00:00"/>
    <x v="291"/>
  </r>
  <r>
    <x v="12"/>
    <s v="Clothing"/>
    <s v="H&amp;M"/>
    <s v="Standard"/>
    <s v="East"/>
    <x v="8"/>
    <n v="1439.05"/>
    <x v="5"/>
    <n v="1223.1925000000001"/>
    <n v="1"/>
    <x v="893"/>
    <n v="305.8"/>
    <d v="2024-11-26T00:00:00"/>
    <x v="208"/>
  </r>
  <r>
    <x v="12"/>
    <s v="Clothing"/>
    <s v="H&amp;M"/>
    <s v="Standard"/>
    <s v="East"/>
    <x v="8"/>
    <n v="1479.83"/>
    <x v="3"/>
    <n v="1331.847"/>
    <n v="3"/>
    <x v="894"/>
    <n v="998.88"/>
    <d v="2025-05-23T00:00:00"/>
    <x v="74"/>
  </r>
  <r>
    <x v="10"/>
    <s v="Furniture"/>
    <s v="Nilkamal"/>
    <s v="Budget"/>
    <s v="North"/>
    <x v="2"/>
    <n v="30790.03"/>
    <x v="3"/>
    <n v="27711.026999999998"/>
    <n v="1"/>
    <x v="895"/>
    <n v="4156.6499999999996"/>
    <d v="2025-07-14T00:00:00"/>
    <x v="11"/>
  </r>
  <r>
    <x v="4"/>
    <s v="Furniture"/>
    <s v="Godrej Interio"/>
    <s v="Premium"/>
    <s v="East"/>
    <x v="8"/>
    <n v="35167.82"/>
    <x v="4"/>
    <n v="24617.473999999998"/>
    <n v="1"/>
    <x v="896"/>
    <n v="8616.11"/>
    <d v="2024-04-02T00:00:00"/>
    <x v="150"/>
  </r>
  <r>
    <x v="7"/>
    <s v="Home Appliance"/>
    <s v="Whirlpool"/>
    <s v="Standard"/>
    <s v="West"/>
    <x v="9"/>
    <n v="27640.67"/>
    <x v="6"/>
    <n v="20730.502499999999"/>
    <n v="4"/>
    <x v="897"/>
    <n v="20730.5"/>
    <d v="2024-03-05T00:00:00"/>
    <x v="48"/>
  </r>
  <r>
    <x v="3"/>
    <s v="Electronics"/>
    <s v="Realme"/>
    <s v="Budget"/>
    <s v="East"/>
    <x v="10"/>
    <n v="1604.33"/>
    <x v="2"/>
    <n v="1524.1134999999999"/>
    <n v="5"/>
    <x v="898"/>
    <n v="1143.0899999999999"/>
    <d v="2025-05-17T00:00:00"/>
    <x v="378"/>
  </r>
  <r>
    <x v="1"/>
    <s v="Furniture"/>
    <s v="Godrej Interio"/>
    <s v="Premium"/>
    <s v="South"/>
    <x v="5"/>
    <n v="9306.68"/>
    <x v="3"/>
    <n v="8376.0120000000006"/>
    <n v="1"/>
    <x v="899"/>
    <n v="2931.6"/>
    <d v="2024-07-10T00:00:00"/>
    <x v="300"/>
  </r>
  <r>
    <x v="12"/>
    <s v="Clothing"/>
    <s v="Max"/>
    <s v="Budget"/>
    <s v="South"/>
    <x v="5"/>
    <n v="1194.46"/>
    <x v="1"/>
    <n v="955.5680000000001"/>
    <n v="2"/>
    <x v="900"/>
    <n v="286.67"/>
    <d v="2024-03-25T00:00:00"/>
    <x v="209"/>
  </r>
  <r>
    <x v="10"/>
    <s v="Furniture"/>
    <s v="HomeTown"/>
    <s v="Standard"/>
    <s v="North"/>
    <x v="2"/>
    <n v="36965.35"/>
    <x v="5"/>
    <n v="31420.547500000001"/>
    <n v="2"/>
    <x v="901"/>
    <n v="15710.27"/>
    <d v="2024-01-25T00:00:00"/>
    <x v="347"/>
  </r>
  <r>
    <x v="11"/>
    <s v="Home Appliance"/>
    <s v="LG"/>
    <s v="Premium"/>
    <s v="South"/>
    <x v="0"/>
    <n v="9102.0300000000007"/>
    <x v="5"/>
    <n v="7736.7254999999996"/>
    <n v="2"/>
    <x v="902"/>
    <n v="5415.71"/>
    <d v="2025-05-25T00:00:00"/>
    <x v="471"/>
  </r>
  <r>
    <x v="1"/>
    <s v="Furniture"/>
    <s v="Ikea"/>
    <s v="Premium"/>
    <s v="North"/>
    <x v="4"/>
    <n v="10320.73"/>
    <x v="4"/>
    <n v="7224.5110000000004"/>
    <n v="5"/>
    <x v="903"/>
    <n v="12642.9"/>
    <d v="2024-06-02T00:00:00"/>
    <x v="275"/>
  </r>
  <r>
    <x v="11"/>
    <s v="Home Appliance"/>
    <s v="LG"/>
    <s v="Premium"/>
    <s v="North"/>
    <x v="1"/>
    <n v="9764.31"/>
    <x v="6"/>
    <n v="7323.2325000000001"/>
    <n v="2"/>
    <x v="904"/>
    <n v="5126.26"/>
    <d v="2025-04-15T00:00:00"/>
    <x v="282"/>
  </r>
  <r>
    <x v="8"/>
    <s v="Furniture"/>
    <s v="Nilkamal"/>
    <s v="Budget"/>
    <s v="East"/>
    <x v="3"/>
    <n v="20571.11"/>
    <x v="3"/>
    <n v="18513.999"/>
    <n v="2"/>
    <x v="905"/>
    <n v="5554.2"/>
    <d v="2024-02-16T00:00:00"/>
    <x v="63"/>
  </r>
  <r>
    <x v="5"/>
    <s v="Clothing"/>
    <s v="Max"/>
    <s v="Budget"/>
    <s v="North"/>
    <x v="1"/>
    <n v="2643.8"/>
    <x v="4"/>
    <n v="1850.66"/>
    <n v="3"/>
    <x v="906"/>
    <n v="832.8"/>
    <d v="2025-03-02T00:00:00"/>
    <x v="16"/>
  </r>
  <r>
    <x v="7"/>
    <s v="Home Appliance"/>
    <s v="Whirlpool"/>
    <s v="Standard"/>
    <s v="West"/>
    <x v="9"/>
    <n v="27347.03"/>
    <x v="1"/>
    <n v="21877.624"/>
    <n v="4"/>
    <x v="907"/>
    <n v="21877.62"/>
    <d v="2024-06-09T00:00:00"/>
    <x v="472"/>
  </r>
  <r>
    <x v="6"/>
    <s v="Footwear"/>
    <s v="Bata"/>
    <s v="Budget"/>
    <s v="West"/>
    <x v="11"/>
    <n v="3246.47"/>
    <x v="5"/>
    <n v="2759.4994999999999"/>
    <n v="4"/>
    <x v="908"/>
    <n v="1655.7"/>
    <d v="2024-03-27T00:00:00"/>
    <x v="50"/>
  </r>
  <r>
    <x v="1"/>
    <s v="Furniture"/>
    <s v="Ikea"/>
    <s v="Premium"/>
    <s v="West"/>
    <x v="11"/>
    <n v="10344.61"/>
    <x v="3"/>
    <n v="9310.1490000000013"/>
    <n v="5"/>
    <x v="909"/>
    <n v="16292.76"/>
    <d v="2025-05-19T00:00:00"/>
    <x v="110"/>
  </r>
  <r>
    <x v="5"/>
    <s v="Clothing"/>
    <s v="Zara"/>
    <s v="Premium"/>
    <s v="East"/>
    <x v="3"/>
    <n v="3255.13"/>
    <x v="5"/>
    <n v="2766.8604999999998"/>
    <n v="2"/>
    <x v="910"/>
    <n v="1936.8"/>
    <d v="2024-01-09T00:00:00"/>
    <x v="306"/>
  </r>
  <r>
    <x v="8"/>
    <s v="Furniture"/>
    <s v="Ikea"/>
    <s v="Premium"/>
    <s v="South"/>
    <x v="5"/>
    <n v="30691.98"/>
    <x v="1"/>
    <n v="24553.583999999999"/>
    <n v="1"/>
    <x v="911"/>
    <n v="8593.75"/>
    <d v="2024-02-16T00:00:00"/>
    <x v="258"/>
  </r>
  <r>
    <x v="12"/>
    <s v="Clothing"/>
    <s v="Nike"/>
    <s v="Premium"/>
    <s v="East"/>
    <x v="8"/>
    <n v="1753.48"/>
    <x v="0"/>
    <n v="1753.48"/>
    <n v="2"/>
    <x v="912"/>
    <n v="1227.44"/>
    <d v="2024-02-05T00:00:00"/>
    <x v="473"/>
  </r>
  <r>
    <x v="14"/>
    <s v="Electronics"/>
    <s v="Realme"/>
    <s v="Budget"/>
    <s v="East"/>
    <x v="8"/>
    <n v="12680.53"/>
    <x v="3"/>
    <n v="11412.477000000001"/>
    <n v="4"/>
    <x v="913"/>
    <n v="6847.49"/>
    <d v="2024-09-26T00:00:00"/>
    <x v="334"/>
  </r>
  <r>
    <x v="7"/>
    <s v="Home Appliance"/>
    <s v="Whirlpool"/>
    <s v="Standard"/>
    <s v="South"/>
    <x v="0"/>
    <n v="25625.37"/>
    <x v="4"/>
    <n v="17937.758999999998"/>
    <n v="2"/>
    <x v="914"/>
    <n v="8968.8799999999992"/>
    <d v="2024-09-22T00:00:00"/>
    <x v="465"/>
  </r>
  <r>
    <x v="11"/>
    <s v="Home Appliance"/>
    <s v="Samsung"/>
    <s v="Premium"/>
    <s v="South"/>
    <x v="6"/>
    <n v="9247.58"/>
    <x v="6"/>
    <n v="6935.6849999999986"/>
    <n v="2"/>
    <x v="915"/>
    <n v="4854.9799999999996"/>
    <d v="2025-05-01T00:00:00"/>
    <x v="375"/>
  </r>
  <r>
    <x v="8"/>
    <s v="Furniture"/>
    <s v="HomeTown"/>
    <s v="Standard"/>
    <s v="East"/>
    <x v="3"/>
    <n v="23371.81"/>
    <x v="2"/>
    <n v="22203.219499999999"/>
    <n v="2"/>
    <x v="916"/>
    <n v="11101.61"/>
    <d v="2025-07-15T00:00:00"/>
    <x v="274"/>
  </r>
  <r>
    <x v="13"/>
    <s v="Home Appliance"/>
    <s v="Godrej"/>
    <s v="Budget"/>
    <s v="South"/>
    <x v="5"/>
    <n v="14345.16"/>
    <x v="4"/>
    <n v="10041.611999999999"/>
    <n v="1"/>
    <x v="917"/>
    <n v="1506.24"/>
    <d v="2024-06-15T00:00:00"/>
    <x v="474"/>
  </r>
  <r>
    <x v="11"/>
    <s v="Home Appliance"/>
    <s v="Whirlpool"/>
    <s v="Standard"/>
    <s v="North"/>
    <x v="1"/>
    <n v="7970.79"/>
    <x v="6"/>
    <n v="5978.0924999999997"/>
    <n v="1"/>
    <x v="918"/>
    <n v="1494.52"/>
    <d v="2024-06-21T00:00:00"/>
    <x v="265"/>
  </r>
  <r>
    <x v="14"/>
    <s v="Electronics"/>
    <s v="Samsung"/>
    <s v="Premium"/>
    <s v="West"/>
    <x v="7"/>
    <n v="19459.650000000001"/>
    <x v="4"/>
    <n v="13621.754999999999"/>
    <n v="1"/>
    <x v="919"/>
    <n v="4767.62"/>
    <d v="2025-01-12T00:00:00"/>
    <x v="228"/>
  </r>
  <r>
    <x v="3"/>
    <s v="Electronics"/>
    <s v="Apple"/>
    <s v="Premium"/>
    <s v="East"/>
    <x v="3"/>
    <n v="2343.69"/>
    <x v="4"/>
    <n v="1640.5830000000001"/>
    <n v="5"/>
    <x v="920"/>
    <n v="2871.02"/>
    <d v="2024-09-17T00:00:00"/>
    <x v="475"/>
  </r>
  <r>
    <x v="5"/>
    <s v="Clothing"/>
    <s v="Zara"/>
    <s v="Premium"/>
    <s v="East"/>
    <x v="3"/>
    <n v="3330.77"/>
    <x v="5"/>
    <n v="2831.1545000000001"/>
    <n v="2"/>
    <x v="921"/>
    <n v="1981.81"/>
    <d v="2025-06-22T00:00:00"/>
    <x v="20"/>
  </r>
  <r>
    <x v="11"/>
    <s v="Home Appliance"/>
    <s v="Whirlpool"/>
    <s v="Standard"/>
    <s v="East"/>
    <x v="8"/>
    <n v="7509.12"/>
    <x v="0"/>
    <n v="7509.12"/>
    <n v="4"/>
    <x v="922"/>
    <n v="7509.12"/>
    <d v="2024-01-03T00:00:00"/>
    <x v="201"/>
  </r>
  <r>
    <x v="13"/>
    <s v="Home Appliance"/>
    <s v="LG"/>
    <s v="Premium"/>
    <s v="East"/>
    <x v="3"/>
    <n v="21330.99"/>
    <x v="2"/>
    <n v="20264.440500000001"/>
    <n v="3"/>
    <x v="923"/>
    <n v="21277.66"/>
    <d v="2024-07-27T00:00:00"/>
    <x v="476"/>
  </r>
  <r>
    <x v="9"/>
    <s v="Clothing"/>
    <s v="Levis"/>
    <s v="Premium"/>
    <s v="East"/>
    <x v="3"/>
    <n v="923.53"/>
    <x v="4"/>
    <n v="646.47099999999989"/>
    <n v="3"/>
    <x v="924"/>
    <n v="678.79"/>
    <d v="2024-12-30T00:00:00"/>
    <x v="9"/>
  </r>
  <r>
    <x v="10"/>
    <s v="Furniture"/>
    <s v="Ikea"/>
    <s v="Premium"/>
    <s v="South"/>
    <x v="6"/>
    <n v="39515.58"/>
    <x v="0"/>
    <n v="39515.58"/>
    <n v="5"/>
    <x v="925"/>
    <n v="69152.259999999995"/>
    <d v="2024-08-14T00:00:00"/>
    <x v="43"/>
  </r>
  <r>
    <x v="7"/>
    <s v="Home Appliance"/>
    <s v="Godrej"/>
    <s v="Budget"/>
    <s v="South"/>
    <x v="6"/>
    <n v="19843.96"/>
    <x v="6"/>
    <n v="14882.97"/>
    <n v="1"/>
    <x v="926"/>
    <n v="2232.4499999999998"/>
    <d v="2025-05-16T00:00:00"/>
    <x v="232"/>
  </r>
  <r>
    <x v="10"/>
    <s v="Furniture"/>
    <s v="Godrej Interio"/>
    <s v="Premium"/>
    <s v="West"/>
    <x v="9"/>
    <n v="43093.3"/>
    <x v="0"/>
    <n v="43093.3"/>
    <n v="1"/>
    <x v="927"/>
    <n v="15082.66"/>
    <d v="2025-02-24T00:00:00"/>
    <x v="477"/>
  </r>
  <r>
    <x v="3"/>
    <s v="Electronics"/>
    <s v="HP"/>
    <s v="Standard"/>
    <s v="East"/>
    <x v="3"/>
    <n v="1924.95"/>
    <x v="1"/>
    <n v="1539.96"/>
    <n v="3"/>
    <x v="928"/>
    <n v="1154.97"/>
    <d v="2024-06-30T00:00:00"/>
    <x v="89"/>
  </r>
  <r>
    <x v="2"/>
    <s v="Electronics"/>
    <s v="Realme"/>
    <s v="Budget"/>
    <s v="West"/>
    <x v="7"/>
    <n v="48175.37"/>
    <x v="6"/>
    <n v="36131.527499999997"/>
    <n v="4"/>
    <x v="929"/>
    <n v="21678.92"/>
    <d v="2024-02-27T00:00:00"/>
    <x v="478"/>
  </r>
  <r>
    <x v="3"/>
    <s v="Electronics"/>
    <s v="Realme"/>
    <s v="Budget"/>
    <s v="West"/>
    <x v="9"/>
    <n v="1882.33"/>
    <x v="1"/>
    <n v="1505.864"/>
    <n v="4"/>
    <x v="930"/>
    <n v="903.52"/>
    <d v="2024-04-19T00:00:00"/>
    <x v="218"/>
  </r>
  <r>
    <x v="9"/>
    <s v="Clothing"/>
    <s v="Zara"/>
    <s v="Premium"/>
    <s v="West"/>
    <x v="7"/>
    <n v="1068.5"/>
    <x v="5"/>
    <n v="908.22500000000002"/>
    <n v="4"/>
    <x v="931"/>
    <n v="1271.51"/>
    <d v="2024-10-15T00:00:00"/>
    <x v="479"/>
  </r>
  <r>
    <x v="9"/>
    <s v="Clothing"/>
    <s v="Max"/>
    <s v="Budget"/>
    <s v="South"/>
    <x v="0"/>
    <n v="637.22"/>
    <x v="5"/>
    <n v="541.63700000000006"/>
    <n v="3"/>
    <x v="932"/>
    <n v="243.74"/>
    <d v="2024-01-20T00:00:00"/>
    <x v="33"/>
  </r>
  <r>
    <x v="14"/>
    <s v="Electronics"/>
    <s v="Dell"/>
    <s v="Standard"/>
    <s v="North"/>
    <x v="2"/>
    <n v="14965.88"/>
    <x v="2"/>
    <n v="14217.585999999999"/>
    <n v="3"/>
    <x v="933"/>
    <n v="10663.19"/>
    <d v="2025-05-05T00:00:00"/>
    <x v="480"/>
  </r>
  <r>
    <x v="12"/>
    <s v="Clothing"/>
    <s v="Levis"/>
    <s v="Premium"/>
    <s v="South"/>
    <x v="0"/>
    <n v="1702.83"/>
    <x v="4"/>
    <n v="1191.981"/>
    <n v="1"/>
    <x v="934"/>
    <n v="417.19"/>
    <d v="2025-04-02T00:00:00"/>
    <x v="158"/>
  </r>
  <r>
    <x v="3"/>
    <s v="Electronics"/>
    <s v="Apple"/>
    <s v="Premium"/>
    <s v="South"/>
    <x v="5"/>
    <n v="2433.98"/>
    <x v="6"/>
    <n v="1825.4849999999999"/>
    <n v="5"/>
    <x v="935"/>
    <n v="3194.6"/>
    <d v="2025-06-30T00:00:00"/>
    <x v="119"/>
  </r>
  <r>
    <x v="10"/>
    <s v="Furniture"/>
    <s v="Godrej Interio"/>
    <s v="Premium"/>
    <s v="South"/>
    <x v="0"/>
    <n v="41316.57"/>
    <x v="0"/>
    <n v="41316.57"/>
    <n v="2"/>
    <x v="936"/>
    <n v="28921.599999999999"/>
    <d v="2024-06-14T00:00:00"/>
    <x v="349"/>
  </r>
  <r>
    <x v="1"/>
    <s v="Furniture"/>
    <s v="Nilkamal"/>
    <s v="Budget"/>
    <s v="West"/>
    <x v="9"/>
    <n v="7650.26"/>
    <x v="2"/>
    <n v="7267.7470000000003"/>
    <n v="1"/>
    <x v="937"/>
    <n v="1090.1600000000001"/>
    <d v="2025-05-08T00:00:00"/>
    <x v="59"/>
  </r>
  <r>
    <x v="14"/>
    <s v="Electronics"/>
    <s v="HP"/>
    <s v="Standard"/>
    <s v="North"/>
    <x v="1"/>
    <n v="15338.12"/>
    <x v="5"/>
    <n v="13037.402"/>
    <n v="2"/>
    <x v="938"/>
    <n v="6518.7"/>
    <d v="2025-02-24T00:00:00"/>
    <x v="16"/>
  </r>
  <r>
    <x v="13"/>
    <s v="Home Appliance"/>
    <s v="Samsung"/>
    <s v="Premium"/>
    <s v="South"/>
    <x v="0"/>
    <n v="20376.330000000002"/>
    <x v="4"/>
    <n v="14263.431"/>
    <n v="2"/>
    <x v="939"/>
    <n v="9984.4"/>
    <d v="2025-04-27T00:00:00"/>
    <x v="417"/>
  </r>
  <r>
    <x v="6"/>
    <s v="Footwear"/>
    <s v="Adidas"/>
    <s v="Premium"/>
    <s v="South"/>
    <x v="5"/>
    <n v="4243.3999999999996"/>
    <x v="5"/>
    <n v="3606.889999999999"/>
    <n v="2"/>
    <x v="940"/>
    <n v="2524.8200000000002"/>
    <d v="2024-08-09T00:00:00"/>
    <x v="43"/>
  </r>
  <r>
    <x v="9"/>
    <s v="Clothing"/>
    <s v="Levis"/>
    <s v="Premium"/>
    <s v="West"/>
    <x v="7"/>
    <n v="1069.27"/>
    <x v="6"/>
    <n v="801.95249999999999"/>
    <n v="3"/>
    <x v="941"/>
    <n v="842.05"/>
    <d v="2024-04-26T00:00:00"/>
    <x v="294"/>
  </r>
  <r>
    <x v="7"/>
    <s v="Home Appliance"/>
    <s v="Godrej"/>
    <s v="Budget"/>
    <s v="East"/>
    <x v="10"/>
    <n v="20779.919999999998"/>
    <x v="0"/>
    <n v="20779.919999999998"/>
    <n v="1"/>
    <x v="942"/>
    <n v="3116.99"/>
    <d v="2024-03-07T00:00:00"/>
    <x v="4"/>
  </r>
  <r>
    <x v="5"/>
    <s v="Clothing"/>
    <s v="Max"/>
    <s v="Budget"/>
    <s v="North"/>
    <x v="1"/>
    <n v="2673.98"/>
    <x v="5"/>
    <n v="2272.8829999999998"/>
    <n v="4"/>
    <x v="943"/>
    <n v="1363.73"/>
    <d v="2025-02-27T00:00:00"/>
    <x v="121"/>
  </r>
  <r>
    <x v="14"/>
    <s v="Electronics"/>
    <s v="Samsung"/>
    <s v="Premium"/>
    <s v="North"/>
    <x v="4"/>
    <n v="19513.79"/>
    <x v="4"/>
    <n v="13659.653"/>
    <n v="4"/>
    <x v="944"/>
    <n v="19123.509999999998"/>
    <d v="2024-01-01T00:00:00"/>
    <x v="481"/>
  </r>
  <r>
    <x v="5"/>
    <s v="Clothing"/>
    <s v="Max"/>
    <s v="Budget"/>
    <s v="South"/>
    <x v="6"/>
    <n v="2452.31"/>
    <x v="1"/>
    <n v="1961.848"/>
    <n v="4"/>
    <x v="945"/>
    <n v="1177.1099999999999"/>
    <d v="2024-09-11T00:00:00"/>
    <x v="475"/>
  </r>
  <r>
    <x v="3"/>
    <s v="Electronics"/>
    <s v="Realme"/>
    <s v="Budget"/>
    <s v="South"/>
    <x v="0"/>
    <n v="1624.11"/>
    <x v="1"/>
    <n v="1299.288"/>
    <n v="1"/>
    <x v="946"/>
    <n v="194.89"/>
    <d v="2025-02-21T00:00:00"/>
    <x v="237"/>
  </r>
  <r>
    <x v="4"/>
    <s v="Furniture"/>
    <s v="HomeTown"/>
    <s v="Standard"/>
    <s v="North"/>
    <x v="1"/>
    <n v="30347.27"/>
    <x v="4"/>
    <n v="21243.089"/>
    <n v="5"/>
    <x v="947"/>
    <n v="26553.86"/>
    <d v="2024-04-19T00:00:00"/>
    <x v="144"/>
  </r>
  <r>
    <x v="0"/>
    <s v="Footwear"/>
    <s v="Bata"/>
    <s v="Budget"/>
    <s v="South"/>
    <x v="6"/>
    <n v="2079.56"/>
    <x v="1"/>
    <n v="1663.6479999999999"/>
    <n v="1"/>
    <x v="948"/>
    <n v="249.55"/>
    <d v="2025-02-03T00:00:00"/>
    <x v="330"/>
  </r>
  <r>
    <x v="7"/>
    <s v="Home Appliance"/>
    <s v="Godrej"/>
    <s v="Budget"/>
    <s v="West"/>
    <x v="11"/>
    <n v="22816.13"/>
    <x v="1"/>
    <n v="18252.903999999999"/>
    <n v="2"/>
    <x v="949"/>
    <n v="5475.87"/>
    <d v="2024-06-14T00:00:00"/>
    <x v="146"/>
  </r>
  <r>
    <x v="4"/>
    <s v="Furniture"/>
    <s v="HomeTown"/>
    <s v="Standard"/>
    <s v="West"/>
    <x v="11"/>
    <n v="32151.87"/>
    <x v="5"/>
    <n v="27329.089499999998"/>
    <n v="4"/>
    <x v="950"/>
    <n v="27329.09"/>
    <d v="2024-06-26T00:00:00"/>
    <x v="89"/>
  </r>
  <r>
    <x v="6"/>
    <s v="Footwear"/>
    <s v="Adidas"/>
    <s v="Premium"/>
    <s v="East"/>
    <x v="3"/>
    <n v="3825.9"/>
    <x v="6"/>
    <n v="2869.4250000000002"/>
    <n v="5"/>
    <x v="951"/>
    <n v="5021.49"/>
    <d v="2024-08-24T00:00:00"/>
    <x v="482"/>
  </r>
  <r>
    <x v="6"/>
    <s v="Footwear"/>
    <s v="Puma"/>
    <s v="Standard"/>
    <s v="West"/>
    <x v="9"/>
    <n v="3879.13"/>
    <x v="1"/>
    <n v="3103.3040000000001"/>
    <n v="3"/>
    <x v="952"/>
    <n v="2327.48"/>
    <d v="2024-01-30T00:00:00"/>
    <x v="36"/>
  </r>
  <r>
    <x v="6"/>
    <s v="Footwear"/>
    <s v="Adidas"/>
    <s v="Premium"/>
    <s v="North"/>
    <x v="1"/>
    <n v="4575.7700000000004"/>
    <x v="5"/>
    <n v="3889.4045000000001"/>
    <n v="3"/>
    <x v="953"/>
    <n v="4083.87"/>
    <d v="2025-06-07T00:00:00"/>
    <x v="132"/>
  </r>
  <r>
    <x v="5"/>
    <s v="Clothing"/>
    <s v="H&amp;M"/>
    <s v="Standard"/>
    <s v="North"/>
    <x v="1"/>
    <n v="3145.62"/>
    <x v="0"/>
    <n v="3145.62"/>
    <n v="4"/>
    <x v="954"/>
    <n v="3145.62"/>
    <d v="2024-02-15T00:00:00"/>
    <x v="142"/>
  </r>
  <r>
    <x v="0"/>
    <s v="Footwear"/>
    <s v="Adidas"/>
    <s v="Premium"/>
    <s v="South"/>
    <x v="5"/>
    <n v="3002.41"/>
    <x v="4"/>
    <n v="2101.6869999999999"/>
    <n v="4"/>
    <x v="955"/>
    <n v="2942.36"/>
    <d v="2025-03-04T00:00:00"/>
    <x v="254"/>
  </r>
  <r>
    <x v="12"/>
    <s v="Clothing"/>
    <s v="Nike"/>
    <s v="Premium"/>
    <s v="East"/>
    <x v="8"/>
    <n v="1775.91"/>
    <x v="6"/>
    <n v="1331.9324999999999"/>
    <n v="5"/>
    <x v="956"/>
    <n v="2330.88"/>
    <d v="2025-05-26T00:00:00"/>
    <x v="483"/>
  </r>
  <r>
    <x v="0"/>
    <s v="Footwear"/>
    <s v="Bata"/>
    <s v="Budget"/>
    <s v="West"/>
    <x v="7"/>
    <n v="2236.91"/>
    <x v="0"/>
    <n v="2236.91"/>
    <n v="5"/>
    <x v="957"/>
    <n v="1677.68"/>
    <d v="2024-11-13T00:00:00"/>
    <x v="412"/>
  </r>
  <r>
    <x v="5"/>
    <s v="Clothing"/>
    <s v="H&amp;M"/>
    <s v="Standard"/>
    <s v="North"/>
    <x v="4"/>
    <n v="3216.54"/>
    <x v="4"/>
    <n v="2251.578"/>
    <n v="2"/>
    <x v="958"/>
    <n v="1125.79"/>
    <d v="2024-11-19T00:00:00"/>
    <x v="304"/>
  </r>
  <r>
    <x v="10"/>
    <s v="Furniture"/>
    <s v="Godrej Interio"/>
    <s v="Premium"/>
    <s v="East"/>
    <x v="3"/>
    <n v="39255.57"/>
    <x v="0"/>
    <n v="39255.57"/>
    <n v="5"/>
    <x v="959"/>
    <n v="68697.25"/>
    <d v="2025-07-16T00:00:00"/>
    <x v="22"/>
  </r>
  <r>
    <x v="5"/>
    <s v="Clothing"/>
    <s v="Max"/>
    <s v="Budget"/>
    <s v="West"/>
    <x v="9"/>
    <n v="2786.48"/>
    <x v="4"/>
    <n v="1950.5360000000001"/>
    <n v="4"/>
    <x v="960"/>
    <n v="1170.32"/>
    <d v="2024-02-01T00:00:00"/>
    <x v="38"/>
  </r>
  <r>
    <x v="14"/>
    <s v="Electronics"/>
    <s v="Realme"/>
    <s v="Budget"/>
    <s v="South"/>
    <x v="6"/>
    <n v="12476.61"/>
    <x v="0"/>
    <n v="12476.61"/>
    <n v="4"/>
    <x v="961"/>
    <n v="7485.97"/>
    <d v="2025-04-07T00:00:00"/>
    <x v="398"/>
  </r>
  <r>
    <x v="1"/>
    <s v="Furniture"/>
    <s v="Nilkamal"/>
    <s v="Budget"/>
    <s v="West"/>
    <x v="11"/>
    <n v="7006.5"/>
    <x v="1"/>
    <n v="5605.2000000000007"/>
    <n v="5"/>
    <x v="962"/>
    <n v="4203.8999999999996"/>
    <d v="2024-12-23T00:00:00"/>
    <x v="170"/>
  </r>
  <r>
    <x v="11"/>
    <s v="Home Appliance"/>
    <s v="LG"/>
    <s v="Premium"/>
    <s v="North"/>
    <x v="2"/>
    <n v="9544.39"/>
    <x v="5"/>
    <n v="8112.731499999999"/>
    <n v="2"/>
    <x v="963"/>
    <n v="5678.91"/>
    <d v="2024-03-13T00:00:00"/>
    <x v="348"/>
  </r>
  <r>
    <x v="12"/>
    <s v="Clothing"/>
    <s v="Levis"/>
    <s v="Premium"/>
    <s v="East"/>
    <x v="8"/>
    <n v="1734.94"/>
    <x v="0"/>
    <n v="1734.94"/>
    <n v="5"/>
    <x v="964"/>
    <n v="3036.14"/>
    <d v="2024-11-12T00:00:00"/>
    <x v="268"/>
  </r>
  <r>
    <x v="1"/>
    <s v="Furniture"/>
    <s v="Godrej Interio"/>
    <s v="Premium"/>
    <s v="East"/>
    <x v="8"/>
    <n v="9483.48"/>
    <x v="3"/>
    <n v="8535.1319999999996"/>
    <n v="4"/>
    <x v="965"/>
    <n v="11949.19"/>
    <d v="2024-03-18T00:00:00"/>
    <x v="484"/>
  </r>
  <r>
    <x v="1"/>
    <s v="Furniture"/>
    <s v="Ikea"/>
    <s v="Premium"/>
    <s v="North"/>
    <x v="2"/>
    <n v="9591.3799999999992"/>
    <x v="2"/>
    <n v="9111.8109999999997"/>
    <n v="3"/>
    <x v="966"/>
    <n v="9567.4"/>
    <d v="2025-03-27T00:00:00"/>
    <x v="161"/>
  </r>
  <r>
    <x v="12"/>
    <s v="Clothing"/>
    <s v="Nike"/>
    <s v="Premium"/>
    <s v="North"/>
    <x v="4"/>
    <n v="1890.93"/>
    <x v="1"/>
    <n v="1512.7439999999999"/>
    <n v="4"/>
    <x v="967"/>
    <n v="2117.84"/>
    <d v="2024-11-15T00:00:00"/>
    <x v="47"/>
  </r>
  <r>
    <x v="1"/>
    <s v="Furniture"/>
    <s v="HomeTown"/>
    <s v="Standard"/>
    <s v="North"/>
    <x v="1"/>
    <n v="8465.9"/>
    <x v="0"/>
    <n v="8465.9"/>
    <n v="4"/>
    <x v="968"/>
    <n v="8465.9"/>
    <d v="2025-05-03T00:00:00"/>
    <x v="112"/>
  </r>
  <r>
    <x v="11"/>
    <s v="Home Appliance"/>
    <s v="Whirlpool"/>
    <s v="Standard"/>
    <s v="North"/>
    <x v="4"/>
    <n v="8474.89"/>
    <x v="4"/>
    <n v="5932.4229999999989"/>
    <n v="4"/>
    <x v="969"/>
    <n v="5932.42"/>
    <d v="2025-03-14T00:00:00"/>
    <x v="10"/>
  </r>
  <r>
    <x v="3"/>
    <s v="Electronics"/>
    <s v="Apple"/>
    <s v="Premium"/>
    <s v="South"/>
    <x v="6"/>
    <n v="2448.94"/>
    <x v="3"/>
    <n v="2204.0459999999998"/>
    <n v="4"/>
    <x v="970"/>
    <n v="3085.66"/>
    <d v="2024-02-24T00:00:00"/>
    <x v="214"/>
  </r>
  <r>
    <x v="14"/>
    <s v="Electronics"/>
    <s v="Xiaomi"/>
    <s v="Budget"/>
    <s v="South"/>
    <x v="6"/>
    <n v="11935.44"/>
    <x v="5"/>
    <n v="10145.124"/>
    <n v="5"/>
    <x v="971"/>
    <n v="7608.84"/>
    <d v="2024-12-21T00:00:00"/>
    <x v="269"/>
  </r>
  <r>
    <x v="3"/>
    <s v="Electronics"/>
    <s v="Samsung"/>
    <s v="Premium"/>
    <s v="North"/>
    <x v="2"/>
    <n v="2414.9699999999998"/>
    <x v="4"/>
    <n v="1690.479"/>
    <n v="1"/>
    <x v="972"/>
    <n v="591.66999999999996"/>
    <d v="2024-03-13T00:00:00"/>
    <x v="354"/>
  </r>
  <r>
    <x v="3"/>
    <s v="Electronics"/>
    <s v="Apple"/>
    <s v="Premium"/>
    <s v="North"/>
    <x v="1"/>
    <n v="2608.39"/>
    <x v="2"/>
    <n v="2477.9704999999999"/>
    <n v="4"/>
    <x v="973"/>
    <n v="3469.16"/>
    <d v="2025-06-15T00:00:00"/>
    <x v="65"/>
  </r>
  <r>
    <x v="14"/>
    <s v="Electronics"/>
    <s v="Apple"/>
    <s v="Premium"/>
    <s v="North"/>
    <x v="2"/>
    <n v="18953.080000000002"/>
    <x v="5"/>
    <n v="16110.118"/>
    <n v="4"/>
    <x v="974"/>
    <n v="22554.16"/>
    <d v="2024-08-02T00:00:00"/>
    <x v="485"/>
  </r>
  <r>
    <x v="14"/>
    <s v="Electronics"/>
    <s v="Samsung"/>
    <s v="Premium"/>
    <s v="North"/>
    <x v="2"/>
    <n v="19294.27"/>
    <x v="3"/>
    <n v="17364.843000000001"/>
    <n v="1"/>
    <x v="975"/>
    <n v="6077.69"/>
    <d v="2024-05-11T00:00:00"/>
    <x v="26"/>
  </r>
  <r>
    <x v="14"/>
    <s v="Electronics"/>
    <s v="Xiaomi"/>
    <s v="Budget"/>
    <s v="East"/>
    <x v="8"/>
    <n v="12691.8"/>
    <x v="0"/>
    <n v="12691.8"/>
    <n v="2"/>
    <x v="976"/>
    <n v="3807.54"/>
    <d v="2024-10-04T00:00:00"/>
    <x v="136"/>
  </r>
  <r>
    <x v="3"/>
    <s v="Electronics"/>
    <s v="Realme"/>
    <s v="Budget"/>
    <s v="North"/>
    <x v="4"/>
    <n v="1783.55"/>
    <x v="3"/>
    <n v="1605.1949999999999"/>
    <n v="1"/>
    <x v="977"/>
    <n v="240.78"/>
    <d v="2024-08-03T00:00:00"/>
    <x v="351"/>
  </r>
  <r>
    <x v="4"/>
    <s v="Furniture"/>
    <s v="Godrej Interio"/>
    <s v="Premium"/>
    <s v="West"/>
    <x v="11"/>
    <n v="39851.47"/>
    <x v="6"/>
    <n v="29888.602500000001"/>
    <n v="5"/>
    <x v="978"/>
    <n v="52305.05"/>
    <d v="2024-09-30T00:00:00"/>
    <x v="469"/>
  </r>
  <r>
    <x v="7"/>
    <s v="Home Appliance"/>
    <s v="LG"/>
    <s v="Premium"/>
    <s v="North"/>
    <x v="1"/>
    <n v="30259.22"/>
    <x v="1"/>
    <n v="24207.376"/>
    <n v="5"/>
    <x v="979"/>
    <n v="42362.91"/>
    <d v="2024-05-19T00:00:00"/>
    <x v="402"/>
  </r>
  <r>
    <x v="5"/>
    <s v="Clothing"/>
    <s v="Levis"/>
    <s v="Premium"/>
    <s v="South"/>
    <x v="6"/>
    <n v="3410.61"/>
    <x v="2"/>
    <n v="3240.0794999999998"/>
    <n v="1"/>
    <x v="980"/>
    <n v="1134.03"/>
    <d v="2024-07-01T00:00:00"/>
    <x v="231"/>
  </r>
  <r>
    <x v="10"/>
    <s v="Furniture"/>
    <s v="Ikea"/>
    <s v="Premium"/>
    <s v="North"/>
    <x v="1"/>
    <n v="41822.32"/>
    <x v="0"/>
    <n v="41822.32"/>
    <n v="4"/>
    <x v="981"/>
    <n v="58551.25"/>
    <d v="2024-09-06T00:00:00"/>
    <x v="19"/>
  </r>
  <r>
    <x v="5"/>
    <s v="Clothing"/>
    <s v="H&amp;M"/>
    <s v="Standard"/>
    <s v="South"/>
    <x v="5"/>
    <n v="2920.01"/>
    <x v="3"/>
    <n v="2628.009"/>
    <n v="4"/>
    <x v="982"/>
    <n v="2628.01"/>
    <d v="2025-02-20T00:00:00"/>
    <x v="247"/>
  </r>
  <r>
    <x v="1"/>
    <s v="Furniture"/>
    <s v="Nilkamal"/>
    <s v="Budget"/>
    <s v="West"/>
    <x v="11"/>
    <n v="7536.1"/>
    <x v="2"/>
    <n v="7159.2950000000001"/>
    <n v="2"/>
    <x v="983"/>
    <n v="2147.79"/>
    <d v="2025-02-23T00:00:00"/>
    <x v="57"/>
  </r>
  <r>
    <x v="11"/>
    <s v="Home Appliance"/>
    <s v="Godrej"/>
    <s v="Budget"/>
    <s v="East"/>
    <x v="3"/>
    <n v="6374.54"/>
    <x v="2"/>
    <n v="6055.8130000000001"/>
    <n v="1"/>
    <x v="984"/>
    <n v="908.37"/>
    <d v="2025-02-08T00:00:00"/>
    <x v="374"/>
  </r>
  <r>
    <x v="5"/>
    <s v="Clothing"/>
    <s v="Nike"/>
    <s v="Premium"/>
    <s v="East"/>
    <x v="10"/>
    <n v="3349.35"/>
    <x v="0"/>
    <n v="3349.35"/>
    <n v="4"/>
    <x v="985"/>
    <n v="4689.09"/>
    <d v="2025-04-21T00:00:00"/>
    <x v="470"/>
  </r>
  <r>
    <x v="6"/>
    <s v="Footwear"/>
    <s v="Puma"/>
    <s v="Standard"/>
    <s v="South"/>
    <x v="5"/>
    <n v="3557.57"/>
    <x v="4"/>
    <n v="2490.299"/>
    <n v="2"/>
    <x v="986"/>
    <n v="1245.1500000000001"/>
    <d v="2024-02-12T00:00:00"/>
    <x v="486"/>
  </r>
  <r>
    <x v="1"/>
    <s v="Furniture"/>
    <s v="HomeTown"/>
    <s v="Standard"/>
    <s v="West"/>
    <x v="11"/>
    <n v="8770.8700000000008"/>
    <x v="2"/>
    <n v="8332.326500000001"/>
    <n v="2"/>
    <x v="987"/>
    <n v="4166.16"/>
    <d v="2024-03-22T00:00:00"/>
    <x v="487"/>
  </r>
  <r>
    <x v="0"/>
    <s v="Footwear"/>
    <s v="Bata"/>
    <s v="Budget"/>
    <s v="East"/>
    <x v="8"/>
    <n v="2015.46"/>
    <x v="0"/>
    <n v="2015.46"/>
    <n v="3"/>
    <x v="988"/>
    <n v="906.96"/>
    <d v="2024-07-18T00:00:00"/>
    <x v="116"/>
  </r>
  <r>
    <x v="10"/>
    <s v="Furniture"/>
    <s v="Nilkamal"/>
    <s v="Budget"/>
    <s v="North"/>
    <x v="4"/>
    <n v="30351.08"/>
    <x v="1"/>
    <n v="24280.864000000001"/>
    <n v="4"/>
    <x v="989"/>
    <n v="14568.52"/>
    <d v="2024-05-31T00:00:00"/>
    <x v="488"/>
  </r>
  <r>
    <x v="8"/>
    <s v="Furniture"/>
    <s v="Nilkamal"/>
    <s v="Budget"/>
    <s v="North"/>
    <x v="2"/>
    <n v="21100.94"/>
    <x v="0"/>
    <n v="21100.94"/>
    <n v="3"/>
    <x v="990"/>
    <n v="9495.42"/>
    <d v="2025-03-21T00:00:00"/>
    <x v="238"/>
  </r>
  <r>
    <x v="9"/>
    <s v="Clothing"/>
    <s v="Max"/>
    <s v="Budget"/>
    <s v="West"/>
    <x v="9"/>
    <n v="736.59"/>
    <x v="5"/>
    <n v="626.10149999999999"/>
    <n v="1"/>
    <x v="991"/>
    <n v="93.92"/>
    <d v="2025-01-22T00:00:00"/>
    <x v="457"/>
  </r>
  <r>
    <x v="12"/>
    <s v="Clothing"/>
    <s v="H&amp;M"/>
    <s v="Standard"/>
    <s v="North"/>
    <x v="2"/>
    <n v="1594.65"/>
    <x v="0"/>
    <n v="1594.65"/>
    <n v="4"/>
    <x v="992"/>
    <n v="1594.65"/>
    <d v="2025-06-04T00:00:00"/>
    <x v="314"/>
  </r>
  <r>
    <x v="7"/>
    <s v="Home Appliance"/>
    <s v="LG"/>
    <s v="Premium"/>
    <s v="East"/>
    <x v="8"/>
    <n v="27894.82"/>
    <x v="1"/>
    <n v="22315.856"/>
    <n v="4"/>
    <x v="993"/>
    <n v="31242.2"/>
    <d v="2025-05-19T00:00:00"/>
    <x v="6"/>
  </r>
  <r>
    <x v="8"/>
    <s v="Furniture"/>
    <s v="HomeTown"/>
    <s v="Standard"/>
    <s v="North"/>
    <x v="1"/>
    <n v="25393.79"/>
    <x v="4"/>
    <n v="17775.652999999998"/>
    <n v="4"/>
    <x v="994"/>
    <n v="17775.650000000001"/>
    <d v="2025-04-23T00:00:00"/>
    <x v="443"/>
  </r>
  <r>
    <x v="1"/>
    <s v="Furniture"/>
    <s v="Godrej Interio"/>
    <s v="Premium"/>
    <s v="East"/>
    <x v="10"/>
    <n v="9232.02"/>
    <x v="6"/>
    <n v="6924.0150000000003"/>
    <n v="2"/>
    <x v="995"/>
    <n v="4846.8100000000004"/>
    <d v="2024-05-05T00:00:00"/>
    <x v="362"/>
  </r>
  <r>
    <x v="5"/>
    <s v="Clothing"/>
    <s v="Max"/>
    <s v="Budget"/>
    <s v="West"/>
    <x v="7"/>
    <n v="2720.36"/>
    <x v="5"/>
    <n v="2312.306"/>
    <n v="4"/>
    <x v="996"/>
    <n v="1387.38"/>
    <d v="2024-08-31T00:00:00"/>
    <x v="252"/>
  </r>
  <r>
    <x v="4"/>
    <s v="Furniture"/>
    <s v="Godrej Interio"/>
    <s v="Premium"/>
    <s v="South"/>
    <x v="0"/>
    <n v="33749.379999999997"/>
    <x v="4"/>
    <n v="23624.565999999999"/>
    <n v="5"/>
    <x v="997"/>
    <n v="41342.99"/>
    <d v="2024-02-09T00:00:00"/>
    <x v="486"/>
  </r>
  <r>
    <x v="2"/>
    <s v="Electronics"/>
    <s v="Xiaomi"/>
    <s v="Budget"/>
    <s v="South"/>
    <x v="0"/>
    <n v="41525.949999999997"/>
    <x v="4"/>
    <n v="29068.165000000001"/>
    <n v="5"/>
    <x v="998"/>
    <n v="21801.119999999999"/>
    <d v="2025-01-11T00:00:00"/>
    <x v="188"/>
  </r>
  <r>
    <x v="4"/>
    <s v="Furniture"/>
    <s v="Godrej Interio"/>
    <s v="Premium"/>
    <s v="South"/>
    <x v="0"/>
    <n v="34643.99"/>
    <x v="3"/>
    <n v="31179.591"/>
    <n v="2"/>
    <x v="999"/>
    <n v="21825.71"/>
    <d v="2024-01-16T00:00:00"/>
    <x v="489"/>
  </r>
  <r>
    <x v="8"/>
    <s v="Furniture"/>
    <s v="HomeTown"/>
    <s v="Standard"/>
    <s v="South"/>
    <x v="0"/>
    <n v="24443.85"/>
    <x v="1"/>
    <n v="19555.080000000002"/>
    <n v="5"/>
    <x v="1000"/>
    <n v="24443.85"/>
    <d v="2024-07-10T00:00:00"/>
    <x v="2"/>
  </r>
  <r>
    <x v="11"/>
    <s v="Home Appliance"/>
    <s v="Whirlpool"/>
    <s v="Standard"/>
    <s v="South"/>
    <x v="0"/>
    <n v="8044.59"/>
    <x v="1"/>
    <n v="6435.6719999999996"/>
    <n v="2"/>
    <x v="1001"/>
    <n v="3217.84"/>
    <d v="2025-01-24T00:00:00"/>
    <x v="113"/>
  </r>
  <r>
    <x v="6"/>
    <s v="Footwear"/>
    <s v="Puma"/>
    <s v="Standard"/>
    <s v="East"/>
    <x v="8"/>
    <n v="3246.48"/>
    <x v="6"/>
    <n v="2434.86"/>
    <n v="3"/>
    <x v="1002"/>
    <n v="1826.14"/>
    <d v="2024-09-19T00:00:00"/>
    <x v="329"/>
  </r>
  <r>
    <x v="10"/>
    <s v="Furniture"/>
    <s v="HomeTown"/>
    <s v="Standard"/>
    <s v="South"/>
    <x v="5"/>
    <n v="35377.33"/>
    <x v="6"/>
    <n v="26532.997500000001"/>
    <n v="2"/>
    <x v="1003"/>
    <n v="13266.5"/>
    <d v="2025-02-21T00:00:00"/>
    <x v="57"/>
  </r>
  <r>
    <x v="8"/>
    <s v="Furniture"/>
    <s v="HomeTown"/>
    <s v="Standard"/>
    <s v="East"/>
    <x v="8"/>
    <n v="23167.03"/>
    <x v="5"/>
    <n v="19691.9755"/>
    <n v="1"/>
    <x v="1004"/>
    <n v="4922.99"/>
    <d v="2024-03-20T00:00:00"/>
    <x v="370"/>
  </r>
  <r>
    <x v="13"/>
    <s v="Home Appliance"/>
    <s v="Samsung"/>
    <s v="Premium"/>
    <s v="West"/>
    <x v="11"/>
    <n v="22842.91"/>
    <x v="4"/>
    <n v="15990.037"/>
    <n v="3"/>
    <x v="1005"/>
    <n v="16789.54"/>
    <d v="2024-01-12T00:00:00"/>
    <x v="306"/>
  </r>
  <r>
    <x v="12"/>
    <s v="Clothing"/>
    <s v="H&amp;M"/>
    <s v="Standard"/>
    <s v="East"/>
    <x v="8"/>
    <n v="1401.29"/>
    <x v="6"/>
    <n v="1050.9675"/>
    <n v="5"/>
    <x v="1006"/>
    <n v="1313.71"/>
    <d v="2024-09-29T00:00:00"/>
    <x v="334"/>
  </r>
  <r>
    <x v="7"/>
    <s v="Home Appliance"/>
    <s v="LG"/>
    <s v="Premium"/>
    <s v="South"/>
    <x v="6"/>
    <n v="28986.55"/>
    <x v="5"/>
    <n v="24638.567500000001"/>
    <n v="1"/>
    <x v="1007"/>
    <n v="8623.5"/>
    <d v="2024-06-09T00:00:00"/>
    <x v="472"/>
  </r>
  <r>
    <x v="3"/>
    <s v="Electronics"/>
    <s v="HP"/>
    <s v="Standard"/>
    <s v="East"/>
    <x v="10"/>
    <n v="1916.3"/>
    <x v="6"/>
    <n v="1437.2249999999999"/>
    <n v="2"/>
    <x v="1008"/>
    <n v="718.61"/>
    <d v="2025-05-19T00:00:00"/>
    <x v="6"/>
  </r>
  <r>
    <x v="8"/>
    <s v="Furniture"/>
    <s v="HomeTown"/>
    <s v="Standard"/>
    <s v="West"/>
    <x v="7"/>
    <n v="26054.74"/>
    <x v="3"/>
    <n v="23449.266"/>
    <n v="2"/>
    <x v="1009"/>
    <n v="11724.63"/>
    <d v="2024-05-08T00:00:00"/>
    <x v="415"/>
  </r>
  <r>
    <x v="3"/>
    <s v="Electronics"/>
    <s v="Realme"/>
    <s v="Budget"/>
    <s v="East"/>
    <x v="10"/>
    <n v="1694.45"/>
    <x v="3"/>
    <n v="1525.0050000000001"/>
    <n v="1"/>
    <x v="1010"/>
    <n v="228.75"/>
    <d v="2024-02-12T00:00:00"/>
    <x v="490"/>
  </r>
  <r>
    <x v="7"/>
    <s v="Home Appliance"/>
    <s v="Samsung"/>
    <s v="Premium"/>
    <s v="West"/>
    <x v="7"/>
    <n v="31523.040000000001"/>
    <x v="5"/>
    <n v="26794.583999999999"/>
    <n v="5"/>
    <x v="1011"/>
    <n v="46890.52"/>
    <d v="2025-04-20T00:00:00"/>
    <x v="491"/>
  </r>
  <r>
    <x v="11"/>
    <s v="Home Appliance"/>
    <s v="LG"/>
    <s v="Premium"/>
    <s v="South"/>
    <x v="5"/>
    <n v="9386.9"/>
    <x v="6"/>
    <n v="7040.1749999999993"/>
    <n v="3"/>
    <x v="1012"/>
    <n v="7392.18"/>
    <d v="2024-10-29T00:00:00"/>
    <x v="153"/>
  </r>
  <r>
    <x v="3"/>
    <s v="Electronics"/>
    <s v="Xiaomi"/>
    <s v="Budget"/>
    <s v="East"/>
    <x v="10"/>
    <n v="1685.34"/>
    <x v="1"/>
    <n v="1348.2719999999999"/>
    <n v="4"/>
    <x v="1013"/>
    <n v="808.96"/>
    <d v="2024-01-30T00:00:00"/>
    <x v="288"/>
  </r>
  <r>
    <x v="1"/>
    <s v="Furniture"/>
    <s v="HomeTown"/>
    <s v="Standard"/>
    <s v="South"/>
    <x v="5"/>
    <n v="7491.31"/>
    <x v="3"/>
    <n v="6742.1790000000001"/>
    <n v="4"/>
    <x v="1014"/>
    <n v="6742.18"/>
    <d v="2025-01-20T00:00:00"/>
    <x v="406"/>
  </r>
  <r>
    <x v="8"/>
    <s v="Furniture"/>
    <s v="Godrej Interio"/>
    <s v="Premium"/>
    <s v="East"/>
    <x v="8"/>
    <n v="28489.79"/>
    <x v="6"/>
    <n v="21367.342499999999"/>
    <n v="1"/>
    <x v="1015"/>
    <n v="7478.57"/>
    <d v="2025-03-06T00:00:00"/>
    <x v="169"/>
  </r>
  <r>
    <x v="6"/>
    <s v="Footwear"/>
    <s v="Adidas"/>
    <s v="Premium"/>
    <s v="South"/>
    <x v="0"/>
    <n v="4265.46"/>
    <x v="3"/>
    <n v="3838.9140000000002"/>
    <n v="2"/>
    <x v="1016"/>
    <n v="2687.24"/>
    <d v="2024-06-18T00:00:00"/>
    <x v="420"/>
  </r>
  <r>
    <x v="13"/>
    <s v="Home Appliance"/>
    <s v="Samsung"/>
    <s v="Premium"/>
    <s v="South"/>
    <x v="0"/>
    <n v="20621.12"/>
    <x v="2"/>
    <n v="19590.063999999998"/>
    <n v="4"/>
    <x v="1017"/>
    <n v="27426.09"/>
    <d v="2024-05-05T00:00:00"/>
    <x v="71"/>
  </r>
  <r>
    <x v="11"/>
    <s v="Home Appliance"/>
    <s v="Samsung"/>
    <s v="Premium"/>
    <s v="East"/>
    <x v="3"/>
    <n v="9311.0400000000009"/>
    <x v="5"/>
    <n v="7914.3840000000009"/>
    <n v="5"/>
    <x v="1018"/>
    <n v="13850.17"/>
    <d v="2024-11-10T00:00:00"/>
    <x v="44"/>
  </r>
  <r>
    <x v="2"/>
    <s v="Electronics"/>
    <s v="Xiaomi"/>
    <s v="Budget"/>
    <s v="East"/>
    <x v="8"/>
    <n v="41916.660000000003"/>
    <x v="5"/>
    <n v="35629.161"/>
    <n v="5"/>
    <x v="1019"/>
    <n v="26721.87"/>
    <d v="2024-01-28T00:00:00"/>
    <x v="288"/>
  </r>
  <r>
    <x v="9"/>
    <s v="Clothing"/>
    <s v="Max"/>
    <s v="Budget"/>
    <s v="South"/>
    <x v="6"/>
    <n v="633.13"/>
    <x v="4"/>
    <n v="443.19099999999997"/>
    <n v="3"/>
    <x v="1020"/>
    <n v="199.44"/>
    <d v="2024-02-23T00:00:00"/>
    <x v="88"/>
  </r>
  <r>
    <x v="2"/>
    <s v="Electronics"/>
    <s v="Apple"/>
    <s v="Premium"/>
    <s v="South"/>
    <x v="5"/>
    <n v="60649.66"/>
    <x v="6"/>
    <n v="45487.245000000003"/>
    <n v="2"/>
    <x v="1021"/>
    <n v="31841.07"/>
    <d v="2025-04-01T00:00:00"/>
    <x v="227"/>
  </r>
  <r>
    <x v="2"/>
    <s v="Electronics"/>
    <s v="Realme"/>
    <s v="Budget"/>
    <s v="South"/>
    <x v="0"/>
    <n v="43079.63"/>
    <x v="5"/>
    <n v="36617.6855"/>
    <n v="5"/>
    <x v="1022"/>
    <n v="27463.26"/>
    <d v="2024-09-14T00:00:00"/>
    <x v="138"/>
  </r>
  <r>
    <x v="3"/>
    <s v="Electronics"/>
    <s v="Xiaomi"/>
    <s v="Budget"/>
    <s v="South"/>
    <x v="6"/>
    <n v="1691.9"/>
    <x v="0"/>
    <n v="1691.9"/>
    <n v="4"/>
    <x v="1023"/>
    <n v="1015.14"/>
    <d v="2025-07-24T00:00:00"/>
    <x v="492"/>
  </r>
  <r>
    <x v="8"/>
    <s v="Furniture"/>
    <s v="Ikea"/>
    <s v="Premium"/>
    <s v="West"/>
    <x v="11"/>
    <n v="32086.15"/>
    <x v="2"/>
    <n v="30481.842499999999"/>
    <n v="2"/>
    <x v="1024"/>
    <n v="21337.29"/>
    <d v="2024-01-26T00:00:00"/>
    <x v="311"/>
  </r>
  <r>
    <x v="5"/>
    <s v="Clothing"/>
    <s v="Max"/>
    <s v="Budget"/>
    <s v="East"/>
    <x v="8"/>
    <n v="2307.4899999999998"/>
    <x v="4"/>
    <n v="1615.2429999999999"/>
    <n v="5"/>
    <x v="1025"/>
    <n v="1211.43"/>
    <d v="2025-01-15T00:00:00"/>
    <x v="386"/>
  </r>
  <r>
    <x v="14"/>
    <s v="Electronics"/>
    <s v="HP"/>
    <s v="Standard"/>
    <s v="South"/>
    <x v="5"/>
    <n v="15344.84"/>
    <x v="3"/>
    <n v="13810.356"/>
    <n v="1"/>
    <x v="1026"/>
    <n v="3452.59"/>
    <d v="2025-01-10T00:00:00"/>
    <x v="456"/>
  </r>
  <r>
    <x v="8"/>
    <s v="Furniture"/>
    <s v="HomeTown"/>
    <s v="Standard"/>
    <s v="East"/>
    <x v="8"/>
    <n v="24502.03"/>
    <x v="2"/>
    <n v="23276.928500000002"/>
    <n v="5"/>
    <x v="1027"/>
    <n v="29096.16"/>
    <d v="2024-07-15T00:00:00"/>
    <x v="211"/>
  </r>
  <r>
    <x v="11"/>
    <s v="Home Appliance"/>
    <s v="Whirlpool"/>
    <s v="Standard"/>
    <s v="South"/>
    <x v="6"/>
    <n v="7883.75"/>
    <x v="0"/>
    <n v="7883.75"/>
    <n v="1"/>
    <x v="1028"/>
    <n v="1970.94"/>
    <d v="2025-02-09T00:00:00"/>
    <x v="437"/>
  </r>
  <r>
    <x v="12"/>
    <s v="Clothing"/>
    <s v="H&amp;M"/>
    <s v="Standard"/>
    <s v="East"/>
    <x v="8"/>
    <n v="1355.1"/>
    <x v="1"/>
    <n v="1084.08"/>
    <n v="5"/>
    <x v="1029"/>
    <n v="1355.1"/>
    <d v="2024-05-17T00:00:00"/>
    <x v="96"/>
  </r>
  <r>
    <x v="2"/>
    <s v="Electronics"/>
    <s v="Realme"/>
    <s v="Budget"/>
    <s v="South"/>
    <x v="5"/>
    <n v="40441.19"/>
    <x v="1"/>
    <n v="32352.952000000001"/>
    <n v="5"/>
    <x v="1030"/>
    <n v="24264.71"/>
    <d v="2025-06-21T00:00:00"/>
    <x v="224"/>
  </r>
  <r>
    <x v="1"/>
    <s v="Furniture"/>
    <s v="HomeTown"/>
    <s v="Standard"/>
    <s v="East"/>
    <x v="3"/>
    <n v="7308.6"/>
    <x v="3"/>
    <n v="6577.7400000000007"/>
    <n v="3"/>
    <x v="1031"/>
    <n v="4933.3100000000004"/>
    <d v="2024-01-24T00:00:00"/>
    <x v="148"/>
  </r>
  <r>
    <x v="4"/>
    <s v="Furniture"/>
    <s v="Nilkamal"/>
    <s v="Budget"/>
    <s v="West"/>
    <x v="7"/>
    <n v="28335.16"/>
    <x v="3"/>
    <n v="25501.644"/>
    <n v="3"/>
    <x v="1032"/>
    <n v="11475.74"/>
    <d v="2025-04-02T00:00:00"/>
    <x v="297"/>
  </r>
  <r>
    <x v="8"/>
    <s v="Furniture"/>
    <s v="Ikea"/>
    <s v="Premium"/>
    <s v="West"/>
    <x v="7"/>
    <n v="31749.67"/>
    <x v="6"/>
    <n v="23812.252499999999"/>
    <n v="5"/>
    <x v="1033"/>
    <n v="41671.440000000002"/>
    <d v="2024-12-17T00:00:00"/>
    <x v="366"/>
  </r>
  <r>
    <x v="10"/>
    <s v="Furniture"/>
    <s v="Nilkamal"/>
    <s v="Budget"/>
    <s v="West"/>
    <x v="11"/>
    <n v="32646.49"/>
    <x v="0"/>
    <n v="32646.49"/>
    <n v="1"/>
    <x v="1034"/>
    <n v="4896.97"/>
    <d v="2025-02-16T00:00:00"/>
    <x v="310"/>
  </r>
  <r>
    <x v="8"/>
    <s v="Furniture"/>
    <s v="Godrej Interio"/>
    <s v="Premium"/>
    <s v="North"/>
    <x v="1"/>
    <n v="30106.61"/>
    <x v="3"/>
    <n v="27095.949000000001"/>
    <n v="4"/>
    <x v="1035"/>
    <n v="37934.33"/>
    <d v="2025-03-08T00:00:00"/>
    <x v="397"/>
  </r>
  <r>
    <x v="5"/>
    <s v="Clothing"/>
    <s v="Nike"/>
    <s v="Premium"/>
    <s v="South"/>
    <x v="6"/>
    <n v="3388.02"/>
    <x v="2"/>
    <n v="3218.6190000000001"/>
    <n v="4"/>
    <x v="1036"/>
    <n v="4506.07"/>
    <d v="2024-01-13T00:00:00"/>
    <x v="493"/>
  </r>
  <r>
    <x v="14"/>
    <s v="Electronics"/>
    <s v="Dell"/>
    <s v="Standard"/>
    <s v="East"/>
    <x v="10"/>
    <n v="14205.57"/>
    <x v="5"/>
    <n v="12074.7345"/>
    <n v="1"/>
    <x v="1037"/>
    <n v="3018.68"/>
    <d v="2024-10-14T00:00:00"/>
    <x v="143"/>
  </r>
  <r>
    <x v="4"/>
    <s v="Furniture"/>
    <s v="HomeTown"/>
    <s v="Standard"/>
    <s v="North"/>
    <x v="4"/>
    <n v="31217.200000000001"/>
    <x v="6"/>
    <n v="23412.9"/>
    <n v="5"/>
    <x v="1038"/>
    <n v="29266.12"/>
    <d v="2025-04-14T00:00:00"/>
    <x v="470"/>
  </r>
  <r>
    <x v="9"/>
    <s v="Clothing"/>
    <s v="Max"/>
    <s v="Budget"/>
    <s v="South"/>
    <x v="0"/>
    <n v="681.14"/>
    <x v="3"/>
    <n v="613.02599999999995"/>
    <n v="4"/>
    <x v="1039"/>
    <n v="367.81"/>
    <d v="2025-01-14T00:00:00"/>
    <x v="188"/>
  </r>
  <r>
    <x v="1"/>
    <s v="Furniture"/>
    <s v="Godrej Interio"/>
    <s v="Premium"/>
    <s v="East"/>
    <x v="10"/>
    <n v="9106.7199999999993"/>
    <x v="2"/>
    <n v="8651.3839999999982"/>
    <n v="4"/>
    <x v="1040"/>
    <n v="12111.94"/>
    <d v="2024-04-16T00:00:00"/>
    <x v="149"/>
  </r>
  <r>
    <x v="6"/>
    <s v="Footwear"/>
    <s v="Adidas"/>
    <s v="Premium"/>
    <s v="East"/>
    <x v="3"/>
    <n v="4128.76"/>
    <x v="1"/>
    <n v="3303.0079999999998"/>
    <n v="5"/>
    <x v="1041"/>
    <n v="5780.26"/>
    <d v="2024-08-11T00:00:00"/>
    <x v="203"/>
  </r>
  <r>
    <x v="7"/>
    <s v="Home Appliance"/>
    <s v="Samsung"/>
    <s v="Premium"/>
    <s v="East"/>
    <x v="10"/>
    <n v="28191.37"/>
    <x v="5"/>
    <n v="23962.664499999999"/>
    <n v="3"/>
    <x v="1042"/>
    <n v="25160.799999999999"/>
    <d v="2025-06-26T00:00:00"/>
    <x v="97"/>
  </r>
  <r>
    <x v="8"/>
    <s v="Furniture"/>
    <s v="Godrej Interio"/>
    <s v="Premium"/>
    <s v="North"/>
    <x v="1"/>
    <n v="31873.94"/>
    <x v="6"/>
    <n v="23905.455000000002"/>
    <n v="3"/>
    <x v="1043"/>
    <n v="25100.73"/>
    <d v="2024-02-07T00:00:00"/>
    <x v="473"/>
  </r>
  <r>
    <x v="1"/>
    <s v="Furniture"/>
    <s v="HomeTown"/>
    <s v="Standard"/>
    <s v="South"/>
    <x v="6"/>
    <n v="7854.91"/>
    <x v="4"/>
    <n v="5498.4369999999999"/>
    <n v="5"/>
    <x v="1044"/>
    <n v="6873.05"/>
    <d v="2025-03-29T00:00:00"/>
    <x v="297"/>
  </r>
  <r>
    <x v="2"/>
    <s v="Electronics"/>
    <s v="Dell"/>
    <s v="Standard"/>
    <s v="South"/>
    <x v="5"/>
    <n v="48828.11"/>
    <x v="2"/>
    <n v="46386.7045"/>
    <n v="4"/>
    <x v="1045"/>
    <n v="46386.71"/>
    <d v="2024-09-24T00:00:00"/>
    <x v="494"/>
  </r>
  <r>
    <x v="12"/>
    <s v="Clothing"/>
    <s v="Nike"/>
    <s v="Premium"/>
    <s v="East"/>
    <x v="10"/>
    <n v="1635.48"/>
    <x v="0"/>
    <n v="1635.48"/>
    <n v="4"/>
    <x v="1046"/>
    <n v="2289.67"/>
    <d v="2025-01-24T00:00:00"/>
    <x v="113"/>
  </r>
  <r>
    <x v="4"/>
    <s v="Furniture"/>
    <s v="HomeTown"/>
    <s v="Standard"/>
    <s v="West"/>
    <x v="9"/>
    <n v="33636.17"/>
    <x v="1"/>
    <n v="26908.936000000002"/>
    <n v="1"/>
    <x v="1047"/>
    <n v="6727.23"/>
    <d v="2025-06-09T00:00:00"/>
    <x v="206"/>
  </r>
  <r>
    <x v="3"/>
    <s v="Electronics"/>
    <s v="HP"/>
    <s v="Standard"/>
    <s v="South"/>
    <x v="6"/>
    <n v="1922.4"/>
    <x v="5"/>
    <n v="1634.04"/>
    <n v="4"/>
    <x v="1048"/>
    <n v="1634.04"/>
    <d v="2024-12-24T00:00:00"/>
    <x v="495"/>
  </r>
  <r>
    <x v="12"/>
    <s v="Clothing"/>
    <s v="Levis"/>
    <s v="Premium"/>
    <s v="North"/>
    <x v="1"/>
    <n v="1877.69"/>
    <x v="6"/>
    <n v="1408.2674999999999"/>
    <n v="1"/>
    <x v="1049"/>
    <n v="492.89"/>
    <d v="2024-08-20T00:00:00"/>
    <x v="66"/>
  </r>
  <r>
    <x v="11"/>
    <s v="Home Appliance"/>
    <s v="Whirlpool"/>
    <s v="Standard"/>
    <s v="West"/>
    <x v="7"/>
    <n v="8407.94"/>
    <x v="3"/>
    <n v="7567.1460000000006"/>
    <n v="5"/>
    <x v="1050"/>
    <n v="9458.93"/>
    <d v="2024-07-29T00:00:00"/>
    <x v="496"/>
  </r>
  <r>
    <x v="8"/>
    <s v="Furniture"/>
    <s v="Ikea"/>
    <s v="Premium"/>
    <s v="East"/>
    <x v="3"/>
    <n v="29551.17"/>
    <x v="6"/>
    <n v="22163.377499999999"/>
    <n v="5"/>
    <x v="1051"/>
    <n v="38785.910000000003"/>
    <d v="2024-02-06T00:00:00"/>
    <x v="497"/>
  </r>
  <r>
    <x v="4"/>
    <s v="Furniture"/>
    <s v="Godrej Interio"/>
    <s v="Premium"/>
    <s v="South"/>
    <x v="0"/>
    <n v="36003.51"/>
    <x v="2"/>
    <n v="34203.334499999997"/>
    <n v="5"/>
    <x v="1052"/>
    <n v="59855.83"/>
    <d v="2024-03-01T00:00:00"/>
    <x v="478"/>
  </r>
  <r>
    <x v="12"/>
    <s v="Clothing"/>
    <s v="Roadster"/>
    <s v="Budget"/>
    <s v="East"/>
    <x v="8"/>
    <n v="1219.95"/>
    <x v="6"/>
    <n v="914.96250000000009"/>
    <n v="2"/>
    <x v="1053"/>
    <n v="274.49"/>
    <d v="2024-01-22T00:00:00"/>
    <x v="498"/>
  </r>
  <r>
    <x v="0"/>
    <s v="Footwear"/>
    <s v="Bata"/>
    <s v="Budget"/>
    <s v="East"/>
    <x v="8"/>
    <n v="1949.44"/>
    <x v="4"/>
    <n v="1364.6079999999999"/>
    <n v="2"/>
    <x v="1054"/>
    <n v="409.38"/>
    <d v="2024-12-07T00:00:00"/>
    <x v="39"/>
  </r>
  <r>
    <x v="7"/>
    <s v="Home Appliance"/>
    <s v="Godrej"/>
    <s v="Budget"/>
    <s v="North"/>
    <x v="1"/>
    <n v="21084.94"/>
    <x v="2"/>
    <n v="20030.692999999999"/>
    <n v="1"/>
    <x v="1055"/>
    <n v="3004.6"/>
    <d v="2025-02-13T00:00:00"/>
    <x v="376"/>
  </r>
  <r>
    <x v="6"/>
    <s v="Footwear"/>
    <s v="Puma"/>
    <s v="Standard"/>
    <s v="North"/>
    <x v="1"/>
    <n v="3732.18"/>
    <x v="3"/>
    <n v="3358.962"/>
    <n v="5"/>
    <x v="1056"/>
    <n v="4198.7"/>
    <d v="2024-07-27T00:00:00"/>
    <x v="463"/>
  </r>
  <r>
    <x v="6"/>
    <s v="Footwear"/>
    <s v="Bata"/>
    <s v="Budget"/>
    <s v="West"/>
    <x v="7"/>
    <n v="3181.86"/>
    <x v="6"/>
    <n v="2386.395"/>
    <n v="2"/>
    <x v="1057"/>
    <n v="715.92"/>
    <d v="2024-03-16T00:00:00"/>
    <x v="388"/>
  </r>
  <r>
    <x v="4"/>
    <s v="Furniture"/>
    <s v="Nilkamal"/>
    <s v="Budget"/>
    <s v="South"/>
    <x v="0"/>
    <n v="25719.33"/>
    <x v="4"/>
    <n v="18003.530999999999"/>
    <n v="5"/>
    <x v="1058"/>
    <n v="13502.65"/>
    <d v="2025-07-19T00:00:00"/>
    <x v="90"/>
  </r>
  <r>
    <x v="11"/>
    <s v="Home Appliance"/>
    <s v="LG"/>
    <s v="Premium"/>
    <s v="South"/>
    <x v="6"/>
    <n v="9751.65"/>
    <x v="5"/>
    <n v="8288.9025000000001"/>
    <n v="4"/>
    <x v="1059"/>
    <n v="11604.46"/>
    <d v="2025-02-13T00:00:00"/>
    <x v="241"/>
  </r>
  <r>
    <x v="7"/>
    <s v="Home Appliance"/>
    <s v="LG"/>
    <s v="Premium"/>
    <s v="North"/>
    <x v="4"/>
    <n v="31018.36"/>
    <x v="1"/>
    <n v="24814.687999999998"/>
    <n v="2"/>
    <x v="1060"/>
    <n v="17370.28"/>
    <d v="2024-10-26T00:00:00"/>
    <x v="499"/>
  </r>
  <r>
    <x v="4"/>
    <s v="Furniture"/>
    <s v="Nilkamal"/>
    <s v="Budget"/>
    <s v="South"/>
    <x v="6"/>
    <n v="24324.959999999999"/>
    <x v="3"/>
    <n v="21892.464"/>
    <n v="2"/>
    <x v="1061"/>
    <n v="6567.74"/>
    <d v="2024-12-20T00:00:00"/>
    <x v="73"/>
  </r>
  <r>
    <x v="3"/>
    <s v="Electronics"/>
    <s v="Realme"/>
    <s v="Budget"/>
    <s v="South"/>
    <x v="6"/>
    <n v="1595.31"/>
    <x v="5"/>
    <n v="1356.0135"/>
    <n v="2"/>
    <x v="1062"/>
    <n v="406.8"/>
    <d v="2024-03-31T00:00:00"/>
    <x v="50"/>
  </r>
  <r>
    <x v="1"/>
    <s v="Furniture"/>
    <s v="Nilkamal"/>
    <s v="Budget"/>
    <s v="West"/>
    <x v="7"/>
    <n v="7458.88"/>
    <x v="5"/>
    <n v="6340.0479999999998"/>
    <n v="3"/>
    <x v="1063"/>
    <n v="2853.02"/>
    <d v="2024-11-09T00:00:00"/>
    <x v="500"/>
  </r>
  <r>
    <x v="13"/>
    <s v="Home Appliance"/>
    <s v="LG"/>
    <s v="Premium"/>
    <s v="North"/>
    <x v="4"/>
    <n v="21980.49"/>
    <x v="0"/>
    <n v="21980.49"/>
    <n v="2"/>
    <x v="1064"/>
    <n v="15386.34"/>
    <d v="2024-06-24T00:00:00"/>
    <x v="391"/>
  </r>
  <r>
    <x v="9"/>
    <s v="Clothing"/>
    <s v="Roadster"/>
    <s v="Budget"/>
    <s v="East"/>
    <x v="10"/>
    <n v="616.08000000000004"/>
    <x v="5"/>
    <n v="523.66800000000001"/>
    <n v="1"/>
    <x v="1065"/>
    <n v="78.55"/>
    <d v="2024-05-08T00:00:00"/>
    <x v="415"/>
  </r>
  <r>
    <x v="6"/>
    <s v="Footwear"/>
    <s v="Adidas"/>
    <s v="Premium"/>
    <s v="North"/>
    <x v="2"/>
    <n v="4404.55"/>
    <x v="6"/>
    <n v="3303.4124999999999"/>
    <n v="1"/>
    <x v="1066"/>
    <n v="1156.19"/>
    <d v="2024-05-18T00:00:00"/>
    <x v="96"/>
  </r>
  <r>
    <x v="2"/>
    <s v="Electronics"/>
    <s v="Dell"/>
    <s v="Standard"/>
    <s v="East"/>
    <x v="8"/>
    <n v="47643.09"/>
    <x v="4"/>
    <n v="33350.162999999993"/>
    <n v="3"/>
    <x v="1067"/>
    <n v="25012.62"/>
    <d v="2024-06-22T00:00:00"/>
    <x v="265"/>
  </r>
  <r>
    <x v="8"/>
    <s v="Furniture"/>
    <s v="Godrej Interio"/>
    <s v="Premium"/>
    <s v="North"/>
    <x v="4"/>
    <n v="30682.03"/>
    <x v="0"/>
    <n v="30682.03"/>
    <n v="2"/>
    <x v="1068"/>
    <n v="21477.42"/>
    <d v="2025-06-23T00:00:00"/>
    <x v="501"/>
  </r>
  <r>
    <x v="7"/>
    <s v="Home Appliance"/>
    <s v="Whirlpool"/>
    <s v="Standard"/>
    <s v="North"/>
    <x v="4"/>
    <n v="25400.63"/>
    <x v="6"/>
    <n v="19050.4725"/>
    <n v="5"/>
    <x v="1069"/>
    <n v="23813.09"/>
    <d v="2025-06-23T00:00:00"/>
    <x v="224"/>
  </r>
  <r>
    <x v="5"/>
    <s v="Clothing"/>
    <s v="Levis"/>
    <s v="Premium"/>
    <s v="East"/>
    <x v="8"/>
    <n v="3512.46"/>
    <x v="3"/>
    <n v="3161.2139999999999"/>
    <n v="4"/>
    <x v="1070"/>
    <n v="4425.7"/>
    <d v="2025-03-11T00:00:00"/>
    <x v="502"/>
  </r>
  <r>
    <x v="6"/>
    <s v="Footwear"/>
    <s v="Adidas"/>
    <s v="Premium"/>
    <s v="West"/>
    <x v="9"/>
    <n v="4742.08"/>
    <x v="6"/>
    <n v="3556.56"/>
    <n v="1"/>
    <x v="1071"/>
    <n v="1244.8"/>
    <d v="2024-08-16T00:00:00"/>
    <x v="66"/>
  </r>
  <r>
    <x v="14"/>
    <s v="Electronics"/>
    <s v="HP"/>
    <s v="Standard"/>
    <s v="West"/>
    <x v="9"/>
    <n v="16112.3"/>
    <x v="1"/>
    <n v="12889.84"/>
    <n v="2"/>
    <x v="1072"/>
    <n v="6444.92"/>
    <d v="2024-06-17T00:00:00"/>
    <x v="420"/>
  </r>
  <r>
    <x v="11"/>
    <s v="Home Appliance"/>
    <s v="Godrej"/>
    <s v="Budget"/>
    <s v="West"/>
    <x v="9"/>
    <n v="7673.37"/>
    <x v="2"/>
    <n v="7289.7014999999992"/>
    <n v="5"/>
    <x v="1073"/>
    <n v="5467.28"/>
    <d v="2024-03-20T00:00:00"/>
    <x v="133"/>
  </r>
  <r>
    <x v="0"/>
    <s v="Footwear"/>
    <s v="Adidas"/>
    <s v="Premium"/>
    <s v="North"/>
    <x v="2"/>
    <n v="2982.78"/>
    <x v="5"/>
    <n v="2535.3629999999998"/>
    <n v="5"/>
    <x v="1074"/>
    <n v="4436.8900000000003"/>
    <d v="2024-03-28T00:00:00"/>
    <x v="1"/>
  </r>
  <r>
    <x v="13"/>
    <s v="Home Appliance"/>
    <s v="Whirlpool"/>
    <s v="Standard"/>
    <s v="West"/>
    <x v="9"/>
    <n v="19557.900000000001"/>
    <x v="0"/>
    <n v="19557.900000000001"/>
    <n v="3"/>
    <x v="1075"/>
    <n v="14668.42"/>
    <d v="2025-02-14T00:00:00"/>
    <x v="376"/>
  </r>
  <r>
    <x v="13"/>
    <s v="Home Appliance"/>
    <s v="Godrej"/>
    <s v="Budget"/>
    <s v="South"/>
    <x v="5"/>
    <n v="14955.69"/>
    <x v="3"/>
    <n v="13460.120999999999"/>
    <n v="3"/>
    <x v="1076"/>
    <n v="6057.05"/>
    <d v="2024-10-30T00:00:00"/>
    <x v="52"/>
  </r>
  <r>
    <x v="4"/>
    <s v="Furniture"/>
    <s v="Ikea"/>
    <s v="Premium"/>
    <s v="West"/>
    <x v="9"/>
    <n v="39961.64"/>
    <x v="3"/>
    <n v="35965.476000000002"/>
    <n v="3"/>
    <x v="1077"/>
    <n v="37763.75"/>
    <d v="2024-10-03T00:00:00"/>
    <x v="21"/>
  </r>
  <r>
    <x v="6"/>
    <s v="Footwear"/>
    <s v="Bata"/>
    <s v="Budget"/>
    <s v="North"/>
    <x v="4"/>
    <n v="3180.35"/>
    <x v="1"/>
    <n v="2544.2800000000002"/>
    <n v="2"/>
    <x v="1078"/>
    <n v="763.28"/>
    <d v="2024-02-23T00:00:00"/>
    <x v="88"/>
  </r>
  <r>
    <x v="4"/>
    <s v="Furniture"/>
    <s v="Godrej Interio"/>
    <s v="Premium"/>
    <s v="South"/>
    <x v="0"/>
    <n v="34923.839999999997"/>
    <x v="6"/>
    <n v="26192.880000000001"/>
    <n v="3"/>
    <x v="1079"/>
    <n v="27502.52"/>
    <d v="2024-11-26T00:00:00"/>
    <x v="503"/>
  </r>
  <r>
    <x v="14"/>
    <s v="Electronics"/>
    <s v="Xiaomi"/>
    <s v="Budget"/>
    <s v="East"/>
    <x v="3"/>
    <n v="12109.14"/>
    <x v="3"/>
    <n v="10898.226000000001"/>
    <n v="4"/>
    <x v="1080"/>
    <n v="6538.94"/>
    <d v="2025-04-15T00:00:00"/>
    <x v="504"/>
  </r>
  <r>
    <x v="0"/>
    <s v="Footwear"/>
    <s v="Adidas"/>
    <s v="Premium"/>
    <s v="North"/>
    <x v="4"/>
    <n v="3220.01"/>
    <x v="0"/>
    <n v="3220.01"/>
    <n v="4"/>
    <x v="1081"/>
    <n v="4508.01"/>
    <d v="2024-11-08T00:00:00"/>
    <x v="120"/>
  </r>
  <r>
    <x v="3"/>
    <s v="Electronics"/>
    <s v="Samsung"/>
    <s v="Premium"/>
    <s v="North"/>
    <x v="4"/>
    <n v="2407.7399999999998"/>
    <x v="2"/>
    <n v="2287.3530000000001"/>
    <n v="5"/>
    <x v="1082"/>
    <n v="4002.87"/>
    <d v="2024-08-11T00:00:00"/>
    <x v="203"/>
  </r>
  <r>
    <x v="8"/>
    <s v="Furniture"/>
    <s v="Ikea"/>
    <s v="Premium"/>
    <s v="South"/>
    <x v="6"/>
    <n v="28964.85"/>
    <x v="4"/>
    <n v="20275.395"/>
    <n v="1"/>
    <x v="1083"/>
    <n v="7096.39"/>
    <d v="2024-06-02T00:00:00"/>
    <x v="488"/>
  </r>
  <r>
    <x v="4"/>
    <s v="Furniture"/>
    <s v="Godrej Interio"/>
    <s v="Premium"/>
    <s v="North"/>
    <x v="2"/>
    <n v="37828.78"/>
    <x v="0"/>
    <n v="37828.78"/>
    <n v="3"/>
    <x v="1084"/>
    <n v="39720.22"/>
    <d v="2024-05-09T00:00:00"/>
    <x v="26"/>
  </r>
  <r>
    <x v="8"/>
    <s v="Furniture"/>
    <s v="Ikea"/>
    <s v="Premium"/>
    <s v="West"/>
    <x v="11"/>
    <n v="32546.99"/>
    <x v="6"/>
    <n v="24410.2425"/>
    <n v="5"/>
    <x v="1085"/>
    <n v="42717.919999999998"/>
    <d v="2024-05-06T00:00:00"/>
    <x v="26"/>
  </r>
  <r>
    <x v="8"/>
    <s v="Furniture"/>
    <s v="Nilkamal"/>
    <s v="Budget"/>
    <s v="South"/>
    <x v="6"/>
    <n v="21463.48"/>
    <x v="6"/>
    <n v="16097.61"/>
    <n v="2"/>
    <x v="1086"/>
    <n v="4829.28"/>
    <d v="2025-01-17T00:00:00"/>
    <x v="386"/>
  </r>
  <r>
    <x v="7"/>
    <s v="Home Appliance"/>
    <s v="Godrej"/>
    <s v="Budget"/>
    <s v="South"/>
    <x v="5"/>
    <n v="20792.11"/>
    <x v="6"/>
    <n v="15594.0825"/>
    <n v="4"/>
    <x v="1087"/>
    <n v="9356.4500000000007"/>
    <d v="2024-03-06T00:00:00"/>
    <x v="182"/>
  </r>
  <r>
    <x v="3"/>
    <s v="Electronics"/>
    <s v="HP"/>
    <s v="Standard"/>
    <s v="North"/>
    <x v="1"/>
    <n v="2168.63"/>
    <x v="6"/>
    <n v="1626.4725000000001"/>
    <n v="1"/>
    <x v="1088"/>
    <n v="406.62"/>
    <d v="2024-08-17T00:00:00"/>
    <x v="66"/>
  </r>
  <r>
    <x v="6"/>
    <s v="Footwear"/>
    <s v="Adidas"/>
    <s v="Premium"/>
    <s v="North"/>
    <x v="4"/>
    <n v="4524.0200000000004"/>
    <x v="4"/>
    <n v="3166.8139999999999"/>
    <n v="2"/>
    <x v="1089"/>
    <n v="2216.77"/>
    <d v="2025-04-24T00:00:00"/>
    <x v="440"/>
  </r>
  <r>
    <x v="3"/>
    <s v="Electronics"/>
    <s v="HP"/>
    <s v="Standard"/>
    <s v="North"/>
    <x v="2"/>
    <n v="2066.04"/>
    <x v="1"/>
    <n v="1652.8320000000001"/>
    <n v="3"/>
    <x v="1090"/>
    <n v="1239.6199999999999"/>
    <d v="2024-08-05T00:00:00"/>
    <x v="185"/>
  </r>
  <r>
    <x v="3"/>
    <s v="Electronics"/>
    <s v="HP"/>
    <s v="Standard"/>
    <s v="West"/>
    <x v="9"/>
    <n v="2061.41"/>
    <x v="5"/>
    <n v="1752.1985"/>
    <n v="5"/>
    <x v="1091"/>
    <n v="2190.25"/>
    <d v="2024-04-03T00:00:00"/>
    <x v="150"/>
  </r>
  <r>
    <x v="11"/>
    <s v="Home Appliance"/>
    <s v="Whirlpool"/>
    <s v="Standard"/>
    <s v="East"/>
    <x v="8"/>
    <n v="7958.01"/>
    <x v="1"/>
    <n v="6366.4080000000004"/>
    <n v="4"/>
    <x v="1092"/>
    <n v="6366.41"/>
    <d v="2025-07-08T00:00:00"/>
    <x v="435"/>
  </r>
  <r>
    <x v="10"/>
    <s v="Furniture"/>
    <s v="Godrej Interio"/>
    <s v="Premium"/>
    <s v="South"/>
    <x v="6"/>
    <n v="39685.480000000003"/>
    <x v="2"/>
    <n v="37701.205999999998"/>
    <n v="5"/>
    <x v="1093"/>
    <n v="65977.11"/>
    <d v="2025-02-20T00:00:00"/>
    <x v="310"/>
  </r>
  <r>
    <x v="13"/>
    <s v="Home Appliance"/>
    <s v="LG"/>
    <s v="Premium"/>
    <s v="North"/>
    <x v="4"/>
    <n v="22134.87"/>
    <x v="0"/>
    <n v="22134.87"/>
    <n v="4"/>
    <x v="1094"/>
    <n v="30988.82"/>
    <d v="2025-03-01T00:00:00"/>
    <x v="505"/>
  </r>
  <r>
    <x v="14"/>
    <s v="Electronics"/>
    <s v="HP"/>
    <s v="Standard"/>
    <s v="West"/>
    <x v="9"/>
    <n v="15877.32"/>
    <x v="0"/>
    <n v="15877.32"/>
    <n v="4"/>
    <x v="1095"/>
    <n v="15877.32"/>
    <d v="2025-05-26T00:00:00"/>
    <x v="6"/>
  </r>
  <r>
    <x v="13"/>
    <s v="Home Appliance"/>
    <s v="Godrej"/>
    <s v="Budget"/>
    <s v="West"/>
    <x v="9"/>
    <n v="15935.55"/>
    <x v="5"/>
    <n v="13545.217500000001"/>
    <n v="1"/>
    <x v="1096"/>
    <n v="2031.78"/>
    <d v="2024-05-21T00:00:00"/>
    <x v="96"/>
  </r>
  <r>
    <x v="14"/>
    <s v="Electronics"/>
    <s v="Xiaomi"/>
    <s v="Budget"/>
    <s v="West"/>
    <x v="11"/>
    <n v="14143.54"/>
    <x v="3"/>
    <n v="12729.186"/>
    <n v="3"/>
    <x v="1097"/>
    <n v="5728.13"/>
    <d v="2025-06-27T00:00:00"/>
    <x v="69"/>
  </r>
  <r>
    <x v="2"/>
    <s v="Electronics"/>
    <s v="Realme"/>
    <s v="Budget"/>
    <s v="East"/>
    <x v="3"/>
    <n v="41092.699999999997"/>
    <x v="5"/>
    <n v="34928.794999999998"/>
    <n v="3"/>
    <x v="1098"/>
    <n v="15717.96"/>
    <d v="2024-10-03T00:00:00"/>
    <x v="21"/>
  </r>
  <r>
    <x v="9"/>
    <s v="Clothing"/>
    <s v="Max"/>
    <s v="Budget"/>
    <s v="East"/>
    <x v="8"/>
    <n v="636.46"/>
    <x v="5"/>
    <n v="540.99099999999999"/>
    <n v="3"/>
    <x v="1099"/>
    <n v="243.45"/>
    <d v="2024-12-16T00:00:00"/>
    <x v="178"/>
  </r>
  <r>
    <x v="13"/>
    <s v="Home Appliance"/>
    <s v="Whirlpool"/>
    <s v="Standard"/>
    <s v="North"/>
    <x v="1"/>
    <n v="18382.73"/>
    <x v="2"/>
    <n v="17463.593499999999"/>
    <n v="1"/>
    <x v="1100"/>
    <n v="4365.8999999999996"/>
    <d v="2025-06-08T00:00:00"/>
    <x v="428"/>
  </r>
  <r>
    <x v="8"/>
    <s v="Furniture"/>
    <s v="HomeTown"/>
    <s v="Standard"/>
    <s v="South"/>
    <x v="6"/>
    <n v="24380.04"/>
    <x v="2"/>
    <n v="23161.038"/>
    <n v="1"/>
    <x v="1101"/>
    <n v="5790.26"/>
    <d v="2024-10-31T00:00:00"/>
    <x v="153"/>
  </r>
  <r>
    <x v="5"/>
    <s v="Clothing"/>
    <s v="Roadster"/>
    <s v="Budget"/>
    <s v="East"/>
    <x v="8"/>
    <n v="2381.81"/>
    <x v="6"/>
    <n v="1786.3575000000001"/>
    <n v="3"/>
    <x v="1102"/>
    <n v="803.86"/>
    <d v="2024-06-06T00:00:00"/>
    <x v="275"/>
  </r>
  <r>
    <x v="2"/>
    <s v="Electronics"/>
    <s v="Samsung"/>
    <s v="Premium"/>
    <s v="South"/>
    <x v="6"/>
    <n v="56217.39"/>
    <x v="3"/>
    <n v="50595.650999999998"/>
    <n v="1"/>
    <x v="1103"/>
    <n v="17708.48"/>
    <d v="2024-09-26T00:00:00"/>
    <x v="411"/>
  </r>
  <r>
    <x v="14"/>
    <s v="Electronics"/>
    <s v="Samsung"/>
    <s v="Premium"/>
    <s v="West"/>
    <x v="7"/>
    <n v="18721.5"/>
    <x v="6"/>
    <n v="14041.125"/>
    <n v="1"/>
    <x v="1104"/>
    <n v="4914.3900000000003"/>
    <d v="2024-10-17T00:00:00"/>
    <x v="248"/>
  </r>
  <r>
    <x v="11"/>
    <s v="Home Appliance"/>
    <s v="Whirlpool"/>
    <s v="Standard"/>
    <s v="North"/>
    <x v="1"/>
    <n v="8607.89"/>
    <x v="4"/>
    <n v="6025.5229999999992"/>
    <n v="1"/>
    <x v="1105"/>
    <n v="1506.38"/>
    <d v="2024-10-30T00:00:00"/>
    <x v="499"/>
  </r>
  <r>
    <x v="14"/>
    <s v="Electronics"/>
    <s v="Xiaomi"/>
    <s v="Budget"/>
    <s v="North"/>
    <x v="1"/>
    <n v="13445.68"/>
    <x v="0"/>
    <n v="13445.68"/>
    <n v="1"/>
    <x v="1106"/>
    <n v="2016.85"/>
    <d v="2025-05-04T00:00:00"/>
    <x v="506"/>
  </r>
  <r>
    <x v="13"/>
    <s v="Home Appliance"/>
    <s v="Samsung"/>
    <s v="Premium"/>
    <s v="East"/>
    <x v="8"/>
    <n v="20829.37"/>
    <x v="3"/>
    <n v="18746.433000000001"/>
    <n v="5"/>
    <x v="1107"/>
    <n v="32806.26"/>
    <d v="2024-01-19T00:00:00"/>
    <x v="347"/>
  </r>
  <r>
    <x v="12"/>
    <s v="Clothing"/>
    <s v="Zara"/>
    <s v="Premium"/>
    <s v="West"/>
    <x v="7"/>
    <n v="1851.03"/>
    <x v="5"/>
    <n v="1573.3755000000001"/>
    <n v="5"/>
    <x v="1108"/>
    <n v="2753.41"/>
    <d v="2025-05-11T00:00:00"/>
    <x v="98"/>
  </r>
  <r>
    <x v="10"/>
    <s v="Furniture"/>
    <s v="Godrej Interio"/>
    <s v="Premium"/>
    <s v="South"/>
    <x v="5"/>
    <n v="39672.26"/>
    <x v="5"/>
    <n v="33721.421000000002"/>
    <n v="3"/>
    <x v="1109"/>
    <n v="35407.49"/>
    <d v="2024-10-05T00:00:00"/>
    <x v="507"/>
  </r>
  <r>
    <x v="5"/>
    <s v="Clothing"/>
    <s v="Levis"/>
    <s v="Premium"/>
    <s v="South"/>
    <x v="6"/>
    <n v="3381.89"/>
    <x v="5"/>
    <n v="2874.6064999999999"/>
    <n v="3"/>
    <x v="1110"/>
    <n v="3018.34"/>
    <d v="2025-04-04T00:00:00"/>
    <x v="67"/>
  </r>
  <r>
    <x v="13"/>
    <s v="Home Appliance"/>
    <s v="Godrej"/>
    <s v="Budget"/>
    <s v="East"/>
    <x v="10"/>
    <n v="13972.89"/>
    <x v="4"/>
    <n v="9781.0229999999992"/>
    <n v="3"/>
    <x v="1111"/>
    <n v="4401.46"/>
    <d v="2024-11-18T00:00:00"/>
    <x v="424"/>
  </r>
  <r>
    <x v="4"/>
    <s v="Furniture"/>
    <s v="HomeTown"/>
    <s v="Standard"/>
    <s v="South"/>
    <x v="0"/>
    <n v="30469.040000000001"/>
    <x v="1"/>
    <n v="24375.232"/>
    <n v="1"/>
    <x v="1112"/>
    <n v="6093.81"/>
    <d v="2024-09-23T00:00:00"/>
    <x v="494"/>
  </r>
  <r>
    <x v="8"/>
    <s v="Furniture"/>
    <s v="HomeTown"/>
    <s v="Standard"/>
    <s v="South"/>
    <x v="5"/>
    <n v="23837.13"/>
    <x v="1"/>
    <n v="19069.704000000002"/>
    <n v="5"/>
    <x v="1113"/>
    <n v="23837.13"/>
    <d v="2024-11-02T00:00:00"/>
    <x v="309"/>
  </r>
  <r>
    <x v="14"/>
    <s v="Electronics"/>
    <s v="Realme"/>
    <s v="Budget"/>
    <s v="South"/>
    <x v="5"/>
    <n v="11912.68"/>
    <x v="0"/>
    <n v="11912.68"/>
    <n v="3"/>
    <x v="1114"/>
    <n v="5360.71"/>
    <d v="2024-12-17T00:00:00"/>
    <x v="366"/>
  </r>
  <r>
    <x v="3"/>
    <s v="Electronics"/>
    <s v="HP"/>
    <s v="Standard"/>
    <s v="East"/>
    <x v="8"/>
    <n v="1954.68"/>
    <x v="3"/>
    <n v="1759.212"/>
    <n v="5"/>
    <x v="1115"/>
    <n v="2199.0100000000002"/>
    <d v="2024-09-05T00:00:00"/>
    <x v="315"/>
  </r>
  <r>
    <x v="2"/>
    <s v="Electronics"/>
    <s v="HP"/>
    <s v="Standard"/>
    <s v="East"/>
    <x v="8"/>
    <n v="48996.75"/>
    <x v="1"/>
    <n v="39197.4"/>
    <n v="4"/>
    <x v="1116"/>
    <n v="39197.4"/>
    <d v="2024-02-16T00:00:00"/>
    <x v="490"/>
  </r>
  <r>
    <x v="9"/>
    <s v="Clothing"/>
    <s v="Nike"/>
    <s v="Premium"/>
    <s v="West"/>
    <x v="9"/>
    <n v="1002.94"/>
    <x v="1"/>
    <n v="802.35200000000009"/>
    <n v="1"/>
    <x v="1117"/>
    <n v="280.82"/>
    <d v="2025-06-12T00:00:00"/>
    <x v="239"/>
  </r>
  <r>
    <x v="3"/>
    <s v="Electronics"/>
    <s v="Xiaomi"/>
    <s v="Budget"/>
    <s v="West"/>
    <x v="11"/>
    <n v="1752.61"/>
    <x v="4"/>
    <n v="1226.827"/>
    <n v="5"/>
    <x v="1118"/>
    <n v="920.12"/>
    <d v="2024-08-01T00:00:00"/>
    <x v="463"/>
  </r>
  <r>
    <x v="1"/>
    <s v="Furniture"/>
    <s v="Ikea"/>
    <s v="Premium"/>
    <s v="North"/>
    <x v="1"/>
    <n v="10169.02"/>
    <x v="3"/>
    <n v="9152.1180000000004"/>
    <n v="5"/>
    <x v="1119"/>
    <n v="16016.21"/>
    <d v="2024-09-22T00:00:00"/>
    <x v="100"/>
  </r>
  <r>
    <x v="9"/>
    <s v="Clothing"/>
    <s v="Roadster"/>
    <s v="Budget"/>
    <s v="South"/>
    <x v="0"/>
    <n v="661.89"/>
    <x v="1"/>
    <n v="529.51200000000006"/>
    <n v="3"/>
    <x v="1120"/>
    <n v="238.28"/>
    <d v="2024-12-21T00:00:00"/>
    <x v="170"/>
  </r>
  <r>
    <x v="14"/>
    <s v="Electronics"/>
    <s v="Samsung"/>
    <s v="Premium"/>
    <s v="North"/>
    <x v="1"/>
    <n v="18953.05"/>
    <x v="3"/>
    <n v="17057.744999999999"/>
    <n v="4"/>
    <x v="1121"/>
    <n v="23880.84"/>
    <d v="2024-11-25T00:00:00"/>
    <x v="396"/>
  </r>
  <r>
    <x v="14"/>
    <s v="Electronics"/>
    <s v="Samsung"/>
    <s v="Premium"/>
    <s v="North"/>
    <x v="1"/>
    <n v="19058.490000000002"/>
    <x v="5"/>
    <n v="16199.7165"/>
    <n v="4"/>
    <x v="1122"/>
    <n v="22679.599999999999"/>
    <d v="2024-06-04T00:00:00"/>
    <x v="401"/>
  </r>
  <r>
    <x v="5"/>
    <s v="Clothing"/>
    <s v="Nike"/>
    <s v="Premium"/>
    <s v="North"/>
    <x v="1"/>
    <n v="3577.78"/>
    <x v="2"/>
    <n v="3398.8910000000001"/>
    <n v="1"/>
    <x v="1123"/>
    <n v="1189.6099999999999"/>
    <d v="2024-11-12T00:00:00"/>
    <x v="47"/>
  </r>
  <r>
    <x v="11"/>
    <s v="Home Appliance"/>
    <s v="Godrej"/>
    <s v="Budget"/>
    <s v="North"/>
    <x v="4"/>
    <n v="6782.28"/>
    <x v="2"/>
    <n v="6443.1659999999993"/>
    <n v="5"/>
    <x v="1124"/>
    <n v="4832.37"/>
    <d v="2024-06-28T00:00:00"/>
    <x v="273"/>
  </r>
  <r>
    <x v="9"/>
    <s v="Clothing"/>
    <s v="Nike"/>
    <s v="Premium"/>
    <s v="South"/>
    <x v="0"/>
    <n v="980.52"/>
    <x v="0"/>
    <n v="980.52"/>
    <n v="3"/>
    <x v="1125"/>
    <n v="1029.55"/>
    <d v="2024-07-07T00:00:00"/>
    <x v="25"/>
  </r>
  <r>
    <x v="9"/>
    <s v="Clothing"/>
    <s v="Levis"/>
    <s v="Premium"/>
    <s v="South"/>
    <x v="5"/>
    <n v="934.48"/>
    <x v="0"/>
    <n v="934.48"/>
    <n v="3"/>
    <x v="1126"/>
    <n v="981.2"/>
    <d v="2024-10-28T00:00:00"/>
    <x v="64"/>
  </r>
  <r>
    <x v="5"/>
    <s v="Clothing"/>
    <s v="Roadster"/>
    <s v="Budget"/>
    <s v="North"/>
    <x v="1"/>
    <n v="2546.87"/>
    <x v="1"/>
    <n v="2037.4960000000001"/>
    <n v="1"/>
    <x v="1127"/>
    <n v="305.62"/>
    <d v="2024-11-01T00:00:00"/>
    <x v="343"/>
  </r>
  <r>
    <x v="1"/>
    <s v="Furniture"/>
    <s v="Godrej Interio"/>
    <s v="Premium"/>
    <s v="East"/>
    <x v="8"/>
    <n v="9213.06"/>
    <x v="1"/>
    <n v="7370.4480000000003"/>
    <n v="1"/>
    <x v="1128"/>
    <n v="2579.66"/>
    <d v="2024-02-14T00:00:00"/>
    <x v="258"/>
  </r>
  <r>
    <x v="14"/>
    <s v="Electronics"/>
    <s v="Realme"/>
    <s v="Budget"/>
    <s v="South"/>
    <x v="6"/>
    <n v="12299.52"/>
    <x v="3"/>
    <n v="11069.567999999999"/>
    <n v="5"/>
    <x v="1129"/>
    <n v="8302.18"/>
    <d v="2024-05-31T00:00:00"/>
    <x v="488"/>
  </r>
  <r>
    <x v="7"/>
    <s v="Home Appliance"/>
    <s v="Samsung"/>
    <s v="Premium"/>
    <s v="North"/>
    <x v="2"/>
    <n v="31393.23"/>
    <x v="4"/>
    <n v="21975.260999999999"/>
    <n v="2"/>
    <x v="1130"/>
    <n v="15382.68"/>
    <d v="2024-05-22T00:00:00"/>
    <x v="508"/>
  </r>
  <r>
    <x v="9"/>
    <s v="Clothing"/>
    <s v="Roadster"/>
    <s v="Budget"/>
    <s v="West"/>
    <x v="7"/>
    <n v="699.6"/>
    <x v="5"/>
    <n v="594.66"/>
    <n v="3"/>
    <x v="1131"/>
    <n v="267.60000000000002"/>
    <d v="2025-01-26T00:00:00"/>
    <x v="29"/>
  </r>
  <r>
    <x v="13"/>
    <s v="Home Appliance"/>
    <s v="LG"/>
    <s v="Premium"/>
    <s v="North"/>
    <x v="4"/>
    <n v="22125.599999999999"/>
    <x v="4"/>
    <n v="15487.92"/>
    <n v="1"/>
    <x v="1132"/>
    <n v="5420.77"/>
    <d v="2025-06-09T00:00:00"/>
    <x v="428"/>
  </r>
  <r>
    <x v="11"/>
    <s v="Home Appliance"/>
    <s v="LG"/>
    <s v="Premium"/>
    <s v="North"/>
    <x v="2"/>
    <n v="9957.09"/>
    <x v="0"/>
    <n v="9957.09"/>
    <n v="1"/>
    <x v="1133"/>
    <n v="3484.98"/>
    <d v="2024-03-27T00:00:00"/>
    <x v="509"/>
  </r>
  <r>
    <x v="13"/>
    <s v="Home Appliance"/>
    <s v="Whirlpool"/>
    <s v="Standard"/>
    <s v="South"/>
    <x v="0"/>
    <n v="18316.259999999998"/>
    <x v="3"/>
    <n v="16484.633999999998"/>
    <n v="5"/>
    <x v="1134"/>
    <n v="20605.79"/>
    <d v="2024-01-18T00:00:00"/>
    <x v="103"/>
  </r>
  <r>
    <x v="9"/>
    <s v="Clothing"/>
    <s v="Max"/>
    <s v="Budget"/>
    <s v="South"/>
    <x v="6"/>
    <n v="661.85"/>
    <x v="0"/>
    <n v="661.85"/>
    <n v="5"/>
    <x v="1135"/>
    <n v="496.39"/>
    <d v="2025-07-04T00:00:00"/>
    <x v="271"/>
  </r>
  <r>
    <x v="8"/>
    <s v="Furniture"/>
    <s v="HomeTown"/>
    <s v="Standard"/>
    <s v="East"/>
    <x v="10"/>
    <n v="23471.75"/>
    <x v="6"/>
    <n v="17603.8125"/>
    <n v="4"/>
    <x v="1136"/>
    <n v="17603.810000000001"/>
    <d v="2025-04-19T00:00:00"/>
    <x v="470"/>
  </r>
  <r>
    <x v="5"/>
    <s v="Clothing"/>
    <s v="H&amp;M"/>
    <s v="Standard"/>
    <s v="West"/>
    <x v="9"/>
    <n v="3250.91"/>
    <x v="2"/>
    <n v="3088.3645000000001"/>
    <n v="3"/>
    <x v="1137"/>
    <n v="2316.27"/>
    <d v="2025-01-02T00:00:00"/>
    <x v="244"/>
  </r>
  <r>
    <x v="11"/>
    <s v="Home Appliance"/>
    <s v="Whirlpool"/>
    <s v="Standard"/>
    <s v="South"/>
    <x v="0"/>
    <n v="7626.39"/>
    <x v="3"/>
    <n v="6863.7510000000002"/>
    <n v="2"/>
    <x v="1138"/>
    <n v="3431.88"/>
    <d v="2024-02-19T00:00:00"/>
    <x v="418"/>
  </r>
  <r>
    <x v="2"/>
    <s v="Electronics"/>
    <s v="Samsung"/>
    <s v="Premium"/>
    <s v="North"/>
    <x v="1"/>
    <n v="63806.71"/>
    <x v="2"/>
    <n v="60616.374499999998"/>
    <n v="1"/>
    <x v="1139"/>
    <n v="21215.73"/>
    <d v="2024-05-31T00:00:00"/>
    <x v="401"/>
  </r>
  <r>
    <x v="4"/>
    <s v="Furniture"/>
    <s v="Nilkamal"/>
    <s v="Budget"/>
    <s v="East"/>
    <x v="8"/>
    <n v="24547.26"/>
    <x v="4"/>
    <n v="17183.081999999999"/>
    <n v="2"/>
    <x v="1140"/>
    <n v="5154.92"/>
    <d v="2024-02-14T00:00:00"/>
    <x v="142"/>
  </r>
  <r>
    <x v="0"/>
    <s v="Footwear"/>
    <s v="Adidas"/>
    <s v="Premium"/>
    <s v="North"/>
    <x v="1"/>
    <n v="3141.77"/>
    <x v="2"/>
    <n v="2984.6815000000001"/>
    <n v="4"/>
    <x v="1141"/>
    <n v="4178.5600000000004"/>
    <d v="2024-02-21T00:00:00"/>
    <x v="102"/>
  </r>
  <r>
    <x v="5"/>
    <s v="Clothing"/>
    <s v="Max"/>
    <s v="Budget"/>
    <s v="North"/>
    <x v="4"/>
    <n v="2782.19"/>
    <x v="0"/>
    <n v="2782.19"/>
    <n v="5"/>
    <x v="1142"/>
    <n v="2086.64"/>
    <d v="2025-02-08T00:00:00"/>
    <x v="464"/>
  </r>
  <r>
    <x v="5"/>
    <s v="Clothing"/>
    <s v="Roadster"/>
    <s v="Budget"/>
    <s v="East"/>
    <x v="10"/>
    <n v="2512.7800000000002"/>
    <x v="5"/>
    <n v="2135.8629999999998"/>
    <n v="2"/>
    <x v="1143"/>
    <n v="640.76"/>
    <d v="2025-03-15T00:00:00"/>
    <x v="122"/>
  </r>
  <r>
    <x v="2"/>
    <s v="Electronics"/>
    <s v="Realme"/>
    <s v="Budget"/>
    <s v="East"/>
    <x v="8"/>
    <n v="38674.239999999998"/>
    <x v="6"/>
    <n v="29005.68"/>
    <n v="4"/>
    <x v="1144"/>
    <n v="17403.41"/>
    <d v="2024-04-15T00:00:00"/>
    <x v="510"/>
  </r>
  <r>
    <x v="14"/>
    <s v="Electronics"/>
    <s v="Realme"/>
    <s v="Budget"/>
    <s v="East"/>
    <x v="3"/>
    <n v="11913.2"/>
    <x v="0"/>
    <n v="11913.2"/>
    <n v="3"/>
    <x v="1145"/>
    <n v="5360.94"/>
    <d v="2024-01-21T00:00:00"/>
    <x v="347"/>
  </r>
  <r>
    <x v="2"/>
    <s v="Electronics"/>
    <s v="Xiaomi"/>
    <s v="Budget"/>
    <s v="North"/>
    <x v="4"/>
    <n v="43356.14"/>
    <x v="5"/>
    <n v="36852.718999999997"/>
    <n v="3"/>
    <x v="1146"/>
    <n v="16583.72"/>
    <d v="2024-10-16T00:00:00"/>
    <x v="160"/>
  </r>
  <r>
    <x v="7"/>
    <s v="Home Appliance"/>
    <s v="LG"/>
    <s v="Premium"/>
    <s v="West"/>
    <x v="11"/>
    <n v="33873.589999999997"/>
    <x v="4"/>
    <n v="23711.512999999999"/>
    <n v="3"/>
    <x v="1147"/>
    <n v="24897.09"/>
    <d v="2024-05-27T00:00:00"/>
    <x v="286"/>
  </r>
  <r>
    <x v="9"/>
    <s v="Clothing"/>
    <s v="Max"/>
    <s v="Budget"/>
    <s v="East"/>
    <x v="3"/>
    <n v="674.09"/>
    <x v="1"/>
    <n v="539.27200000000005"/>
    <n v="1"/>
    <x v="1148"/>
    <n v="80.89"/>
    <d v="2025-01-01T00:00:00"/>
    <x v="80"/>
  </r>
  <r>
    <x v="14"/>
    <s v="Electronics"/>
    <s v="Apple"/>
    <s v="Premium"/>
    <s v="South"/>
    <x v="0"/>
    <n v="18276.27"/>
    <x v="3"/>
    <n v="16448.643"/>
    <n v="2"/>
    <x v="1149"/>
    <n v="11514.05"/>
    <d v="2024-09-28T00:00:00"/>
    <x v="92"/>
  </r>
  <r>
    <x v="1"/>
    <s v="Furniture"/>
    <s v="Ikea"/>
    <s v="Premium"/>
    <s v="East"/>
    <x v="10"/>
    <n v="8729.69"/>
    <x v="0"/>
    <n v="8729.69"/>
    <n v="2"/>
    <x v="1150"/>
    <n v="6110.78"/>
    <d v="2024-04-15T00:00:00"/>
    <x v="511"/>
  </r>
  <r>
    <x v="9"/>
    <s v="Clothing"/>
    <s v="H&amp;M"/>
    <s v="Standard"/>
    <s v="East"/>
    <x v="8"/>
    <n v="736.57"/>
    <x v="6"/>
    <n v="552.42750000000001"/>
    <n v="3"/>
    <x v="1151"/>
    <n v="414.32"/>
    <d v="2024-10-01T00:00:00"/>
    <x v="469"/>
  </r>
  <r>
    <x v="1"/>
    <s v="Furniture"/>
    <s v="Nilkamal"/>
    <s v="Budget"/>
    <s v="North"/>
    <x v="4"/>
    <n v="6751.45"/>
    <x v="0"/>
    <n v="6751.45"/>
    <n v="4"/>
    <x v="1152"/>
    <n v="4050.87"/>
    <d v="2025-07-19T00:00:00"/>
    <x v="31"/>
  </r>
  <r>
    <x v="2"/>
    <s v="Electronics"/>
    <s v="Realme"/>
    <s v="Budget"/>
    <s v="East"/>
    <x v="8"/>
    <n v="41412.19"/>
    <x v="5"/>
    <n v="35200.361499999999"/>
    <n v="4"/>
    <x v="1153"/>
    <n v="21120.22"/>
    <d v="2024-02-08T00:00:00"/>
    <x v="393"/>
  </r>
  <r>
    <x v="14"/>
    <s v="Electronics"/>
    <s v="Xiaomi"/>
    <s v="Budget"/>
    <s v="South"/>
    <x v="6"/>
    <n v="12538.44"/>
    <x v="3"/>
    <n v="11284.596"/>
    <n v="4"/>
    <x v="1154"/>
    <n v="6770.76"/>
    <d v="2024-05-13T00:00:00"/>
    <x v="402"/>
  </r>
  <r>
    <x v="11"/>
    <s v="Home Appliance"/>
    <s v="Godrej"/>
    <s v="Budget"/>
    <s v="South"/>
    <x v="0"/>
    <n v="6763.01"/>
    <x v="3"/>
    <n v="6086.7090000000007"/>
    <n v="1"/>
    <x v="1155"/>
    <n v="913.01"/>
    <d v="2024-04-02T00:00:00"/>
    <x v="229"/>
  </r>
  <r>
    <x v="9"/>
    <s v="Clothing"/>
    <s v="Nike"/>
    <s v="Premium"/>
    <s v="West"/>
    <x v="7"/>
    <n v="1023.36"/>
    <x v="5"/>
    <n v="869.85599999999999"/>
    <n v="3"/>
    <x v="1156"/>
    <n v="913.35"/>
    <d v="2024-11-05T00:00:00"/>
    <x v="512"/>
  </r>
  <r>
    <x v="12"/>
    <s v="Clothing"/>
    <s v="H&amp;M"/>
    <s v="Standard"/>
    <s v="South"/>
    <x v="6"/>
    <n v="1495.29"/>
    <x v="4"/>
    <n v="1046.703"/>
    <n v="3"/>
    <x v="1157"/>
    <n v="785.03"/>
    <d v="2024-09-25T00:00:00"/>
    <x v="92"/>
  </r>
  <r>
    <x v="13"/>
    <s v="Home Appliance"/>
    <s v="Godrej"/>
    <s v="Budget"/>
    <s v="North"/>
    <x v="4"/>
    <n v="15227.88"/>
    <x v="0"/>
    <n v="15227.88"/>
    <n v="5"/>
    <x v="1158"/>
    <n v="11420.91"/>
    <d v="2024-05-07T00:00:00"/>
    <x v="400"/>
  </r>
  <r>
    <x v="2"/>
    <s v="Electronics"/>
    <s v="Samsung"/>
    <s v="Premium"/>
    <s v="East"/>
    <x v="8"/>
    <n v="59766.13"/>
    <x v="1"/>
    <n v="47812.904000000002"/>
    <n v="2"/>
    <x v="1159"/>
    <n v="33469.03"/>
    <d v="2024-06-11T00:00:00"/>
    <x v="70"/>
  </r>
  <r>
    <x v="0"/>
    <s v="Footwear"/>
    <s v="Bata"/>
    <s v="Budget"/>
    <s v="South"/>
    <x v="5"/>
    <n v="2068.0700000000002"/>
    <x v="5"/>
    <n v="1757.8595"/>
    <n v="1"/>
    <x v="1160"/>
    <n v="263.68"/>
    <d v="2024-07-21T00:00:00"/>
    <x v="382"/>
  </r>
  <r>
    <x v="14"/>
    <s v="Electronics"/>
    <s v="Xiaomi"/>
    <s v="Budget"/>
    <s v="East"/>
    <x v="3"/>
    <n v="12327.23"/>
    <x v="4"/>
    <n v="8629.0609999999997"/>
    <n v="5"/>
    <x v="1161"/>
    <n v="6471.8"/>
    <d v="2024-09-13T00:00:00"/>
    <x v="513"/>
  </r>
  <r>
    <x v="0"/>
    <s v="Footwear"/>
    <s v="Adidas"/>
    <s v="Premium"/>
    <s v="North"/>
    <x v="2"/>
    <n v="3270.78"/>
    <x v="0"/>
    <n v="3270.78"/>
    <n v="3"/>
    <x v="1162"/>
    <n v="3434.32"/>
    <d v="2025-07-23T00:00:00"/>
    <x v="514"/>
  </r>
  <r>
    <x v="14"/>
    <s v="Electronics"/>
    <s v="Apple"/>
    <s v="Premium"/>
    <s v="East"/>
    <x v="8"/>
    <n v="16847.2"/>
    <x v="6"/>
    <n v="12635.4"/>
    <n v="3"/>
    <x v="1163"/>
    <n v="13267.17"/>
    <d v="2024-03-02T00:00:00"/>
    <x v="245"/>
  </r>
  <r>
    <x v="4"/>
    <s v="Furniture"/>
    <s v="HomeTown"/>
    <s v="Standard"/>
    <s v="North"/>
    <x v="2"/>
    <n v="31111.24"/>
    <x v="1"/>
    <n v="24888.991999999998"/>
    <n v="5"/>
    <x v="1164"/>
    <n v="31111.24"/>
    <d v="2025-04-19T00:00:00"/>
    <x v="470"/>
  </r>
  <r>
    <x v="10"/>
    <s v="Furniture"/>
    <s v="HomeTown"/>
    <s v="Standard"/>
    <s v="South"/>
    <x v="6"/>
    <n v="35070.92"/>
    <x v="3"/>
    <n v="31563.828000000001"/>
    <n v="3"/>
    <x v="1165"/>
    <n v="23672.87"/>
    <d v="2025-05-23T00:00:00"/>
    <x v="68"/>
  </r>
  <r>
    <x v="13"/>
    <s v="Home Appliance"/>
    <s v="Whirlpool"/>
    <s v="Standard"/>
    <s v="South"/>
    <x v="6"/>
    <n v="17367.490000000002"/>
    <x v="0"/>
    <n v="17367.490000000002"/>
    <n v="3"/>
    <x v="1166"/>
    <n v="13025.62"/>
    <d v="2025-01-13T00:00:00"/>
    <x v="386"/>
  </r>
  <r>
    <x v="14"/>
    <s v="Electronics"/>
    <s v="Apple"/>
    <s v="Premium"/>
    <s v="East"/>
    <x v="8"/>
    <n v="16586.05"/>
    <x v="1"/>
    <n v="13268.84"/>
    <n v="1"/>
    <x v="1167"/>
    <n v="4644.09"/>
    <d v="2025-01-18T00:00:00"/>
    <x v="515"/>
  </r>
  <r>
    <x v="12"/>
    <s v="Clothing"/>
    <s v="Max"/>
    <s v="Budget"/>
    <s v="West"/>
    <x v="11"/>
    <n v="1311.11"/>
    <x v="6"/>
    <n v="983.33249999999998"/>
    <n v="3"/>
    <x v="1168"/>
    <n v="442.5"/>
    <d v="2024-12-23T00:00:00"/>
    <x v="32"/>
  </r>
  <r>
    <x v="2"/>
    <s v="Electronics"/>
    <s v="Realme"/>
    <s v="Budget"/>
    <s v="West"/>
    <x v="7"/>
    <n v="45141.04"/>
    <x v="5"/>
    <n v="38369.883999999998"/>
    <n v="3"/>
    <x v="1169"/>
    <n v="17266.45"/>
    <d v="2025-03-23T00:00:00"/>
    <x v="355"/>
  </r>
  <r>
    <x v="4"/>
    <s v="Furniture"/>
    <s v="HomeTown"/>
    <s v="Standard"/>
    <s v="North"/>
    <x v="1"/>
    <n v="32655.95"/>
    <x v="2"/>
    <n v="31023.1525"/>
    <n v="4"/>
    <x v="1170"/>
    <n v="31023.15"/>
    <d v="2025-04-20T00:00:00"/>
    <x v="516"/>
  </r>
  <r>
    <x v="13"/>
    <s v="Home Appliance"/>
    <s v="Samsung"/>
    <s v="Premium"/>
    <s v="North"/>
    <x v="1"/>
    <n v="23515.77"/>
    <x v="2"/>
    <n v="22339.981500000002"/>
    <n v="4"/>
    <x v="1171"/>
    <n v="31275.98"/>
    <d v="2024-12-16T00:00:00"/>
    <x v="356"/>
  </r>
  <r>
    <x v="9"/>
    <s v="Clothing"/>
    <s v="Nike"/>
    <s v="Premium"/>
    <s v="South"/>
    <x v="0"/>
    <n v="896.74"/>
    <x v="4"/>
    <n v="627.71799999999996"/>
    <n v="4"/>
    <x v="1172"/>
    <n v="878.8"/>
    <d v="2024-02-01T00:00:00"/>
    <x v="226"/>
  </r>
  <r>
    <x v="11"/>
    <s v="Home Appliance"/>
    <s v="Godrej"/>
    <s v="Budget"/>
    <s v="North"/>
    <x v="2"/>
    <n v="7318.79"/>
    <x v="4"/>
    <n v="5123.1529999999993"/>
    <n v="3"/>
    <x v="1173"/>
    <n v="2305.42"/>
    <d v="2025-03-24T00:00:00"/>
    <x v="394"/>
  </r>
  <r>
    <x v="11"/>
    <s v="Home Appliance"/>
    <s v="LG"/>
    <s v="Premium"/>
    <s v="South"/>
    <x v="5"/>
    <n v="9829.91"/>
    <x v="2"/>
    <n v="9338.414499999999"/>
    <n v="3"/>
    <x v="1174"/>
    <n v="9805.33"/>
    <d v="2025-05-05T00:00:00"/>
    <x v="108"/>
  </r>
  <r>
    <x v="2"/>
    <s v="Electronics"/>
    <s v="Realme"/>
    <s v="Budget"/>
    <s v="West"/>
    <x v="11"/>
    <n v="45841.86"/>
    <x v="2"/>
    <n v="43549.767"/>
    <n v="2"/>
    <x v="1175"/>
    <n v="13064.93"/>
    <d v="2024-03-21T00:00:00"/>
    <x v="383"/>
  </r>
  <r>
    <x v="1"/>
    <s v="Furniture"/>
    <s v="Ikea"/>
    <s v="Premium"/>
    <s v="West"/>
    <x v="9"/>
    <n v="10735.75"/>
    <x v="0"/>
    <n v="10735.75"/>
    <n v="2"/>
    <x v="1176"/>
    <n v="7515.02"/>
    <d v="2024-05-17T00:00:00"/>
    <x v="96"/>
  </r>
  <r>
    <x v="5"/>
    <s v="Clothing"/>
    <s v="Zara"/>
    <s v="Premium"/>
    <s v="West"/>
    <x v="9"/>
    <n v="3708.02"/>
    <x v="0"/>
    <n v="3708.02"/>
    <n v="3"/>
    <x v="1177"/>
    <n v="3893.42"/>
    <d v="2025-06-25T00:00:00"/>
    <x v="97"/>
  </r>
  <r>
    <x v="8"/>
    <s v="Furniture"/>
    <s v="Ikea"/>
    <s v="Premium"/>
    <s v="East"/>
    <x v="3"/>
    <n v="28487.33"/>
    <x v="1"/>
    <n v="22789.864000000001"/>
    <n v="4"/>
    <x v="1178"/>
    <n v="31905.81"/>
    <d v="2025-04-25T00:00:00"/>
    <x v="112"/>
  </r>
  <r>
    <x v="12"/>
    <s v="Clothing"/>
    <s v="Zara"/>
    <s v="Premium"/>
    <s v="West"/>
    <x v="9"/>
    <n v="2008.06"/>
    <x v="3"/>
    <n v="1807.2539999999999"/>
    <n v="2"/>
    <x v="1179"/>
    <n v="1265.08"/>
    <d v="2024-02-29T00:00:00"/>
    <x v="245"/>
  </r>
  <r>
    <x v="3"/>
    <s v="Electronics"/>
    <s v="Xiaomi"/>
    <s v="Budget"/>
    <s v="North"/>
    <x v="2"/>
    <n v="1730.57"/>
    <x v="2"/>
    <n v="1644.0415"/>
    <n v="3"/>
    <x v="1180"/>
    <n v="739.82"/>
    <d v="2024-05-03T00:00:00"/>
    <x v="187"/>
  </r>
  <r>
    <x v="6"/>
    <s v="Footwear"/>
    <s v="Puma"/>
    <s v="Standard"/>
    <s v="South"/>
    <x v="0"/>
    <n v="3402.44"/>
    <x v="4"/>
    <n v="2381.7080000000001"/>
    <n v="3"/>
    <x v="1181"/>
    <n v="1786.28"/>
    <d v="2024-10-09T00:00:00"/>
    <x v="234"/>
  </r>
  <r>
    <x v="14"/>
    <s v="Electronics"/>
    <s v="Dell"/>
    <s v="Standard"/>
    <s v="South"/>
    <x v="5"/>
    <n v="14314.31"/>
    <x v="5"/>
    <n v="12167.163500000001"/>
    <n v="3"/>
    <x v="1182"/>
    <n v="9125.3700000000008"/>
    <d v="2024-04-24T00:00:00"/>
    <x v="106"/>
  </r>
  <r>
    <x v="10"/>
    <s v="Furniture"/>
    <s v="Nilkamal"/>
    <s v="Budget"/>
    <s v="West"/>
    <x v="9"/>
    <n v="31034.75"/>
    <x v="4"/>
    <n v="21724.325000000001"/>
    <n v="1"/>
    <x v="1183"/>
    <n v="3258.65"/>
    <d v="2024-03-03T00:00:00"/>
    <x v="478"/>
  </r>
  <r>
    <x v="1"/>
    <s v="Furniture"/>
    <s v="Godrej Interio"/>
    <s v="Premium"/>
    <s v="East"/>
    <x v="8"/>
    <n v="9512.07"/>
    <x v="5"/>
    <n v="8085.2594999999992"/>
    <n v="5"/>
    <x v="1184"/>
    <n v="14149.2"/>
    <d v="2024-09-10T00:00:00"/>
    <x v="126"/>
  </r>
  <r>
    <x v="2"/>
    <s v="Electronics"/>
    <s v="Samsung"/>
    <s v="Premium"/>
    <s v="South"/>
    <x v="5"/>
    <n v="60486.69"/>
    <x v="3"/>
    <n v="54438.021000000001"/>
    <n v="2"/>
    <x v="1185"/>
    <n v="38106.61"/>
    <d v="2024-06-11T00:00:00"/>
    <x v="472"/>
  </r>
  <r>
    <x v="2"/>
    <s v="Electronics"/>
    <s v="Apple"/>
    <s v="Premium"/>
    <s v="East"/>
    <x v="8"/>
    <n v="58921.3"/>
    <x v="2"/>
    <n v="55975.235000000001"/>
    <n v="2"/>
    <x v="1186"/>
    <n v="39182.660000000003"/>
    <d v="2025-04-18T00:00:00"/>
    <x v="425"/>
  </r>
  <r>
    <x v="1"/>
    <s v="Furniture"/>
    <s v="Nilkamal"/>
    <s v="Budget"/>
    <s v="West"/>
    <x v="11"/>
    <n v="7048.09"/>
    <x v="1"/>
    <n v="5638.4720000000007"/>
    <n v="4"/>
    <x v="1187"/>
    <n v="3383.08"/>
    <d v="2025-01-23T00:00:00"/>
    <x v="515"/>
  </r>
  <r>
    <x v="4"/>
    <s v="Furniture"/>
    <s v="Godrej Interio"/>
    <s v="Premium"/>
    <s v="North"/>
    <x v="4"/>
    <n v="36118.46"/>
    <x v="0"/>
    <n v="36118.46"/>
    <n v="5"/>
    <x v="1188"/>
    <n v="63207.3"/>
    <d v="2024-05-16T00:00:00"/>
    <x v="402"/>
  </r>
  <r>
    <x v="11"/>
    <s v="Home Appliance"/>
    <s v="Whirlpool"/>
    <s v="Standard"/>
    <s v="South"/>
    <x v="0"/>
    <n v="7580.6"/>
    <x v="1"/>
    <n v="6064.48"/>
    <n v="3"/>
    <x v="1189"/>
    <n v="4548.3599999999997"/>
    <d v="2025-05-01T00:00:00"/>
    <x v="419"/>
  </r>
  <r>
    <x v="6"/>
    <s v="Footwear"/>
    <s v="Adidas"/>
    <s v="Premium"/>
    <s v="North"/>
    <x v="1"/>
    <n v="4414.79"/>
    <x v="3"/>
    <n v="3973.3110000000001"/>
    <n v="5"/>
    <x v="1190"/>
    <n v="6953.3"/>
    <d v="2024-06-24T00:00:00"/>
    <x v="89"/>
  </r>
  <r>
    <x v="7"/>
    <s v="Home Appliance"/>
    <s v="Godrej"/>
    <s v="Budget"/>
    <s v="West"/>
    <x v="9"/>
    <n v="22524.14"/>
    <x v="1"/>
    <n v="18019.312000000002"/>
    <n v="2"/>
    <x v="1191"/>
    <n v="5405.79"/>
    <d v="2025-01-23T00:00:00"/>
    <x v="113"/>
  </r>
  <r>
    <x v="3"/>
    <s v="Electronics"/>
    <s v="Samsung"/>
    <s v="Premium"/>
    <s v="West"/>
    <x v="11"/>
    <n v="2482.9699999999998"/>
    <x v="2"/>
    <n v="2358.8215"/>
    <n v="1"/>
    <x v="1192"/>
    <n v="825.59"/>
    <d v="2025-01-15T00:00:00"/>
    <x v="457"/>
  </r>
  <r>
    <x v="3"/>
    <s v="Electronics"/>
    <s v="Xiaomi"/>
    <s v="Budget"/>
    <s v="North"/>
    <x v="1"/>
    <n v="1810.76"/>
    <x v="2"/>
    <n v="1720.222"/>
    <n v="1"/>
    <x v="1193"/>
    <n v="258.02999999999997"/>
    <d v="2024-11-12T00:00:00"/>
    <x v="412"/>
  </r>
  <r>
    <x v="2"/>
    <s v="Electronics"/>
    <s v="Realme"/>
    <s v="Budget"/>
    <s v="West"/>
    <x v="7"/>
    <n v="44044.98"/>
    <x v="1"/>
    <n v="35235.983999999997"/>
    <n v="1"/>
    <x v="1194"/>
    <n v="5285.4"/>
    <d v="2024-06-19T00:00:00"/>
    <x v="420"/>
  </r>
  <r>
    <x v="2"/>
    <s v="Electronics"/>
    <s v="HP"/>
    <s v="Standard"/>
    <s v="West"/>
    <x v="7"/>
    <n v="54612.22"/>
    <x v="1"/>
    <n v="43689.776000000013"/>
    <n v="2"/>
    <x v="1195"/>
    <n v="21844.89"/>
    <d v="2024-06-26T00:00:00"/>
    <x v="391"/>
  </r>
  <r>
    <x v="12"/>
    <s v="Clothing"/>
    <s v="H&amp;M"/>
    <s v="Standard"/>
    <s v="East"/>
    <x v="3"/>
    <n v="1389.71"/>
    <x v="0"/>
    <n v="1389.71"/>
    <n v="2"/>
    <x v="1196"/>
    <n v="694.86"/>
    <d v="2025-05-13T00:00:00"/>
    <x v="62"/>
  </r>
  <r>
    <x v="1"/>
    <s v="Furniture"/>
    <s v="HomeTown"/>
    <s v="Standard"/>
    <s v="East"/>
    <x v="8"/>
    <n v="7533.25"/>
    <x v="6"/>
    <n v="5649.9375"/>
    <n v="5"/>
    <x v="1197"/>
    <n v="7062.42"/>
    <d v="2024-02-26T00:00:00"/>
    <x v="102"/>
  </r>
  <r>
    <x v="6"/>
    <s v="Footwear"/>
    <s v="Adidas"/>
    <s v="Premium"/>
    <s v="South"/>
    <x v="5"/>
    <n v="4295.24"/>
    <x v="2"/>
    <n v="4080.4780000000001"/>
    <n v="4"/>
    <x v="1198"/>
    <n v="5712.67"/>
    <d v="2024-05-19T00:00:00"/>
    <x v="508"/>
  </r>
  <r>
    <x v="7"/>
    <s v="Home Appliance"/>
    <s v="Godrej"/>
    <s v="Budget"/>
    <s v="North"/>
    <x v="1"/>
    <n v="22650.2"/>
    <x v="5"/>
    <n v="19252.669999999998"/>
    <n v="1"/>
    <x v="1199"/>
    <n v="2887.9"/>
    <d v="2025-07-15T00:00:00"/>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70003-8468-4D3D-B8CC-3B5AE4922A82}" name="PivotTable3" cacheId="14"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3:E7" firstHeaderRow="0" firstDataRow="1" firstDataCol="2"/>
  <pivotFields count="17">
    <pivotField axis="axisRow" compact="0" outline="0" showAll="0" insertBlankRow="1">
      <items count="16">
        <item h="1" x="4"/>
        <item h="1" x="1"/>
        <item h="1" x="8"/>
        <item h="1" x="6"/>
        <item h="1" x="3"/>
        <item x="5"/>
        <item h="1" x="12"/>
        <item h="1" x="2"/>
        <item h="1" x="11"/>
        <item h="1" x="7"/>
        <item h="1" x="14"/>
        <item h="1" x="0"/>
        <item h="1" x="10"/>
        <item h="1" x="9"/>
        <item h="1" x="13"/>
        <item t="default"/>
      </items>
    </pivotField>
    <pivotField compact="0" outline="0" showAll="0" insertBlankRow="1"/>
    <pivotField compact="0" outline="0" showAll="0" insertBlankRow="1"/>
    <pivotField compact="0" outline="0" showAll="0" insertBlankRow="1"/>
    <pivotField compact="0" outline="0" showAll="0" insertBlankRow="1"/>
    <pivotField axis="axisRow" compact="0" outline="0" showAll="0" insertBlankRow="1">
      <items count="13">
        <item x="11"/>
        <item x="0"/>
        <item x="3"/>
        <item x="6"/>
        <item x="1"/>
        <item x="5"/>
        <item x="2"/>
        <item x="10"/>
        <item x="4"/>
        <item x="7"/>
        <item x="8"/>
        <item x="9"/>
        <item t="default"/>
      </items>
    </pivotField>
    <pivotField compact="0" outline="0" showAll="0" insertBlankRow="1"/>
    <pivotField dataField="1" compact="0" outline="0" showAll="0" insertBlankRow="1">
      <items count="8">
        <item h="1" x="0"/>
        <item x="2"/>
        <item h="1" x="3"/>
        <item x="5"/>
        <item h="1" x="1"/>
        <item x="6"/>
        <item x="4"/>
        <item t="default"/>
      </items>
    </pivotField>
    <pivotField compact="0" outline="0" showAll="0" insertBlankRow="1"/>
    <pivotField dataField="1" compact="0" outline="0" showAll="0" insertBlankRow="1"/>
    <pivotField dataField="1" compact="0" outline="0" showAll="0" insertBlankRow="1">
      <items count="1201">
        <item h="1" x="1065"/>
        <item h="1" x="1148"/>
        <item h="1" x="507"/>
        <item h="1" x="83"/>
        <item h="1" x="991"/>
        <item h="1" x="216"/>
        <item h="1" x="467"/>
        <item h="1" x="732"/>
        <item h="1" x="1117"/>
        <item h="1" x="263"/>
        <item h="1" x="271"/>
        <item h="1" x="406"/>
        <item h="1" x="440"/>
        <item h="1" x="90"/>
        <item h="1" x="314"/>
        <item h="1" x="533"/>
        <item h="1" x="934"/>
        <item h="1" x="129"/>
        <item h="1" x="893"/>
        <item h="1" x="616"/>
        <item h="1" x="520"/>
        <item h="1" x="472"/>
        <item h="1" x="946"/>
        <item h="1" x="657"/>
        <item h="1" x="1020"/>
        <item h="1" x="781"/>
        <item h="1" x="176"/>
        <item h="1" x="28"/>
        <item h="1" x="363"/>
        <item h="1" x="501"/>
        <item h="1" x="1049"/>
        <item h="1" x="377"/>
        <item h="1" x="346"/>
        <item h="1" x="241"/>
        <item h="1" x="305"/>
        <item h="1" x="1010"/>
        <item h="1" x="139"/>
        <item h="1" x="371"/>
        <item h="1" x="1120"/>
        <item h="1" x="89"/>
        <item h="1" x="977"/>
        <item h="1" x="883"/>
        <item h="1" x="1099"/>
        <item h="1" x="932"/>
        <item h="1" x="39"/>
        <item h="1" x="1088"/>
        <item h="1" x="1151"/>
        <item h="1" x="948"/>
        <item h="1" x="733"/>
        <item h="1" x="598"/>
        <item h="1" x="765"/>
        <item h="1" x="972"/>
        <item h="1" x="277"/>
        <item h="1" x="585"/>
        <item h="1" x="401"/>
        <item h="1" x="1193"/>
        <item h="1" x="109"/>
        <item h="1" x="540"/>
        <item h="1" x="649"/>
        <item h="1" x="601"/>
        <item h="1" x="1160"/>
        <item h="1" x="606"/>
        <item h="1" x="799"/>
        <item h="1" x="691"/>
        <item h="1" x="1131"/>
        <item h="1" x="698"/>
        <item h="1" x="621"/>
        <item h="1" x="299"/>
        <item h="1" x="1053"/>
        <item h="1" x="858"/>
        <item h="1" x="871"/>
        <item h="1" x="900"/>
        <item h="1" x="924"/>
        <item h="1" x="500"/>
        <item h="1" x="183"/>
        <item h="1" x="303"/>
        <item h="1" x="235"/>
        <item h="1" x="1127"/>
        <item h="1" x="51"/>
        <item h="1" x="455"/>
        <item h="1" x="870"/>
        <item h="1" x="526"/>
        <item h="1" x="563"/>
        <item h="1" x="94"/>
        <item h="1" x="675"/>
        <item h="1" x="655"/>
        <item h="1" x="509"/>
        <item h="1" x="771"/>
        <item h="1" x="742"/>
        <item h="1" x="349"/>
        <item h="1" x="107"/>
        <item h="1" x="827"/>
        <item h="1" x="432"/>
        <item h="1" x="848"/>
        <item h="1" x="726"/>
        <item h="1" x="1192"/>
        <item h="1" x="941"/>
        <item h="1" x="435"/>
        <item h="1" x="65"/>
        <item h="1" x="204"/>
        <item h="1" x="1039"/>
        <item h="1" x="87"/>
        <item h="1" x="1172"/>
        <item h="1" x="623"/>
        <item h="1" x="566"/>
        <item h="1" x="683"/>
        <item h="1" x="740"/>
        <item h="1" x="228"/>
        <item h="1" x="1156"/>
        <item h="1" x="41"/>
        <item h="1" x="226"/>
        <item h="1" x="665"/>
        <item h="1" x="544"/>
        <item h="1" x="744"/>
        <item h="1" x="64"/>
        <item h="1" x="1062"/>
        <item h="1" x="1054"/>
        <item h="1" x="261"/>
        <item h="1" x="1196"/>
        <item h="1" x="562"/>
        <item h="1" x="706"/>
        <item h="1" x="150"/>
        <item h="1" x="1126"/>
        <item h="1" x="703"/>
        <item h="1" x="49"/>
        <item h="1" x="807"/>
        <item h="1" x="615"/>
        <item h="1" x="636"/>
        <item h="1" x="1008"/>
        <item h="1" x="677"/>
        <item h="1" x="464"/>
        <item h="1" x="887"/>
        <item h="1" x="1125"/>
        <item h="1" x="17"/>
        <item h="1" x="825"/>
        <item h="1" x="324"/>
        <item h="1" x="1168"/>
        <item h="1" x="157"/>
        <item h="1" x="145"/>
        <item h="1" x="486"/>
        <item h="1" x="747"/>
        <item h="1" x="268"/>
        <item h="1" x="393"/>
        <item h="1" x="164"/>
        <item h="1" x="784"/>
        <item h="1" x="366"/>
        <item h="1" x="891"/>
        <item h="1" x="553"/>
        <item h="1" x="1157"/>
        <item h="1" x="152"/>
        <item h="1" x="641"/>
        <item h="1" x="444"/>
        <item h="1" x="874"/>
        <item x="980"/>
        <item h="1" x="225"/>
        <item h="1" x="497"/>
        <item h="1" x="332"/>
        <item h="1" x="1066"/>
        <item h="1" x="1135"/>
        <item h="1" x="547"/>
        <item h="1" x="120"/>
        <item h="1" x="823"/>
        <item h="1" x="1123"/>
        <item h="1" x="550"/>
        <item h="1" x="337"/>
        <item h="1" x="755"/>
        <item h="1" x="867"/>
        <item h="1" x="886"/>
        <item h="1" x="912"/>
        <item h="1" x="610"/>
        <item h="1" x="462"/>
        <item h="1" x="709"/>
        <item h="1" x="112"/>
        <item h="1" x="310"/>
        <item h="1" x="29"/>
        <item h="1" x="1071"/>
        <item h="1" x="158"/>
        <item h="1" x="853"/>
        <item h="1" x="1179"/>
        <item h="1" x="246"/>
        <item h="1" x="931"/>
        <item h="1" x="502"/>
        <item h="1" x="24"/>
        <item h="1" x="264"/>
        <item h="1" x="155"/>
        <item h="1" x="431"/>
        <item h="1" x="339"/>
        <item h="1" x="492"/>
        <item h="1" x="723"/>
        <item h="1" x="13"/>
        <item h="1" x="93"/>
        <item h="1" x="278"/>
        <item h="1" x="663"/>
        <item h="1" x="100"/>
        <item h="1" x="298"/>
        <item h="1" x="862"/>
        <item h="1" x="84"/>
        <item h="1" x="894"/>
        <item h="1" x="730"/>
        <item h="1" x="449"/>
        <item h="1" x="77"/>
        <item h="1" x="328"/>
        <item h="1" x="776"/>
        <item h="1" x="425"/>
        <item h="1" x="785"/>
        <item h="1" x="1143"/>
        <item h="1" x="810"/>
        <item h="1" x="708"/>
        <item h="1" x="888"/>
        <item h="1" x="958"/>
        <item h="1" x="847"/>
        <item h="1" x="788"/>
        <item h="1" x="928"/>
        <item h="1" x="879"/>
        <item h="1" x="791"/>
        <item h="1" x="383"/>
        <item h="1" x="707"/>
        <item h="1" x="1057"/>
        <item h="1" x="294"/>
        <item h="1" x="255"/>
        <item h="1" x="203"/>
        <item h="1" x="202"/>
        <item h="1" x="43"/>
        <item h="1" x="166"/>
        <item h="1" x="7"/>
        <item h="1" x="101"/>
        <item h="1" x="1180"/>
        <item h="1" x="1090"/>
        <item h="1" x="986"/>
        <item h="1" x="722"/>
        <item h="1" x="602"/>
        <item h="1" x="0"/>
        <item h="1" x="506"/>
        <item h="1" x="309"/>
        <item h="1" x="685"/>
        <item h="1" x="725"/>
        <item h="1" x="1078"/>
        <item h="1" x="168"/>
        <item h="1" x="576"/>
        <item h="1" x="256"/>
        <item h="1" x="238"/>
        <item h="1" x="196"/>
        <item h="1" x="1006"/>
        <item h="1" x="852"/>
        <item h="1" x="287"/>
        <item h="1" x="311"/>
        <item h="1" x="312"/>
        <item h="1" x="321"/>
        <item h="1" x="589"/>
        <item h="1" x="115"/>
        <item h="1" x="1102"/>
        <item h="1" x="626"/>
        <item h="1" x="1013"/>
        <item h="1" x="1029"/>
        <item h="1" x="323"/>
        <item h="1" x="437"/>
        <item h="1" x="910"/>
        <item h="1" x="595"/>
        <item h="1" x="906"/>
        <item h="1" x="632"/>
        <item h="1" x="819"/>
        <item h="1" x="154"/>
        <item h="1" x="72"/>
        <item h="1" x="921"/>
        <item h="1" x="656"/>
        <item h="1" x="362"/>
        <item h="1" x="421"/>
        <item h="1" x="538"/>
        <item h="1" x="184"/>
        <item h="1" x="860"/>
        <item h="1" x="651"/>
        <item h="1" x="236"/>
        <item h="1" x="564"/>
        <item h="1" x="766"/>
        <item h="1" x="652"/>
        <item h="1" x="483"/>
        <item h="1" x="57"/>
        <item h="1" x="918"/>
        <item h="1" x="148"/>
        <item h="1" x="930"/>
        <item h="1" x="1105"/>
        <item h="1" x="988"/>
        <item h="1" x="967"/>
        <item h="1" x="984"/>
        <item h="1" x="835"/>
        <item h="1" x="1155"/>
        <item h="1" x="62"/>
        <item h="1" x="355"/>
        <item h="1" x="179"/>
        <item h="1" x="1118"/>
        <item h="1" x="676"/>
        <item h="1" x="47"/>
        <item h="1" x="782"/>
        <item h="1" x="411"/>
        <item h="1" x="5"/>
        <item h="1" x="73"/>
        <item h="1" x="353"/>
        <item h="1" x="334"/>
        <item h="1" x="603"/>
        <item h="1" x="1089"/>
        <item h="1" x="280"/>
        <item h="1" x="512"/>
        <item h="1" x="992"/>
        <item h="1" x="717"/>
        <item h="1" x="513"/>
        <item h="1" x="727"/>
        <item h="1" x="793"/>
        <item h="1" x="61"/>
        <item h="1" x="737"/>
        <item h="1" x="1048"/>
        <item h="1" x="1046"/>
        <item h="1" x="775"/>
        <item h="1" x="715"/>
        <item h="1" x="78"/>
        <item h="1" x="956"/>
        <item h="1" x="642"/>
        <item h="1" x="81"/>
        <item h="1" x="1023"/>
        <item h="1" x="543"/>
        <item h="1" x="778"/>
        <item h="1" x="343"/>
        <item h="1" x="95"/>
        <item h="1" x="14"/>
        <item h="1" x="480"/>
        <item h="1" x="611"/>
        <item h="1" x="215"/>
        <item h="1" x="422"/>
        <item h="1" x="840"/>
        <item h="1" x="838"/>
        <item h="1" x="361"/>
        <item h="1" x="466"/>
        <item h="1" x="475"/>
        <item h="1" x="1181"/>
        <item h="1" x="254"/>
        <item h="1" x="227"/>
        <item h="1" x="940"/>
        <item h="1" x="516"/>
        <item h="1" x="937"/>
        <item h="1" x="857"/>
        <item h="1" x="1002"/>
        <item h="1" x="818"/>
        <item h="1" x="571"/>
        <item h="1" x="565"/>
        <item h="1" x="1128"/>
        <item h="1" x="140"/>
        <item h="1" x="832"/>
        <item h="1" x="617"/>
        <item h="1" x="201"/>
        <item h="1" x="861"/>
        <item h="1" x="699"/>
        <item h="1" x="898"/>
        <item h="1" x="590"/>
        <item h="1" x="1016"/>
        <item h="1" x="378"/>
        <item h="1" x="880"/>
        <item h="1" x="118"/>
        <item h="1" x="960"/>
        <item h="1" x="306"/>
        <item h="1" x="451"/>
        <item h="1" x="945"/>
        <item h="1" x="1108"/>
        <item h="1" x="1028"/>
        <item h="1" x="596"/>
        <item h="1" x="456"/>
        <item h="1" x="697"/>
        <item h="1" x="159"/>
        <item h="1" x="213"/>
        <item h="1" x="505"/>
        <item h="1" x="695"/>
        <item h="1" x="130"/>
        <item h="1" x="1025"/>
        <item h="1" x="735"/>
        <item h="1" x="26"/>
        <item h="1" x="258"/>
        <item h="1" x="613"/>
        <item h="1" x="920"/>
        <item h="1" x="650"/>
        <item h="1" x="386"/>
        <item h="1" x="487"/>
        <item h="1" x="247"/>
        <item h="1" x="556"/>
        <item h="1" x="899"/>
        <item h="1" x="955"/>
        <item h="1" x="687"/>
        <item h="1" x="1110"/>
        <item h="1" x="194"/>
        <item h="1" x="198"/>
        <item h="1" x="964"/>
        <item h="1" x="289"/>
        <item h="1" x="3"/>
        <item h="1" x="1091"/>
        <item h="1" x="1115"/>
        <item h="1" x="970"/>
        <item h="1" x="672"/>
        <item h="1" x="634"/>
        <item h="1" x="846"/>
        <item h="1" x="876"/>
        <item h="1" x="943"/>
        <item h="1" x="668"/>
        <item h="1" x="935"/>
        <item h="1" x="608"/>
        <item h="1" x="20"/>
        <item h="1" x="996"/>
        <item h="1" x="1137"/>
        <item h="1" x="952"/>
        <item h="1" x="849"/>
        <item h="1" x="86"/>
        <item h="1" x="30"/>
        <item h="1" x="358"/>
        <item h="1" x="412"/>
        <item h="1" x="178"/>
        <item h="1" x="75"/>
        <item h="1" x="728"/>
        <item h="1" x="402"/>
        <item h="1" x="252"/>
        <item h="1" x="890"/>
        <item h="1" x="536"/>
        <item h="1" x="865"/>
        <item h="1" x="469"/>
        <item h="1" x="200"/>
        <item h="1" x="528"/>
        <item h="1" x="1162"/>
        <item h="1" x="856"/>
        <item h="1" x="774"/>
        <item h="1" x="56"/>
        <item h="1" x="973"/>
        <item h="1" x="1133"/>
        <item h="1" x="917"/>
        <item h="1" x="88"/>
        <item h="1" x="839"/>
        <item h="1" x="416"/>
        <item h="1" x="631"/>
        <item h="1" x="885"/>
        <item h="1" x="982"/>
        <item h="1" x="670"/>
        <item h="1" x="347"/>
        <item h="1" x="284"/>
        <item h="1" x="382"/>
        <item h="1" x="521"/>
        <item h="1" x="44"/>
        <item h="1" x="376"/>
        <item h="1" x="126"/>
        <item h="1" x="199"/>
        <item h="1" x="224"/>
        <item h="1" x="837"/>
        <item h="1" x="908"/>
        <item h="1" x="379"/>
        <item h="1" x="1177"/>
        <item h="1" x="957"/>
        <item h="1" x="1082"/>
        <item h="1" x="285"/>
        <item h="1" x="333"/>
        <item h="1" x="257"/>
        <item h="1" x="953"/>
        <item h="1" x="374"/>
        <item h="1" x="681"/>
        <item h="1" x="607"/>
        <item h="1" x="605"/>
        <item h="1" x="612"/>
        <item h="1" x="800"/>
        <item h="1" x="1141"/>
        <item h="1" x="679"/>
        <item h="1" x="845"/>
        <item h="1" x="419"/>
        <item h="1" x="1037"/>
        <item h="1" x="465"/>
        <item h="1" x="549"/>
        <item h="1" x="769"/>
        <item h="1" x="197"/>
        <item h="1" x="667"/>
        <item h="1" x="570"/>
        <item h="1" x="282"/>
        <item h="1" x="712"/>
        <item h="1" x="869"/>
        <item h="1" x="66"/>
        <item h="1" x="234"/>
        <item h="1" x="954"/>
        <item h="1" x="1070"/>
        <item h="1" x="1074"/>
        <item h="1" x="442"/>
        <item h="1" x="842"/>
        <item h="1" x="1001"/>
        <item h="1" x="1036"/>
        <item h="1" x="1081"/>
        <item h="1" x="53"/>
        <item h="1" x="206"/>
        <item h="1" x="399"/>
        <item h="1" x="488"/>
        <item h="1" x="716"/>
        <item h="1" x="1167"/>
        <item h="1" x="985"/>
        <item h="1" x="1106"/>
        <item h="1" x="689"/>
        <item h="1" x="25"/>
        <item h="1" x="365"/>
        <item h="1" x="1096"/>
        <item h="1" x="97"/>
        <item h="1" x="919"/>
        <item h="1" x="1138"/>
        <item h="1" x="1026"/>
        <item h="1" x="995"/>
        <item h="1" x="915"/>
        <item h="1" x="1142"/>
        <item h="1" x="816"/>
        <item h="1" x="1104"/>
        <item h="1" x="760"/>
        <item h="1" x="144"/>
        <item h="1" x="647"/>
        <item h="1" x="983"/>
        <item h="1" x="951"/>
        <item h="1" x="844"/>
        <item h="1" x="535"/>
        <item h="1" x="588"/>
        <item h="1" x="111"/>
        <item h="1" x="904"/>
        <item h="1" x="567"/>
        <item h="1" x="713"/>
        <item h="1" x="604"/>
        <item h="1" x="734"/>
        <item h="1" x="926"/>
        <item h="1" x="138"/>
        <item h="1" x="628"/>
        <item h="1" x="551"/>
        <item h="1" x="797"/>
        <item h="1" x="11"/>
        <item h="1" x="761"/>
        <item h="1" x="1173"/>
        <item h="1" x="242"/>
        <item h="1" x="902"/>
        <item h="1" x="1132"/>
        <item h="1" x="63"/>
        <item h="1" x="519"/>
        <item h="1" x="248"/>
        <item h="1" x="433"/>
        <item h="1" x="813"/>
        <item h="1" x="517"/>
        <item h="1" x="418"/>
        <item h="1" x="471"/>
        <item h="1" x="450"/>
        <item h="1" x="878"/>
        <item h="1" x="714"/>
        <item h="1" x="391"/>
        <item h="1" x="114"/>
        <item h="1" x="754"/>
        <item h="1" x="446"/>
        <item h="1" x="790"/>
        <item h="1" x="460"/>
        <item h="1" x="185"/>
        <item h="1" x="764"/>
        <item h="1" x="963"/>
        <item h="1" x="1198"/>
        <item h="1" x="1041"/>
        <item h="1" x="489"/>
        <item h="1" x="664"/>
        <item h="1" x="718"/>
        <item h="1" x="987"/>
        <item h="1" x="792"/>
        <item h="1" x="1056"/>
        <item h="1" x="694"/>
        <item h="1" x="640"/>
        <item h="1" x="131"/>
        <item h="1" x="786"/>
        <item h="1" x="643"/>
        <item h="1" x="975"/>
        <item h="1" x="787"/>
        <item h="1" x="510"/>
        <item h="1" x="1150"/>
        <item h="1" x="1100"/>
        <item h="1" x="392"/>
        <item h="1" x="855"/>
        <item h="1" x="821"/>
        <item h="1" x="522"/>
        <item h="1" x="751"/>
        <item h="1" x="805"/>
        <item h="1" x="850"/>
        <item h="1" x="423"/>
        <item h="1" x="276"/>
        <item h="1" x="514"/>
        <item h="1" x="452"/>
        <item h="1" x="824"/>
        <item h="1" x="319"/>
        <item h="1" x="1189"/>
        <item h="1" x="104"/>
        <item h="1" x="736"/>
        <item h="1" x="161"/>
        <item h="1" x="758"/>
        <item h="1" x="167"/>
        <item h="1" x="156"/>
        <item h="1" x="1063"/>
        <item h="1" x="560"/>
        <item h="1" x="1199"/>
        <item h="1" x="169"/>
        <item h="1" x="599"/>
        <item h="1" x="661"/>
        <item h="1" x="1004"/>
        <item h="1" x="1031"/>
        <item h="1" x="648"/>
        <item h="1" x="843"/>
        <item h="1" x="1190"/>
        <item h="1" x="1055"/>
        <item h="1" x="1083"/>
        <item h="1" x="223"/>
        <item h="1" x="473"/>
        <item h="1" x="317"/>
        <item h="1" x="42"/>
        <item h="1" x="942"/>
        <item h="1" x="380"/>
        <item h="1" x="307"/>
        <item h="1" x="1012"/>
        <item h="1" x="221"/>
        <item h="1" x="45"/>
        <item h="1" x="110"/>
        <item h="1" x="52"/>
        <item h="1" x="586"/>
        <item h="1" x="1015"/>
        <item h="1" x="877"/>
        <item h="1" x="1176"/>
        <item h="1" x="410"/>
        <item h="1" x="1183"/>
        <item h="1" x="768"/>
        <item h="1" x="219"/>
        <item h="1" x="396"/>
        <item h="1" x="470"/>
        <item h="1" x="803"/>
        <item h="1" x="482"/>
        <item h="1" x="1187"/>
        <item h="1" x="345"/>
        <item h="1" x="724"/>
        <item h="1" x="1101"/>
        <item h="1" x="619"/>
        <item h="1" x="348"/>
        <item h="1" x="767"/>
        <item h="1" x="69"/>
        <item h="1" x="969"/>
        <item h="1" x="113"/>
        <item h="1" x="36"/>
        <item h="1" x="822"/>
        <item h="1" x="55"/>
        <item h="1" x="1112"/>
        <item h="1" x="496"/>
        <item h="1" x="911"/>
        <item h="1" x="896"/>
        <item h="1" x="1007"/>
        <item h="1" x="71"/>
        <item h="1" x="426"/>
        <item h="1" x="568"/>
        <item h="1" x="16"/>
        <item h="1" x="976"/>
        <item h="1" x="162"/>
        <item h="1" x="171"/>
        <item h="1" x="1092"/>
        <item h="1" x="478"/>
        <item h="1" x="74"/>
        <item h="1" x="700"/>
        <item h="1" x="250"/>
        <item h="1" x="1072"/>
        <item h="1" x="545"/>
        <item h="1" x="830"/>
        <item h="1" x="938"/>
        <item h="1" x="554"/>
        <item h="1" x="327"/>
        <item h="1" x="286"/>
        <item h="1" x="103"/>
        <item h="1" x="23"/>
        <item h="1" x="290"/>
        <item h="1" x="1047"/>
        <item h="1" x="1014"/>
        <item h="1" x="1152"/>
        <item h="1" x="966"/>
        <item h="1" x="40"/>
        <item h="1" x="753"/>
        <item h="1" x="1044"/>
        <item h="1" x="559"/>
        <item h="1" x="895"/>
        <item h="1" x="511"/>
        <item h="1" x="863"/>
        <item h="1" x="1174"/>
        <item h="1" x="962"/>
        <item h="1" x="854"/>
        <item h="1" x="1197"/>
        <item h="1" x="357"/>
        <item h="1" x="172"/>
        <item h="1" x="939"/>
        <item h="1" x="181"/>
        <item h="1" x="128"/>
        <item h="1" x="796"/>
        <item h="1" x="783"/>
        <item h="1" x="587"/>
        <item h="1" x="427"/>
        <item h="1" x="720"/>
        <item h="1" x="541"/>
        <item h="1" x="1111"/>
        <item h="1" x="117"/>
        <item h="1" x="342"/>
        <item h="1" x="498"/>
        <item h="1" x="582"/>
        <item h="1" x="922"/>
        <item h="1" x="659"/>
        <item h="1" x="594"/>
        <item h="1" x="809"/>
        <item h="1" x="46"/>
        <item h="1" x="68"/>
        <item h="1" x="555"/>
        <item h="1" x="182"/>
        <item h="1" x="259"/>
        <item h="1" x="296"/>
        <item h="1" x="143"/>
        <item h="1" x="453"/>
        <item h="1" x="275"/>
        <item h="1" x="356"/>
        <item h="1" x="70"/>
        <item h="1" x="1"/>
        <item h="1" x="561"/>
        <item h="1" x="350"/>
        <item h="1" x="389"/>
        <item h="1" x="340"/>
        <item h="1" x="484"/>
        <item h="1" x="1086"/>
        <item h="1" x="1124"/>
        <item h="1" x="270"/>
        <item h="1" x="132"/>
        <item h="1" x="1034"/>
        <item h="1" x="214"/>
        <item h="1" x="229"/>
        <item h="1" x="352"/>
        <item h="1" x="1149"/>
        <item h="1" x="1059"/>
        <item h="1" x="644"/>
        <item h="1" x="654"/>
        <item h="1" x="211"/>
        <item h="1" x="686"/>
        <item h="1" x="245"/>
        <item h="1" x="269"/>
        <item h="1" x="367"/>
        <item h="1" x="968"/>
        <item h="1" x="523"/>
        <item h="1" x="622"/>
        <item h="1" x="965"/>
        <item h="1" x="37"/>
        <item h="1" x="1140"/>
        <item h="1" x="12"/>
        <item h="1" x="1040"/>
        <item h="1" x="99"/>
        <item h="1" x="220"/>
        <item h="1" x="38"/>
        <item h="1" x="739"/>
        <item h="1" x="580"/>
        <item h="1" x="682"/>
        <item h="1" x="750"/>
        <item h="1" x="1194"/>
        <item h="1" x="662"/>
        <item h="1" x="1114"/>
        <item h="1" x="1145"/>
        <item h="1" x="468"/>
        <item h="1" x="914"/>
        <item h="1" x="1191"/>
        <item h="1" x="903"/>
        <item h="1" x="249"/>
        <item h="1" x="283"/>
        <item h="1" x="1073"/>
        <item h="1" x="569"/>
        <item h="1" x="1182"/>
        <item h="1" x="949"/>
        <item h="1" x="627"/>
        <item h="1" x="10"/>
        <item h="1" x="666"/>
        <item h="1" x="315"/>
        <item h="1" x="905"/>
        <item h="1" x="272"/>
        <item h="1" x="149"/>
        <item h="1" x="772"/>
        <item h="1" x="493"/>
        <item h="1" x="817"/>
        <item h="1" x="1050"/>
        <item h="1" x="372"/>
        <item h="1" x="1163"/>
        <item h="1" x="434"/>
        <item h="1" x="762"/>
        <item h="1" x="1097"/>
        <item h="1" x="82"/>
        <item h="1" x="407"/>
        <item h="1" x="447"/>
        <item h="1" x="33"/>
        <item h="1" x="123"/>
        <item h="1" x="231"/>
        <item h="1" x="572"/>
        <item h="1" x="79"/>
        <item h="1" x="1018"/>
        <item h="1" x="174"/>
        <item h="1" x="253"/>
        <item h="1" x="415"/>
        <item h="1" x="443"/>
        <item h="1" x="875"/>
        <item h="1" x="336"/>
        <item h="1" x="490"/>
        <item h="1" x="770"/>
        <item h="1" x="578"/>
        <item h="1" x="1076"/>
        <item h="1" x="1184"/>
        <item h="1" x="671"/>
        <item h="1" x="359"/>
        <item h="1" x="884"/>
        <item h="1" x="711"/>
        <item h="1" x="6"/>
        <item h="1" x="692"/>
        <item h="1" x="591"/>
        <item h="1" x="32"/>
        <item h="1" x="933"/>
        <item h="1" x="233"/>
        <item h="1" x="175"/>
        <item h="1" x="927"/>
        <item h="1" x="1161"/>
        <item h="1" x="731"/>
        <item h="1" x="80"/>
        <item h="1" x="436"/>
        <item h="1" x="207"/>
        <item h="1" x="1080"/>
        <item h="1" x="1061"/>
        <item h="1" x="1130"/>
        <item h="1" x="1064"/>
        <item h="1" x="408"/>
        <item h="1" x="841"/>
        <item h="1" x="916"/>
        <item h="1" x="27"/>
        <item h="1" x="584"/>
        <item h="1" x="1154"/>
        <item h="1" x="828"/>
        <item h="1" x="279"/>
        <item h="1" x="913"/>
        <item h="1" x="67"/>
        <item h="1" x="1119"/>
        <item h="1" x="338"/>
        <item h="1" x="909"/>
        <item h="1" x="757"/>
        <item h="1" x="1009"/>
        <item h="1" x="424"/>
        <item h="1" x="222"/>
        <item h="1" x="190"/>
        <item h="1" x="1005"/>
        <item h="1" x="141"/>
        <item h="1" x="639"/>
        <item h="1" x="806"/>
        <item h="1" x="658"/>
        <item h="1" x="369"/>
        <item h="1" x="752"/>
        <item h="1" x="457"/>
        <item h="1" x="743"/>
        <item h="1" x="1060"/>
        <item h="1" x="630"/>
        <item h="1" x="961"/>
        <item h="1" x="414"/>
        <item h="1" x="15"/>
        <item h="1" x="811"/>
        <item h="1" x="390"/>
        <item h="1" x="463"/>
        <item h="1" x="1103"/>
        <item h="1" x="417"/>
        <item h="1" x="971"/>
        <item h="1" x="121"/>
        <item h="1" x="759"/>
        <item h="1" x="146"/>
        <item h="1" x="494"/>
        <item h="1" x="397"/>
        <item h="1" x="398"/>
        <item h="1" x="429"/>
        <item h="1" x="163"/>
        <item h="1" x="1166"/>
        <item h="1" x="291"/>
        <item h="1" x="635"/>
        <item h="1" x="1003"/>
        <item h="1" x="373"/>
        <item h="1" x="108"/>
        <item h="1" x="8"/>
        <item h="1" x="106"/>
        <item h="1" x="944"/>
        <item h="1" x="660"/>
        <item h="1" x="300"/>
        <item h="1" x="597"/>
        <item h="1" x="1129"/>
        <item h="1" x="288"/>
        <item h="1" x="834"/>
        <item h="1" x="368"/>
        <item h="1" x="638"/>
        <item h="1" x="428"/>
        <item h="1" x="448"/>
        <item h="1" x="281"/>
        <item h="1" x="2"/>
        <item h="1" x="430"/>
        <item h="1" x="873"/>
        <item h="1" x="313"/>
        <item h="1" x="237"/>
        <item h="1" x="1075"/>
        <item h="1" x="384"/>
        <item h="1" x="187"/>
        <item h="1" x="119"/>
        <item h="1" x="851"/>
        <item h="1" x="1139"/>
        <item h="1" x="923"/>
        <item h="1" x="1024"/>
        <item h="1" x="539"/>
        <item h="1" x="330"/>
        <item h="1" x="134"/>
        <item h="1" x="218"/>
        <item h="1" x="1068"/>
        <item h="1" x="48"/>
        <item h="1" x="537"/>
        <item h="1" x="705"/>
        <item h="1" x="645"/>
        <item h="1" x="405"/>
        <item h="1" x="239"/>
        <item h="1" x="999"/>
        <item h="1" x="91"/>
        <item h="1" x="1087"/>
        <item h="1" x="548"/>
        <item h="1" x="889"/>
        <item h="1" x="901"/>
        <item h="1" x="205"/>
        <item h="1" x="990"/>
        <item h="1" x="59"/>
        <item h="1" x="1095"/>
        <item h="1" x="531"/>
        <item h="1" x="974"/>
        <item h="1" x="92"/>
        <item h="1" x="1122"/>
        <item h="1" x="243"/>
        <item h="1" x="331"/>
        <item h="1" x="293"/>
        <item h="1" x="629"/>
        <item h="1" x="773"/>
        <item h="1" x="583"/>
        <item h="1" x="529"/>
        <item h="1" x="458"/>
        <item h="1" x="808"/>
        <item h="1" x="191"/>
        <item h="1" x="35"/>
        <item h="1" x="593"/>
        <item h="1" x="1121"/>
        <item h="1" x="508"/>
        <item h="1" x="789"/>
        <item h="1" x="577"/>
        <item h="1" x="318"/>
        <item h="1" x="344"/>
        <item h="1" x="690"/>
        <item h="1" x="1136"/>
        <item h="1" x="4"/>
        <item h="1" x="302"/>
        <item h="1" x="994"/>
        <item h="1" x="1147"/>
        <item h="1" x="19"/>
        <item h="1" x="212"/>
        <item h="1" x="1043"/>
        <item h="1" x="1042"/>
        <item h="1" x="21"/>
        <item h="1" x="678"/>
        <item h="1" x="534"/>
        <item h="1" x="136"/>
        <item h="1" x="147"/>
        <item h="1" x="381"/>
        <item h="1" x="696"/>
        <item h="1" x="244"/>
        <item h="1" x="872"/>
        <item h="1" x="160"/>
        <item h="1" x="1158"/>
        <item h="1" x="322"/>
        <item h="1" x="192"/>
        <item h="1" x="1032"/>
        <item h="1" x="459"/>
        <item h="1" x="96"/>
        <item h="1" x="620"/>
        <item h="1" x="34"/>
        <item h="1" x="729"/>
        <item h="1" x="76"/>
        <item h="1" x="701"/>
        <item h="1" x="1017"/>
        <item h="1" x="1079"/>
        <item h="1" x="882"/>
        <item h="1" x="719"/>
        <item h="1" x="409"/>
        <item h="1" x="474"/>
        <item h="1" x="881"/>
        <item h="1" x="308"/>
        <item h="1" x="439"/>
        <item h="1" x="142"/>
        <item h="1" x="802"/>
        <item h="1" x="653"/>
        <item h="1" x="1134"/>
        <item h="1" x="936"/>
        <item h="1" x="592"/>
        <item h="1" x="897"/>
        <item h="1" x="177"/>
        <item h="1" x="527"/>
        <item h="1" x="438"/>
        <item h="1" x="297"/>
        <item h="1" x="749"/>
        <item h="1" x="600"/>
        <item h="1" x="815"/>
        <item h="1" x="388"/>
        <item h="1" x="208"/>
        <item h="1" x="646"/>
        <item h="1" x="326"/>
        <item h="1" x="193"/>
        <item h="1" x="777"/>
        <item h="1" x="316"/>
        <item h="1" x="1175"/>
        <item h="1" x="292"/>
        <item h="1" x="375"/>
        <item h="1" x="1195"/>
        <item h="1" x="907"/>
        <item h="1" x="702"/>
        <item h="1" x="614"/>
        <item h="1" x="504"/>
        <item h="1" x="1094"/>
        <item h="1" x="476"/>
        <item h="1" x="579"/>
        <item h="1" x="993"/>
        <item h="1" x="1171"/>
        <item h="1" x="633"/>
        <item h="1" x="814"/>
        <item h="1" x="1058"/>
        <item h="1" x="524"/>
        <item h="1" x="217"/>
        <item h="1" x="1021"/>
        <item h="1" x="1178"/>
        <item h="1" x="9"/>
        <item h="1" x="479"/>
        <item h="1" x="1107"/>
        <item h="1" x="58"/>
        <item h="1" x="1165"/>
        <item h="1" x="98"/>
        <item h="1" x="153"/>
        <item h="1" x="1069"/>
        <item h="1" x="1113"/>
        <item h="1" x="1159"/>
        <item h="1" x="195"/>
        <item h="1" x="165"/>
        <item h="1" x="532"/>
        <item h="1" x="989"/>
        <item h="1" x="1000"/>
        <item h="1" x="135"/>
        <item h="1" x="173"/>
        <item h="1" x="618"/>
        <item h="1" x="85"/>
        <item h="1" x="721"/>
        <item h="1" x="1067"/>
        <item h="1" x="1109"/>
        <item h="1" x="232"/>
        <item h="1" x="325"/>
        <item h="1" x="413"/>
        <item h="1" x="273"/>
        <item h="1" x="575"/>
        <item h="1" x="546"/>
        <item h="1" x="170"/>
        <item h="1" x="454"/>
        <item h="1" x="209"/>
        <item h="1" x="1098"/>
        <item h="1" x="320"/>
        <item h="1" x="525"/>
        <item h="1" x="189"/>
        <item h="1" x="329"/>
        <item h="1" x="820"/>
        <item h="1" x="133"/>
        <item h="1" x="364"/>
        <item h="1" x="947"/>
        <item h="1" x="18"/>
        <item h="1" x="1077"/>
        <item h="1" x="1035"/>
        <item h="1" x="866"/>
        <item h="1" x="864"/>
        <item h="1" x="1185"/>
        <item h="1" x="738"/>
        <item h="1" x="518"/>
        <item h="1" x="950"/>
        <item h="1" x="836"/>
        <item h="1" x="1146"/>
        <item h="1" x="491"/>
        <item h="1" x="1051"/>
        <item h="1" x="801"/>
        <item h="1" x="829"/>
        <item h="1" x="137"/>
        <item h="1" x="1186"/>
        <item h="1" x="812"/>
        <item h="1" x="804"/>
        <item h="1" x="477"/>
        <item h="1" x="260"/>
        <item h="1" x="1084"/>
        <item h="1" x="558"/>
        <item h="1" x="624"/>
        <item h="1" x="354"/>
        <item h="1" x="266"/>
        <item h="1" x="1169"/>
        <item h="1" x="704"/>
        <item h="1" x="370"/>
        <item h="1" x="859"/>
        <item h="1" x="1144"/>
        <item h="1" x="1027"/>
        <item h="1" x="1038"/>
        <item h="1" x="503"/>
        <item h="1" x="495"/>
        <item h="1" x="574"/>
        <item h="1" x="997"/>
        <item h="1" x="1033"/>
        <item h="1" x="515"/>
        <item h="1" x="625"/>
        <item h="1" x="979"/>
        <item h="1" x="481"/>
        <item h="1" x="403"/>
        <item h="1" x="826"/>
        <item h="1" x="1085"/>
        <item h="1" x="262"/>
        <item h="1" x="1170"/>
        <item h="1" x="1164"/>
        <item h="1" x="274"/>
        <item h="1" x="394"/>
        <item h="1" x="267"/>
        <item h="1" x="395"/>
        <item h="1" x="404"/>
        <item h="1" x="188"/>
        <item h="1" x="50"/>
        <item h="1" x="125"/>
        <item h="1" x="180"/>
        <item h="1" x="105"/>
        <item h="1" x="210"/>
        <item h="1" x="756"/>
        <item h="1" x="151"/>
        <item h="1" x="251"/>
        <item h="1" x="60"/>
        <item h="1" x="385"/>
        <item h="1" x="304"/>
        <item h="1" x="693"/>
        <item h="1" x="581"/>
        <item h="1" x="1011"/>
        <item h="1" x="122"/>
        <item h="1" x="680"/>
        <item h="1" x="124"/>
        <item h="1" x="746"/>
        <item h="1" x="127"/>
        <item h="1" x="485"/>
        <item h="1" x="552"/>
        <item h="1" x="868"/>
        <item h="1" x="360"/>
        <item h="1" x="499"/>
        <item h="1" x="794"/>
        <item h="1" x="609"/>
        <item h="1" x="1153"/>
        <item h="1" x="265"/>
        <item h="1" x="420"/>
        <item h="1" x="929"/>
        <item h="1" x="688"/>
        <item h="1" x="186"/>
        <item h="1" x="240"/>
        <item h="1" x="998"/>
        <item h="1" x="295"/>
        <item h="1" x="387"/>
        <item h="1" x="780"/>
        <item h="1" x="978"/>
        <item h="1" x="673"/>
        <item h="1" x="351"/>
        <item h="1" x="763"/>
        <item h="1" x="892"/>
        <item h="1" x="1116"/>
        <item h="1" x="341"/>
        <item h="1" x="116"/>
        <item h="1" x="745"/>
        <item h="1" x="710"/>
        <item h="1" x="1030"/>
        <item h="1" x="573"/>
        <item h="1" x="54"/>
        <item h="1" x="981"/>
        <item h="1" x="795"/>
        <item h="1" x="557"/>
        <item h="1" x="31"/>
        <item h="1" x="1052"/>
        <item h="1" x="779"/>
        <item h="1" x="1019"/>
        <item h="1" x="741"/>
        <item h="1" x="1188"/>
        <item h="1" x="833"/>
        <item h="1" x="1022"/>
        <item h="1" x="445"/>
        <item h="1" x="1045"/>
        <item h="1" x="301"/>
        <item h="1" x="335"/>
        <item h="1" x="1093"/>
        <item h="1" x="542"/>
        <item h="1" x="959"/>
        <item h="1" x="925"/>
        <item h="1" x="748"/>
        <item h="1" x="831"/>
        <item h="1" x="441"/>
        <item h="1" x="637"/>
        <item h="1" x="102"/>
        <item h="1" x="530"/>
        <item h="1" x="674"/>
        <item h="1" x="400"/>
        <item h="1" x="461"/>
        <item h="1" x="669"/>
        <item h="1" x="22"/>
        <item h="1" x="230"/>
        <item h="1" x="798"/>
        <item h="1" x="684"/>
        <item t="default"/>
      </items>
    </pivotField>
    <pivotField compact="0" outline="0" showAll="0" insertBlankRow="1"/>
    <pivotField compact="0" numFmtId="164" outline="0" showAll="0" insertBlankRow="1"/>
    <pivotField compact="0" numFmtId="164" outline="0" showAll="0" insertBlankRow="1">
      <items count="518">
        <item x="184"/>
        <item x="212"/>
        <item x="327"/>
        <item x="481"/>
        <item x="201"/>
        <item x="298"/>
        <item x="306"/>
        <item x="325"/>
        <item x="312"/>
        <item x="409"/>
        <item x="430"/>
        <item x="155"/>
        <item x="372"/>
        <item x="216"/>
        <item x="493"/>
        <item x="489"/>
        <item x="250"/>
        <item x="103"/>
        <item x="77"/>
        <item x="347"/>
        <item x="33"/>
        <item x="225"/>
        <item x="498"/>
        <item x="451"/>
        <item x="148"/>
        <item x="288"/>
        <item x="226"/>
        <item x="311"/>
        <item x="36"/>
        <item x="190"/>
        <item x="266"/>
        <item x="38"/>
        <item x="352"/>
        <item x="473"/>
        <item x="279"/>
        <item x="264"/>
        <item x="486"/>
        <item x="393"/>
        <item x="497"/>
        <item x="346"/>
        <item x="421"/>
        <item x="490"/>
        <item x="258"/>
        <item x="142"/>
        <item x="418"/>
        <item x="152"/>
        <item x="290"/>
        <item x="63"/>
        <item x="139"/>
        <item x="104"/>
        <item x="88"/>
        <item x="102"/>
        <item x="259"/>
        <item x="214"/>
        <item x="368"/>
        <item x="438"/>
        <item x="478"/>
        <item x="449"/>
        <item x="48"/>
        <item x="245"/>
        <item x="182"/>
        <item x="361"/>
        <item x="301"/>
        <item x="4"/>
        <item x="348"/>
        <item x="462"/>
        <item x="94"/>
        <item x="28"/>
        <item x="484"/>
        <item x="354"/>
        <item x="388"/>
        <item x="133"/>
        <item x="383"/>
        <item x="370"/>
        <item x="61"/>
        <item x="509"/>
        <item x="280"/>
        <item x="487"/>
        <item x="209"/>
        <item x="50"/>
        <item x="55"/>
        <item x="1"/>
        <item x="229"/>
        <item x="150"/>
        <item x="289"/>
        <item x="434"/>
        <item x="466"/>
        <item x="56"/>
        <item x="441"/>
        <item x="461"/>
        <item x="345"/>
        <item x="197"/>
        <item x="460"/>
        <item x="511"/>
        <item x="149"/>
        <item x="141"/>
        <item x="95"/>
        <item x="324"/>
        <item x="510"/>
        <item x="338"/>
        <item x="281"/>
        <item x="360"/>
        <item x="144"/>
        <item x="54"/>
        <item x="218"/>
        <item x="163"/>
        <item x="326"/>
        <item x="106"/>
        <item x="78"/>
        <item x="294"/>
        <item x="458"/>
        <item x="40"/>
        <item x="362"/>
        <item x="151"/>
        <item x="207"/>
        <item x="400"/>
        <item x="71"/>
        <item x="187"/>
        <item x="58"/>
        <item x="26"/>
        <item x="14"/>
        <item x="387"/>
        <item x="415"/>
        <item x="3"/>
        <item x="37"/>
        <item x="402"/>
        <item x="328"/>
        <item x="96"/>
        <item x="262"/>
        <item x="433"/>
        <item x="508"/>
        <item x="87"/>
        <item x="215"/>
        <item x="72"/>
        <item x="367"/>
        <item x="286"/>
        <item x="401"/>
        <item x="35"/>
        <item x="275"/>
        <item x="488"/>
        <item x="439"/>
        <item x="459"/>
        <item x="164"/>
        <item x="296"/>
        <item x="472"/>
        <item x="70"/>
        <item x="321"/>
        <item x="474"/>
        <item x="323"/>
        <item x="146"/>
        <item x="404"/>
        <item x="349"/>
        <item x="380"/>
        <item x="243"/>
        <item x="332"/>
        <item x="399"/>
        <item x="420"/>
        <item x="265"/>
        <item x="385"/>
        <item x="391"/>
        <item x="308"/>
        <item x="416"/>
        <item x="89"/>
        <item x="260"/>
        <item x="231"/>
        <item x="339"/>
        <item x="273"/>
        <item x="137"/>
        <item x="25"/>
        <item x="85"/>
        <item x="221"/>
        <item x="263"/>
        <item x="128"/>
        <item x="2"/>
        <item x="175"/>
        <item x="300"/>
        <item x="222"/>
        <item x="116"/>
        <item x="53"/>
        <item x="257"/>
        <item x="99"/>
        <item x="211"/>
        <item x="340"/>
        <item x="276"/>
        <item x="183"/>
        <item x="382"/>
        <item x="446"/>
        <item x="496"/>
        <item x="476"/>
        <item x="181"/>
        <item x="51"/>
        <item x="191"/>
        <item x="463"/>
        <item x="447"/>
        <item x="467"/>
        <item x="485"/>
        <item x="341"/>
        <item x="251"/>
        <item x="351"/>
        <item x="185"/>
        <item x="285"/>
        <item x="255"/>
        <item x="316"/>
        <item x="371"/>
        <item x="43"/>
        <item x="196"/>
        <item x="203"/>
        <item x="0"/>
        <item x="82"/>
        <item x="34"/>
        <item x="377"/>
        <item x="66"/>
        <item x="24"/>
        <item x="445"/>
        <item x="364"/>
        <item x="75"/>
        <item x="379"/>
        <item x="180"/>
        <item x="240"/>
        <item x="482"/>
        <item x="162"/>
        <item x="256"/>
        <item x="317"/>
        <item x="7"/>
        <item x="453"/>
        <item x="315"/>
        <item x="118"/>
        <item x="252"/>
        <item x="19"/>
        <item x="126"/>
        <item x="30"/>
        <item x="42"/>
        <item x="513"/>
        <item x="138"/>
        <item x="475"/>
        <item x="101"/>
        <item x="329"/>
        <item x="384"/>
        <item x="465"/>
        <item x="270"/>
        <item x="140"/>
        <item x="46"/>
        <item x="494"/>
        <item x="100"/>
        <item x="369"/>
        <item x="92"/>
        <item x="124"/>
        <item x="199"/>
        <item x="334"/>
        <item x="411"/>
        <item x="21"/>
        <item x="13"/>
        <item x="136"/>
        <item x="507"/>
        <item x="469"/>
        <item x="154"/>
        <item x="284"/>
        <item x="60"/>
        <item x="427"/>
        <item x="167"/>
        <item x="45"/>
        <item x="234"/>
        <item x="160"/>
        <item x="479"/>
        <item x="143"/>
        <item x="248"/>
        <item x="166"/>
        <item x="318"/>
        <item x="145"/>
        <item x="83"/>
        <item x="204"/>
        <item x="64"/>
        <item x="499"/>
        <item x="277"/>
        <item x="235"/>
        <item x="153"/>
        <item x="105"/>
        <item x="253"/>
        <item x="52"/>
        <item x="343"/>
        <item x="309"/>
        <item x="500"/>
        <item x="512"/>
        <item x="213"/>
        <item x="403"/>
        <item x="268"/>
        <item x="120"/>
        <item x="47"/>
        <item x="44"/>
        <item x="115"/>
        <item x="412"/>
        <item x="304"/>
        <item x="414"/>
        <item x="287"/>
        <item x="424"/>
        <item x="503"/>
        <item x="432"/>
        <item x="208"/>
        <item x="292"/>
        <item x="278"/>
        <item x="396"/>
        <item x="422"/>
        <item x="448"/>
        <item x="123"/>
        <item x="336"/>
        <item x="107"/>
        <item x="111"/>
        <item x="39"/>
        <item x="195"/>
        <item x="41"/>
        <item x="27"/>
        <item x="313"/>
        <item x="342"/>
        <item x="295"/>
        <item x="165"/>
        <item x="468"/>
        <item x="159"/>
        <item x="178"/>
        <item x="366"/>
        <item x="267"/>
        <item x="359"/>
        <item x="356"/>
        <item x="32"/>
        <item x="269"/>
        <item x="170"/>
        <item x="73"/>
        <item x="495"/>
        <item x="18"/>
        <item x="395"/>
        <item x="322"/>
        <item x="244"/>
        <item x="9"/>
        <item x="408"/>
        <item x="80"/>
        <item x="299"/>
        <item x="456"/>
        <item x="228"/>
        <item x="192"/>
        <item x="176"/>
        <item x="134"/>
        <item x="188"/>
        <item x="386"/>
        <item x="413"/>
        <item x="303"/>
        <item x="406"/>
        <item x="457"/>
        <item x="331"/>
        <item x="515"/>
        <item x="293"/>
        <item x="392"/>
        <item x="113"/>
        <item x="81"/>
        <item x="29"/>
        <item x="91"/>
        <item x="189"/>
        <item x="330"/>
        <item x="174"/>
        <item x="423"/>
        <item x="157"/>
        <item x="464"/>
        <item x="374"/>
        <item x="437"/>
        <item x="241"/>
        <item x="131"/>
        <item x="246"/>
        <item x="291"/>
        <item x="376"/>
        <item x="147"/>
        <item x="390"/>
        <item x="237"/>
        <item x="310"/>
        <item x="17"/>
        <item x="247"/>
        <item x="477"/>
        <item x="452"/>
        <item x="57"/>
        <item x="121"/>
        <item x="505"/>
        <item x="16"/>
        <item x="254"/>
        <item x="305"/>
        <item x="220"/>
        <item x="169"/>
        <item x="272"/>
        <item x="171"/>
        <item x="389"/>
        <item x="454"/>
        <item x="10"/>
        <item x="397"/>
        <item x="502"/>
        <item x="365"/>
        <item x="109"/>
        <item x="436"/>
        <item x="249"/>
        <item x="122"/>
        <item x="129"/>
        <item x="394"/>
        <item x="238"/>
        <item x="355"/>
        <item x="173"/>
        <item x="223"/>
        <item x="455"/>
        <item x="353"/>
        <item x="114"/>
        <item x="297"/>
        <item x="358"/>
        <item x="161"/>
        <item x="202"/>
        <item x="227"/>
        <item x="67"/>
        <item x="319"/>
        <item x="429"/>
        <item x="158"/>
        <item x="302"/>
        <item x="233"/>
        <item x="398"/>
        <item x="282"/>
        <item x="504"/>
        <item x="363"/>
        <item x="357"/>
        <item x="516"/>
        <item x="333"/>
        <item x="470"/>
        <item x="491"/>
        <item x="440"/>
        <item x="425"/>
        <item x="86"/>
        <item x="417"/>
        <item x="337"/>
        <item x="450"/>
        <item x="443"/>
        <item x="375"/>
        <item x="112"/>
        <item x="93"/>
        <item x="135"/>
        <item x="108"/>
        <item x="419"/>
        <item x="186"/>
        <item x="506"/>
        <item x="242"/>
        <item x="480"/>
        <item x="5"/>
        <item x="59"/>
        <item x="410"/>
        <item x="62"/>
        <item x="79"/>
        <item x="98"/>
        <item x="378"/>
        <item x="15"/>
        <item x="307"/>
        <item x="110"/>
        <item x="210"/>
        <item x="232"/>
        <item x="471"/>
        <item x="6"/>
        <item x="230"/>
        <item x="74"/>
        <item x="442"/>
        <item x="68"/>
        <item x="125"/>
        <item x="168"/>
        <item x="236"/>
        <item x="483"/>
        <item x="444"/>
        <item x="405"/>
        <item x="177"/>
        <item x="172"/>
        <item x="132"/>
        <item x="217"/>
        <item x="200"/>
        <item x="283"/>
        <item x="314"/>
        <item x="428"/>
        <item x="239"/>
        <item x="350"/>
        <item x="198"/>
        <item x="206"/>
        <item x="65"/>
        <item x="426"/>
        <item x="179"/>
        <item x="224"/>
        <item x="127"/>
        <item x="320"/>
        <item x="20"/>
        <item x="501"/>
        <item x="117"/>
        <item x="12"/>
        <item x="69"/>
        <item x="97"/>
        <item x="431"/>
        <item x="119"/>
        <item x="23"/>
        <item x="271"/>
        <item x="194"/>
        <item x="373"/>
        <item x="76"/>
        <item x="193"/>
        <item x="219"/>
        <item x="435"/>
        <item x="156"/>
        <item x="407"/>
        <item x="205"/>
        <item x="274"/>
        <item x="11"/>
        <item x="49"/>
        <item x="335"/>
        <item x="22"/>
        <item x="84"/>
        <item x="31"/>
        <item x="344"/>
        <item x="514"/>
        <item x="381"/>
        <item x="90"/>
        <item x="8"/>
        <item x="130"/>
        <item x="492"/>
        <item x="261"/>
        <item t="default"/>
      </items>
    </pivotField>
    <pivotField compact="0" outline="0" showAll="0" insertBlankRow="1">
      <items count="15">
        <item x="0"/>
        <item x="1"/>
        <item x="2"/>
        <item x="3"/>
        <item x="4"/>
        <item x="5"/>
        <item x="6"/>
        <item x="7"/>
        <item x="8"/>
        <item x="9"/>
        <item x="10"/>
        <item x="11"/>
        <item x="12"/>
        <item x="13"/>
        <item t="default"/>
      </items>
    </pivotField>
    <pivotField compact="0" outline="0" showAll="0" insertBlankRow="1">
      <items count="7">
        <item x="0"/>
        <item x="1"/>
        <item x="2"/>
        <item x="3"/>
        <item x="4"/>
        <item x="5"/>
        <item t="default"/>
      </items>
    </pivotField>
    <pivotField compact="0" outline="0" showAll="0" insertBlankRow="1">
      <items count="5">
        <item x="0"/>
        <item x="1"/>
        <item x="2"/>
        <item x="3"/>
        <item t="default"/>
      </items>
    </pivotField>
  </pivotFields>
  <rowFields count="2">
    <field x="0"/>
    <field x="5"/>
  </rowFields>
  <rowItems count="4">
    <i>
      <x v="5"/>
      <x v="3"/>
    </i>
    <i t="default">
      <x v="5"/>
    </i>
    <i t="blank">
      <x v="5"/>
    </i>
    <i t="grand">
      <x/>
    </i>
  </rowItems>
  <colFields count="1">
    <field x="-2"/>
  </colFields>
  <colItems count="3">
    <i>
      <x/>
    </i>
    <i i="1">
      <x v="1"/>
    </i>
    <i i="2">
      <x v="2"/>
    </i>
  </colItems>
  <dataFields count="3">
    <dataField name="Sum of Discount_%" fld="7" baseField="0" baseItem="0"/>
    <dataField name="Sum of Quantity" fld="9" baseField="0" baseItem="0"/>
    <dataField name="Sum of Total_Sales" fld="10" baseField="0" baseItem="0"/>
  </dataFields>
  <pivotTableStyleInfo name="PivotStyleMedium3"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4C010A-2F31-49DF-A24B-73CD945C420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21" firstHeaderRow="1" firstDataRow="1" firstDataCol="1"/>
  <pivotFields count="5">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axis="axisRow" showAll="0">
      <items count="16">
        <item x="8"/>
        <item x="9"/>
        <item x="10"/>
        <item x="7"/>
        <item x="4"/>
        <item x="1"/>
        <item x="0"/>
        <item x="3"/>
        <item x="12"/>
        <item x="13"/>
        <item x="5"/>
        <item x="6"/>
        <item x="11"/>
        <item x="2"/>
        <item x="14"/>
        <item t="default"/>
      </items>
    </pivotField>
    <pivotField showAll="0"/>
    <pivotField showAll="0">
      <items count="4">
        <item x="0"/>
        <item x="2"/>
        <item x="1"/>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Count of Produc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216C36-6B74-4856-BCB7-D4833B9AD30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5">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axis="axisRow" showAll="0">
      <items count="16">
        <item x="8"/>
        <item x="9"/>
        <item x="10"/>
        <item x="7"/>
        <item x="4"/>
        <item x="1"/>
        <item x="0"/>
        <item x="3"/>
        <item x="12"/>
        <item x="13"/>
        <item x="5"/>
        <item x="6"/>
        <item x="11"/>
        <item x="2"/>
        <item x="14"/>
        <item t="default"/>
      </items>
    </pivotField>
    <pivotField showAll="0"/>
    <pivotField showAll="0">
      <items count="4">
        <item x="0"/>
        <item x="2"/>
        <item x="1"/>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Count of Produc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PivotTable1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87">
  <location ref="E13:F16" firstHeaderRow="1" firstDataRow="1" firstDataCol="1"/>
  <pivotFields count="19">
    <pivotField dataField="1" compact="0" outline="0" showAll="0" defaultSubtotal="0">
      <items count="1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3">
    <i>
      <x/>
    </i>
    <i>
      <x v="1"/>
    </i>
    <i>
      <x v="2"/>
    </i>
  </rowItems>
  <colItems count="1">
    <i/>
  </colItems>
  <dataFields count="1">
    <dataField name="Count of Order_ID" fld="0" subtotal="count" baseField="0" baseItem="0"/>
  </dataFields>
  <chartFormats count="4">
    <chartFormat chart="81" format="5" series="1">
      <pivotArea type="data" outline="0" fieldPosition="0">
        <references count="1">
          <reference field="4294967294" count="1" selected="0">
            <x v="0"/>
          </reference>
        </references>
      </pivotArea>
    </chartFormat>
    <chartFormat chart="81" format="6">
      <pivotArea type="data" outline="0" fieldPosition="0">
        <references count="2">
          <reference field="4294967294" count="1" selected="0">
            <x v="0"/>
          </reference>
          <reference field="4" count="1" selected="0">
            <x v="0"/>
          </reference>
        </references>
      </pivotArea>
    </chartFormat>
    <chartFormat chart="81" format="7">
      <pivotArea type="data" outline="0" fieldPosition="0">
        <references count="2">
          <reference field="4294967294" count="1" selected="0">
            <x v="0"/>
          </reference>
          <reference field="4" count="1" selected="0">
            <x v="1"/>
          </reference>
        </references>
      </pivotArea>
    </chartFormat>
    <chartFormat chart="81"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10"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58">
  <location ref="A16:B19"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2"/>
        <item m="1" x="3"/>
      </items>
      <extLst>
        <ext xmlns:x14="http://schemas.microsoft.com/office/spreadsheetml/2009/9/main" uri="{2946ED86-A175-432a-8AC1-64E0C546D7DE}">
          <x14:pivotField fillDownLabels="1"/>
        </ext>
      </extLst>
    </pivotField>
  </pivotFields>
  <rowFields count="1">
    <field x="18"/>
  </rowFields>
  <rowItems count="3">
    <i>
      <x/>
    </i>
    <i>
      <x v="1"/>
    </i>
    <i>
      <x v="2"/>
    </i>
  </rowItems>
  <colItems count="1">
    <i/>
  </colItems>
  <dataFields count="1">
    <dataField name="Average of Days_to_Deliver" fld="17" subtotal="average" baseField="1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70">
  <location ref="D1:F6" firstHeaderRow="0"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2"/>
  </colFields>
  <colItems count="2">
    <i>
      <x/>
    </i>
    <i i="1">
      <x v="1"/>
    </i>
  </colItems>
  <dataFields count="2">
    <dataField name="Sum of Total_Sales" fld="11" baseField="0" baseItem="0"/>
    <dataField name="Sum of Profit" fld="12" baseField="0" baseItem="0"/>
  </dataFields>
  <chartFormats count="6">
    <chartFormat chart="20" format="31" series="1">
      <pivotArea type="data" outline="0" fieldPosition="0">
        <references count="1">
          <reference field="4294967294" count="1" selected="0">
            <x v="0"/>
          </reference>
        </references>
      </pivotArea>
    </chartFormat>
    <chartFormat chart="4" format="32"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8"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9"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05">
  <location ref="L11:M16"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axis="axisRow" compact="0" outline="0" showAll="0" measureFilter="1" defaultSubtotal="0">
      <items count="22">
        <item x="11"/>
        <item x="14"/>
        <item x="6"/>
        <item x="3"/>
        <item x="8"/>
        <item x="1"/>
        <item x="19"/>
        <item x="7"/>
        <item x="17"/>
        <item x="4"/>
        <item x="13"/>
        <item x="10"/>
        <item x="5"/>
        <item x="15"/>
        <item x="18"/>
        <item x="0"/>
        <item x="21"/>
        <item x="16"/>
        <item x="2"/>
        <item x="12"/>
        <item x="20"/>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5">
    <i>
      <x v="5"/>
    </i>
    <i>
      <x v="7"/>
    </i>
    <i>
      <x v="9"/>
    </i>
    <i>
      <x v="11"/>
    </i>
    <i>
      <x v="18"/>
    </i>
  </rowItems>
  <colItems count="1">
    <i/>
  </colItems>
  <dataFields count="1">
    <dataField name="Sum of Profit" fld="12" baseField="0" baseItem="0"/>
  </dataFields>
  <chartFormats count="6">
    <chartFormat chart="101" format="7" series="1">
      <pivotArea type="data" outline="0" fieldPosition="0">
        <references count="1">
          <reference field="4294967294" count="1" selected="0">
            <x v="0"/>
          </reference>
        </references>
      </pivotArea>
    </chartFormat>
    <chartFormat chart="101" format="8">
      <pivotArea type="data" outline="0" fieldPosition="0">
        <references count="2">
          <reference field="4294967294" count="1" selected="0">
            <x v="0"/>
          </reference>
          <reference field="3" count="1" selected="0">
            <x v="5"/>
          </reference>
        </references>
      </pivotArea>
    </chartFormat>
    <chartFormat chart="101" format="9">
      <pivotArea type="data" outline="0" fieldPosition="0">
        <references count="2">
          <reference field="4294967294" count="1" selected="0">
            <x v="0"/>
          </reference>
          <reference field="3" count="1" selected="0">
            <x v="7"/>
          </reference>
        </references>
      </pivotArea>
    </chartFormat>
    <chartFormat chart="101" format="10">
      <pivotArea type="data" outline="0" fieldPosition="0">
        <references count="2">
          <reference field="4294967294" count="1" selected="0">
            <x v="0"/>
          </reference>
          <reference field="3" count="1" selected="0">
            <x v="9"/>
          </reference>
        </references>
      </pivotArea>
    </chartFormat>
    <chartFormat chart="101" format="11">
      <pivotArea type="data" outline="0" fieldPosition="0">
        <references count="2">
          <reference field="4294967294" count="1" selected="0">
            <x v="0"/>
          </reference>
          <reference field="3" count="1" selected="0">
            <x v="11"/>
          </reference>
        </references>
      </pivotArea>
    </chartFormat>
    <chartFormat chart="101" format="12">
      <pivotArea type="data" outline="0" fieldPosition="0">
        <references count="2">
          <reference field="4294967294" count="1" selected="0">
            <x v="0"/>
          </reference>
          <reference field="3" count="1" selected="0">
            <x v="18"/>
          </reference>
        </references>
      </pivotArea>
    </chartFormat>
  </chartFormats>
  <pivotTableStyleInfo name="PivotStyleLight16" showRowHeaders="1" showColHeaders="1" showRowStripes="0" showColStripes="0" showLastColumn="1"/>
  <filters count="1">
    <filter fld="3" type="count" evalOrder="-1" id="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1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58">
  <location ref="A1:B13"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4"/>
  </rowFields>
  <rowItems count="12">
    <i>
      <x/>
    </i>
    <i>
      <x v="1"/>
    </i>
    <i>
      <x v="2"/>
    </i>
    <i>
      <x v="3"/>
    </i>
    <i>
      <x v="4"/>
    </i>
    <i>
      <x v="5"/>
    </i>
    <i>
      <x v="6"/>
    </i>
    <i>
      <x v="7"/>
    </i>
    <i>
      <x v="8"/>
    </i>
    <i>
      <x v="9"/>
    </i>
    <i>
      <x v="10"/>
    </i>
    <i>
      <x v="11"/>
    </i>
  </rowItems>
  <colItems count="1">
    <i/>
  </colItems>
  <dataFields count="1">
    <dataField name="Sum of Total_Sales" fld="11" baseField="0" baseItem="0"/>
  </dataFields>
  <chartFormats count="1">
    <chartFormat chart="4"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8"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72">
  <location ref="P3:R8" firstHeaderRow="0"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5">
    <i>
      <x/>
    </i>
    <i>
      <x v="1"/>
    </i>
    <i>
      <x v="2"/>
    </i>
    <i>
      <x v="3"/>
    </i>
    <i>
      <x v="4"/>
    </i>
  </rowItems>
  <colFields count="1">
    <field x="-2"/>
  </colFields>
  <colItems count="2">
    <i>
      <x/>
    </i>
    <i i="1">
      <x v="1"/>
    </i>
  </colItems>
  <dataFields count="2">
    <dataField name="Sum of Total_Sales" fld="11"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05">
  <location ref="L1:M6" firstHeaderRow="1"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axis="axisRow" compact="0" outline="0" showAll="0" measureFilter="1" defaultSubtotal="0">
      <items count="22">
        <item x="11"/>
        <item x="14"/>
        <item x="6"/>
        <item x="3"/>
        <item x="8"/>
        <item x="1"/>
        <item x="19"/>
        <item x="7"/>
        <item x="17"/>
        <item x="4"/>
        <item x="13"/>
        <item x="10"/>
        <item x="5"/>
        <item x="15"/>
        <item x="18"/>
        <item x="0"/>
        <item x="21"/>
        <item x="16"/>
        <item x="2"/>
        <item x="12"/>
        <item x="20"/>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5">
    <i>
      <x v="5"/>
    </i>
    <i>
      <x v="7"/>
    </i>
    <i>
      <x v="9"/>
    </i>
    <i>
      <x v="14"/>
    </i>
    <i>
      <x v="18"/>
    </i>
  </rowItems>
  <colItems count="1">
    <i/>
  </colItems>
  <dataFields count="1">
    <dataField name="Sum of Total_Sales" fld="11" baseField="0" baseItem="0"/>
  </dataFields>
  <chartFormats count="1">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79">
  <location ref="H1:J16" firstHeaderRow="1" firstDataRow="1" firstDataCol="2"/>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5">
        <item x="3"/>
        <item x="2"/>
        <item x="0"/>
        <item x="1"/>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m="1" x="3"/>
        <item x="0"/>
        <item x="1"/>
        <item x="2"/>
      </items>
      <extLst>
        <ext xmlns:x14="http://schemas.microsoft.com/office/spreadsheetml/2009/9/main" uri="{2946ED86-A175-432a-8AC1-64E0C546D7DE}">
          <x14:pivotField fillDownLabels="1"/>
        </ext>
      </extLst>
    </pivotField>
  </pivotFields>
  <rowFields count="2">
    <field x="18"/>
    <field x="2"/>
  </rowFields>
  <rowItems count="15">
    <i>
      <x v="1"/>
      <x v="2"/>
    </i>
    <i r="1">
      <x v="3"/>
    </i>
    <i r="1">
      <x v="1"/>
    </i>
    <i r="1">
      <x/>
    </i>
    <i r="1">
      <x v="4"/>
    </i>
    <i>
      <x v="2"/>
      <x v="3"/>
    </i>
    <i r="1">
      <x v="1"/>
    </i>
    <i r="1">
      <x/>
    </i>
    <i r="1">
      <x v="4"/>
    </i>
    <i r="1">
      <x v="2"/>
    </i>
    <i>
      <x v="3"/>
      <x/>
    </i>
    <i r="1">
      <x v="3"/>
    </i>
    <i r="1">
      <x v="4"/>
    </i>
    <i r="1">
      <x v="1"/>
    </i>
    <i r="1">
      <x v="2"/>
    </i>
  </rowItems>
  <colItems count="1">
    <i/>
  </colItems>
  <dataFields count="1">
    <dataField name="Sum of Quantity" fld="10" baseField="0" baseItem="0"/>
  </dataFields>
  <chartFormats count="1">
    <chartFormat chart="7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1">
  <location ref="F5:F6" firstHeaderRow="1" firstDataRow="1" firstDataCol="0"/>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Total Quantity Sold" fld="10" baseField="0" baseItem="1"/>
  </dataFields>
  <formats count="8">
    <format dxfId="7">
      <pivotArea type="all" dataOnly="0" outline="0" fieldPosition="0"/>
    </format>
    <format dxfId="6">
      <pivotArea outline="0" collapsedLevelsAreSubtotals="1" fieldPosition="0"/>
    </format>
    <format dxfId="5">
      <pivotArea dataOnly="0" labelOnly="1" outline="0" axis="axisValues" fieldPosition="0"/>
    </format>
    <format dxfId="4">
      <pivotArea outline="0" collapsedLevelsAreSubtotals="1" fieldPosition="0"/>
    </format>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0"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600-00000B000000}"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1">
  <location ref="H5:H6" firstHeaderRow="1" firstDataRow="1" firstDataCol="0"/>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Average Discount" fld="8" subtotal="average" baseField="0" baseItem="1500458556" numFmtId="10"/>
  </dataFields>
  <formats count="9">
    <format dxfId="16">
      <pivotArea type="all" dataOnly="0" outline="0" fieldPosition="0"/>
    </format>
    <format dxfId="15">
      <pivotArea outline="0" collapsedLevelsAreSubtotals="1" fieldPosition="0"/>
    </format>
    <format dxfId="14">
      <pivotArea dataOnly="0" labelOnly="1" outline="0" axis="axisValues" fieldPosition="0"/>
    </format>
    <format dxfId="13">
      <pivotArea outline="0" collapsedLevelsAreSubtotals="1" fieldPosition="0"/>
    </format>
    <format dxfId="12">
      <pivotArea outline="0" collapsedLevelsAreSubtotals="1" fieldPosition="0"/>
    </format>
    <format dxfId="11">
      <pivotArea outline="0" fieldPosition="0">
        <references count="1">
          <reference field="4294967294" count="1">
            <x v="0"/>
          </reference>
        </references>
      </pivotArea>
    </format>
    <format dxfId="10">
      <pivotArea type="all" dataOnly="0" outline="0" fieldPosition="0"/>
    </format>
    <format dxfId="9">
      <pivotArea outline="0" collapsedLevelsAreSubtotals="1" fieldPosition="0"/>
    </format>
    <format dxfId="8">
      <pivotArea dataOnly="0" labelOnly="1" outline="0" axis="axisValues" fieldPosition="0"/>
    </format>
  </formats>
  <pivotTableStyleInfo name="PivotStyleLight16" showRowHeaders="1" showColHeaders="0"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600-00000A000000}"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1">
  <location ref="J5:J6" firstHeaderRow="1" firstDataRow="1" firstDataCol="0"/>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Average Days to Deliver" fld="17" subtotal="average" baseField="0" baseItem="1500458556" numFmtId="1"/>
  </dataFields>
  <formats count="9">
    <format dxfId="25">
      <pivotArea type="all" dataOnly="0" outline="0" fieldPosition="0"/>
    </format>
    <format dxfId="24">
      <pivotArea outline="0" collapsedLevelsAreSubtotals="1" fieldPosition="0"/>
    </format>
    <format dxfId="23">
      <pivotArea dataOnly="0" labelOnly="1" outline="0" axis="axisValues" fieldPosition="0"/>
    </format>
    <format dxfId="22">
      <pivotArea outline="0" fieldPosition="0">
        <references count="1">
          <reference field="4294967294" count="1">
            <x v="0"/>
          </reference>
        </references>
      </pivotArea>
    </format>
    <format dxfId="21">
      <pivotArea outline="0" collapsedLevelsAreSubtotals="1"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s>
  <pivotTableStyleInfo name="PivotStyleLight16" showRowHeaders="1" showColHeaders="0"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600-000009000000}" name="PivotTable2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1">
  <location ref="D5:D6" firstHeaderRow="1" firstDataRow="1" firstDataCol="0"/>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Total Profits" fld="12" baseField="0" baseItem="1500458556" numFmtId="165"/>
  </dataFields>
  <formats count="8">
    <format dxfId="33">
      <pivotArea type="all" dataOnly="0" outline="0" fieldPosition="0"/>
    </format>
    <format dxfId="32">
      <pivotArea outline="0" collapsedLevelsAreSubtotals="1" fieldPosition="0"/>
    </format>
    <format dxfId="31">
      <pivotArea dataOnly="0" labelOnly="1" outline="0" axis="axisValues" fieldPosition="0"/>
    </format>
    <format dxfId="30">
      <pivotArea outline="0" collapsedLevelsAreSubtotals="1"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0"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PivotTable2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1">
  <location ref="B5:B6" firstHeaderRow="1" firstDataRow="1" firstDataCol="0"/>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2"/>
        <item x="0"/>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2">
        <item x="5"/>
        <item x="7"/>
        <item x="1"/>
        <item x="11"/>
        <item x="3"/>
        <item x="6"/>
        <item x="2"/>
        <item x="0"/>
        <item x="4"/>
        <item x="10"/>
        <item x="9"/>
        <item x="8"/>
      </items>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Total Sales" fld="11" baseField="0" baseItem="1500458556" numFmtId="165"/>
  </dataFields>
  <formats count="15">
    <format dxfId="48">
      <pivotArea outline="0" collapsedLevelsAreSubtotals="1"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dataOnly="0" labelOnly="1" outline="0" axis="axisValues" fieldPosition="0"/>
    </format>
    <format dxfId="40">
      <pivotArea outline="0" collapsedLevelsAreSubtotals="1" fieldPosition="0"/>
    </format>
    <format dxfId="39">
      <pivotArea outline="0" collapsedLevelsAreSubtotals="1" fieldPosition="0"/>
    </format>
    <format dxfId="38">
      <pivotArea dataOnly="0" labelOnly="1" outline="0" axis="axisValues"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s>
  <chartFormats count="2">
    <chartFormat chart="4" format="1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5" name="PivotTable15"/>
    <pivotTable tabId="5" name="PivotTable5"/>
    <pivotTable tabId="5" name="PivotTable6"/>
    <pivotTable tabId="5" name="PivotTable7"/>
    <pivotTable tabId="5" name="PivotTable8"/>
    <pivotTable tabId="2" name="PivotTable2"/>
    <pivotTable tabId="2" name="PivotTable21"/>
    <pivotTable tabId="2" name="PivotTable22"/>
    <pivotTable tabId="2" name="PivotTable3"/>
    <pivotTable tabId="2" name="PivotTable4"/>
    <pivotTable tabId="5" name="PivotTable9"/>
    <pivotTable tabId="5" name="PivotTable10"/>
    <pivotTable tabId="5" name="PivotTable12"/>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5" name="PivotTable15"/>
    <pivotTable tabId="5" name="PivotTable5"/>
    <pivotTable tabId="5" name="PivotTable6"/>
    <pivotTable tabId="5" name="PivotTable7"/>
    <pivotTable tabId="5" name="PivotTable8"/>
    <pivotTable tabId="2" name="PivotTable2"/>
    <pivotTable tabId="2" name="PivotTable21"/>
    <pivotTable tabId="2" name="PivotTable22"/>
    <pivotTable tabId="2" name="PivotTable3"/>
    <pivotTable tabId="2" name="PivotTable4"/>
    <pivotTable tabId="5" name="PivotTable9"/>
    <pivotTable tabId="5" name="PivotTable10"/>
    <pivotTable tabId="5" name="PivotTable12"/>
  </pivotTables>
  <data>
    <tabular pivotCacheId="1">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00000000-0013-0000-FFFF-FFFF03000000}" sourceName="Month2">
  <pivotTables>
    <pivotTable tabId="5" name="PivotTable15"/>
    <pivotTable tabId="5" name="PivotTable5"/>
    <pivotTable tabId="5" name="PivotTable6"/>
    <pivotTable tabId="5" name="PivotTable7"/>
    <pivotTable tabId="5" name="PivotTable8"/>
    <pivotTable tabId="2" name="PivotTable2"/>
    <pivotTable tabId="2" name="PivotTable21"/>
    <pivotTable tabId="2" name="PivotTable22"/>
    <pivotTable tabId="2" name="PivotTable3"/>
    <pivotTable tabId="2" name="PivotTable4"/>
    <pivotTable tabId="5" name="PivotTable9"/>
    <pivotTable tabId="5" name="PivotTable10"/>
    <pivotTable tabId="5" name="PivotTable12"/>
  </pivotTables>
  <data>
    <tabular pivotCacheId="1">
      <items count="12">
        <i x="5" s="1"/>
        <i x="7" s="1"/>
        <i x="1" s="1"/>
        <i x="11" s="1"/>
        <i x="3" s="1"/>
        <i x="6" s="1"/>
        <i x="2" s="1"/>
        <i x="0" s="1"/>
        <i x="4" s="1"/>
        <i x="10" s="1"/>
        <i x="9"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4000000}" sourceName="Category">
  <pivotTables>
    <pivotTable tabId="5" name="PivotTable15"/>
    <pivotTable tabId="2" name="PivotTable2"/>
    <pivotTable tabId="2" name="PivotTable21"/>
    <pivotTable tabId="2" name="PivotTable22"/>
    <pivotTable tabId="2" name="PivotTable3"/>
    <pivotTable tabId="2" name="PivotTable4"/>
    <pivotTable tabId="5" name="PivotTable5"/>
    <pivotTable tabId="5" name="PivotTable6"/>
    <pivotTable tabId="5" name="PivotTable7"/>
    <pivotTable tabId="5" name="PivotTable8"/>
    <pivotTable tabId="5" name="PivotTable9"/>
    <pivotTable tabId="5" name="PivotTable10"/>
    <pivotTable tabId="5" name="PivotTable12"/>
  </pivotTables>
  <data>
    <tabular pivotCacheId="1">
      <items count="5">
        <i x="3" s="1"/>
        <i x="2" s="1"/>
        <i x="0"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9052945A-BF69-4689-A77F-AA62A211C075}" sourceName="Discount_%">
  <pivotTables>
    <pivotTable tabId="9" name="PivotTable3"/>
  </pivotTables>
  <data>
    <tabular pivotCacheId="1231895259">
      <items count="7">
        <i x="2" s="1"/>
        <i x="0" nd="1"/>
        <i x="3" nd="1"/>
        <i x="5" s="1" nd="1"/>
        <i x="1" nd="1"/>
        <i x="6"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EA7E23A-CADD-4C7B-9ACC-E6623D1050E3}" sourceName="Product_Name">
  <pivotTables>
    <pivotTable tabId="9" name="PivotTable3"/>
  </pivotTables>
  <data>
    <tabular pivotCacheId="1231895259">
      <items count="15">
        <i x="5" s="1"/>
        <i x="4" nd="1"/>
        <i x="1" nd="1"/>
        <i x="8" nd="1"/>
        <i x="6" nd="1"/>
        <i x="3" nd="1"/>
        <i x="12" nd="1"/>
        <i x="2" nd="1"/>
        <i x="11" nd="1"/>
        <i x="7" nd="1"/>
        <i x="14" nd="1"/>
        <i x="0" nd="1"/>
        <i x="10" nd="1"/>
        <i x="9" nd="1"/>
        <i x="13"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5EC5111C-3778-4E1D-9CB0-EAF3F7A94AA9}" sourceName="Total_Sales">
  <pivotTables>
    <pivotTable tabId="9" name="PivotTable3"/>
  </pivotTables>
  <data>
    <tabular pivotCacheId="1231895259">
      <items count="1200">
        <i x="299"/>
        <i x="636"/>
        <i x="486"/>
        <i x="393"/>
        <i x="980" s="1"/>
        <i x="1123"/>
        <i x="155"/>
        <i x="1143"/>
        <i x="958"/>
        <i x="506"/>
        <i x="309"/>
        <i x="238"/>
        <i x="287"/>
        <i x="1102"/>
        <i x="910"/>
        <i x="906"/>
        <i x="632"/>
        <i x="921"/>
        <i x="378"/>
        <i x="960"/>
        <i x="1025"/>
        <i x="386"/>
        <i x="1110"/>
        <i x="876"/>
        <i x="943"/>
        <i x="996"/>
        <i x="1137"/>
        <i x="849"/>
        <i x="358"/>
        <i x="75"/>
        <i x="402"/>
        <i x="839"/>
        <i x="837"/>
        <i x="285"/>
        <i x="257"/>
        <i x="197"/>
        <i x="667"/>
        <i x="1036"/>
        <i x="734"/>
        <i x="813"/>
        <i x="850"/>
        <i x="1065" nd="1"/>
        <i x="1148" nd="1"/>
        <i x="507" nd="1"/>
        <i x="83" nd="1"/>
        <i x="991" nd="1"/>
        <i x="216" nd="1"/>
        <i x="467" nd="1"/>
        <i x="732" nd="1"/>
        <i x="1117" nd="1"/>
        <i x="263" nd="1"/>
        <i x="271" nd="1"/>
        <i x="406" nd="1"/>
        <i x="440" nd="1"/>
        <i x="90" nd="1"/>
        <i x="314" nd="1"/>
        <i x="533" nd="1"/>
        <i x="934" nd="1"/>
        <i x="129" nd="1"/>
        <i x="893" nd="1"/>
        <i x="616" nd="1"/>
        <i x="520" nd="1"/>
        <i x="472" nd="1"/>
        <i x="946" nd="1"/>
        <i x="657" nd="1"/>
        <i x="1020" nd="1"/>
        <i x="781" nd="1"/>
        <i x="176" nd="1"/>
        <i x="28" nd="1"/>
        <i x="363" nd="1"/>
        <i x="501" nd="1"/>
        <i x="1049" nd="1"/>
        <i x="377" nd="1"/>
        <i x="346" nd="1"/>
        <i x="241" nd="1"/>
        <i x="305" nd="1"/>
        <i x="1010" nd="1"/>
        <i x="139" nd="1"/>
        <i x="371" nd="1"/>
        <i x="1120" nd="1"/>
        <i x="89" nd="1"/>
        <i x="977" nd="1"/>
        <i x="883" nd="1"/>
        <i x="1099" nd="1"/>
        <i x="932" nd="1"/>
        <i x="39" nd="1"/>
        <i x="1088" nd="1"/>
        <i x="1151" nd="1"/>
        <i x="948" nd="1"/>
        <i x="733" nd="1"/>
        <i x="598" nd="1"/>
        <i x="765" nd="1"/>
        <i x="972" nd="1"/>
        <i x="277" nd="1"/>
        <i x="585" nd="1"/>
        <i x="401" nd="1"/>
        <i x="1193" nd="1"/>
        <i x="109" nd="1"/>
        <i x="540" nd="1"/>
        <i x="649" nd="1"/>
        <i x="601" nd="1"/>
        <i x="1160" nd="1"/>
        <i x="606" nd="1"/>
        <i x="799" nd="1"/>
        <i x="691" nd="1"/>
        <i x="1131" nd="1"/>
        <i x="698" nd="1"/>
        <i x="621" nd="1"/>
        <i x="1053" nd="1"/>
        <i x="858" nd="1"/>
        <i x="871" nd="1"/>
        <i x="900" nd="1"/>
        <i x="924" nd="1"/>
        <i x="500" nd="1"/>
        <i x="183" nd="1"/>
        <i x="303" nd="1"/>
        <i x="235" nd="1"/>
        <i x="1127" nd="1"/>
        <i x="51" nd="1"/>
        <i x="455" nd="1"/>
        <i x="870" nd="1"/>
        <i x="526" nd="1"/>
        <i x="563" nd="1"/>
        <i x="94" nd="1"/>
        <i x="675" nd="1"/>
        <i x="655" nd="1"/>
        <i x="509" nd="1"/>
        <i x="771" nd="1"/>
        <i x="742" nd="1"/>
        <i x="349" nd="1"/>
        <i x="107" nd="1"/>
        <i x="827" nd="1"/>
        <i x="432" nd="1"/>
        <i x="848" nd="1"/>
        <i x="726" nd="1"/>
        <i x="1192" nd="1"/>
        <i x="941" nd="1"/>
        <i x="435" nd="1"/>
        <i x="65" nd="1"/>
        <i x="204" nd="1"/>
        <i x="1039" nd="1"/>
        <i x="87" nd="1"/>
        <i x="1172" nd="1"/>
        <i x="623" nd="1"/>
        <i x="566" nd="1"/>
        <i x="683" nd="1"/>
        <i x="740" nd="1"/>
        <i x="228" nd="1"/>
        <i x="1156" nd="1"/>
        <i x="41" nd="1"/>
        <i x="226" nd="1"/>
        <i x="665" nd="1"/>
        <i x="544" nd="1"/>
        <i x="744" nd="1"/>
        <i x="64" nd="1"/>
        <i x="1062" nd="1"/>
        <i x="1054" nd="1"/>
        <i x="261" nd="1"/>
        <i x="1196" nd="1"/>
        <i x="562" nd="1"/>
        <i x="706" nd="1"/>
        <i x="150" nd="1"/>
        <i x="1126" nd="1"/>
        <i x="703" nd="1"/>
        <i x="49" nd="1"/>
        <i x="807" nd="1"/>
        <i x="615" nd="1"/>
        <i x="1008" nd="1"/>
        <i x="677" nd="1"/>
        <i x="464" nd="1"/>
        <i x="887" nd="1"/>
        <i x="1125" nd="1"/>
        <i x="17" nd="1"/>
        <i x="825" nd="1"/>
        <i x="324" nd="1"/>
        <i x="1168" nd="1"/>
        <i x="157" nd="1"/>
        <i x="145" nd="1"/>
        <i x="747" nd="1"/>
        <i x="268" nd="1"/>
        <i x="164" nd="1"/>
        <i x="784" nd="1"/>
        <i x="366" nd="1"/>
        <i x="891" nd="1"/>
        <i x="553" nd="1"/>
        <i x="1157" nd="1"/>
        <i x="152" nd="1"/>
        <i x="641" nd="1"/>
        <i x="444" nd="1"/>
        <i x="874" nd="1"/>
        <i x="225" nd="1"/>
        <i x="497" nd="1"/>
        <i x="332" nd="1"/>
        <i x="1066" nd="1"/>
        <i x="1135" nd="1"/>
        <i x="547" nd="1"/>
        <i x="120" nd="1"/>
        <i x="823" nd="1"/>
        <i x="550" nd="1"/>
        <i x="337" nd="1"/>
        <i x="755" nd="1"/>
        <i x="867" nd="1"/>
        <i x="886" nd="1"/>
        <i x="912" nd="1"/>
        <i x="610" nd="1"/>
        <i x="462" nd="1"/>
        <i x="709" nd="1"/>
        <i x="112" nd="1"/>
        <i x="310" nd="1"/>
        <i x="29" nd="1"/>
        <i x="1071" nd="1"/>
        <i x="158" nd="1"/>
        <i x="853" nd="1"/>
        <i x="1179" nd="1"/>
        <i x="246" nd="1"/>
        <i x="931" nd="1"/>
        <i x="502" nd="1"/>
        <i x="24" nd="1"/>
        <i x="264" nd="1"/>
        <i x="431" nd="1"/>
        <i x="339" nd="1"/>
        <i x="492" nd="1"/>
        <i x="723" nd="1"/>
        <i x="13" nd="1"/>
        <i x="93" nd="1"/>
        <i x="278" nd="1"/>
        <i x="663" nd="1"/>
        <i x="100" nd="1"/>
        <i x="298" nd="1"/>
        <i x="862" nd="1"/>
        <i x="84" nd="1"/>
        <i x="894" nd="1"/>
        <i x="730" nd="1"/>
        <i x="449" nd="1"/>
        <i x="77" nd="1"/>
        <i x="328" nd="1"/>
        <i x="776" nd="1"/>
        <i x="425" nd="1"/>
        <i x="785" nd="1"/>
        <i x="810" nd="1"/>
        <i x="708" nd="1"/>
        <i x="888" nd="1"/>
        <i x="847" nd="1"/>
        <i x="788" nd="1"/>
        <i x="928" nd="1"/>
        <i x="879" nd="1"/>
        <i x="791" nd="1"/>
        <i x="383" nd="1"/>
        <i x="707" nd="1"/>
        <i x="1057" nd="1"/>
        <i x="294" nd="1"/>
        <i x="255" nd="1"/>
        <i x="203" nd="1"/>
        <i x="202" nd="1"/>
        <i x="43" nd="1"/>
        <i x="166" nd="1"/>
        <i x="7" nd="1"/>
        <i x="101" nd="1"/>
        <i x="1180" nd="1"/>
        <i x="1090" nd="1"/>
        <i x="986" nd="1"/>
        <i x="722" nd="1"/>
        <i x="602" nd="1"/>
        <i x="0" nd="1"/>
        <i x="685" nd="1"/>
        <i x="725" nd="1"/>
        <i x="1078" nd="1"/>
        <i x="168" nd="1"/>
        <i x="576" nd="1"/>
        <i x="256" nd="1"/>
        <i x="196" nd="1"/>
        <i x="1006" nd="1"/>
        <i x="852" nd="1"/>
        <i x="311" nd="1"/>
        <i x="312" nd="1"/>
        <i x="321" nd="1"/>
        <i x="589" nd="1"/>
        <i x="115" nd="1"/>
        <i x="626" nd="1"/>
        <i x="1013" nd="1"/>
        <i x="1029" nd="1"/>
        <i x="323" nd="1"/>
        <i x="437" nd="1"/>
        <i x="595" nd="1"/>
        <i x="819" nd="1"/>
        <i x="154" nd="1"/>
        <i x="72" nd="1"/>
        <i x="656" nd="1"/>
        <i x="362" nd="1"/>
        <i x="421" nd="1"/>
        <i x="538" nd="1"/>
        <i x="184" nd="1"/>
        <i x="860" nd="1"/>
        <i x="651" nd="1"/>
        <i x="236" nd="1"/>
        <i x="564" nd="1"/>
        <i x="766" nd="1"/>
        <i x="652" nd="1"/>
        <i x="483" nd="1"/>
        <i x="57" nd="1"/>
        <i x="918" nd="1"/>
        <i x="148" nd="1"/>
        <i x="930" nd="1"/>
        <i x="1105" nd="1"/>
        <i x="988" nd="1"/>
        <i x="967" nd="1"/>
        <i x="984" nd="1"/>
        <i x="835" nd="1"/>
        <i x="1155" nd="1"/>
        <i x="62" nd="1"/>
        <i x="355" nd="1"/>
        <i x="179" nd="1"/>
        <i x="1118" nd="1"/>
        <i x="676" nd="1"/>
        <i x="47" nd="1"/>
        <i x="782" nd="1"/>
        <i x="411" nd="1"/>
        <i x="5" nd="1"/>
        <i x="73" nd="1"/>
        <i x="353" nd="1"/>
        <i x="334" nd="1"/>
        <i x="603" nd="1"/>
        <i x="1089" nd="1"/>
        <i x="280" nd="1"/>
        <i x="512" nd="1"/>
        <i x="992" nd="1"/>
        <i x="717" nd="1"/>
        <i x="513" nd="1"/>
        <i x="727" nd="1"/>
        <i x="793" nd="1"/>
        <i x="61" nd="1"/>
        <i x="737" nd="1"/>
        <i x="1048" nd="1"/>
        <i x="1046" nd="1"/>
        <i x="775" nd="1"/>
        <i x="715" nd="1"/>
        <i x="78" nd="1"/>
        <i x="956" nd="1"/>
        <i x="642" nd="1"/>
        <i x="81" nd="1"/>
        <i x="1023" nd="1"/>
        <i x="543" nd="1"/>
        <i x="778" nd="1"/>
        <i x="343" nd="1"/>
        <i x="95" nd="1"/>
        <i x="14" nd="1"/>
        <i x="480" nd="1"/>
        <i x="611" nd="1"/>
        <i x="215" nd="1"/>
        <i x="422" nd="1"/>
        <i x="840" nd="1"/>
        <i x="838" nd="1"/>
        <i x="361" nd="1"/>
        <i x="466" nd="1"/>
        <i x="475" nd="1"/>
        <i x="1181" nd="1"/>
        <i x="254" nd="1"/>
        <i x="227" nd="1"/>
        <i x="940" nd="1"/>
        <i x="516" nd="1"/>
        <i x="937" nd="1"/>
        <i x="857" nd="1"/>
        <i x="1002" nd="1"/>
        <i x="818" nd="1"/>
        <i x="571" nd="1"/>
        <i x="565" nd="1"/>
        <i x="1128" nd="1"/>
        <i x="140" nd="1"/>
        <i x="832" nd="1"/>
        <i x="617" nd="1"/>
        <i x="201" nd="1"/>
        <i x="861" nd="1"/>
        <i x="699" nd="1"/>
        <i x="898" nd="1"/>
        <i x="590" nd="1"/>
        <i x="1016" nd="1"/>
        <i x="880" nd="1"/>
        <i x="118" nd="1"/>
        <i x="306" nd="1"/>
        <i x="451" nd="1"/>
        <i x="945" nd="1"/>
        <i x="1108" nd="1"/>
        <i x="1028" nd="1"/>
        <i x="596" nd="1"/>
        <i x="456" nd="1"/>
        <i x="697" nd="1"/>
        <i x="159" nd="1"/>
        <i x="213" nd="1"/>
        <i x="505" nd="1"/>
        <i x="695" nd="1"/>
        <i x="130" nd="1"/>
        <i x="735" nd="1"/>
        <i x="26" nd="1"/>
        <i x="258" nd="1"/>
        <i x="613" nd="1"/>
        <i x="920" nd="1"/>
        <i x="650" nd="1"/>
        <i x="487" nd="1"/>
        <i x="247" nd="1"/>
        <i x="556" nd="1"/>
        <i x="899" nd="1"/>
        <i x="955" nd="1"/>
        <i x="687" nd="1"/>
        <i x="194" nd="1"/>
        <i x="198" nd="1"/>
        <i x="964" nd="1"/>
        <i x="289" nd="1"/>
        <i x="3" nd="1"/>
        <i x="1091" nd="1"/>
        <i x="1115" nd="1"/>
        <i x="970" nd="1"/>
        <i x="672" nd="1"/>
        <i x="634" nd="1"/>
        <i x="846" nd="1"/>
        <i x="668" nd="1"/>
        <i x="935" nd="1"/>
        <i x="608" nd="1"/>
        <i x="20" nd="1"/>
        <i x="952" nd="1"/>
        <i x="86" nd="1"/>
        <i x="30" nd="1"/>
        <i x="412" nd="1"/>
        <i x="178" nd="1"/>
        <i x="728" nd="1"/>
        <i x="252" nd="1"/>
        <i x="890" nd="1"/>
        <i x="536" nd="1"/>
        <i x="865" nd="1"/>
        <i x="469" nd="1"/>
        <i x="200" nd="1"/>
        <i x="528" nd="1"/>
        <i x="1162" nd="1"/>
        <i x="856" nd="1"/>
        <i x="774" nd="1"/>
        <i x="56" nd="1"/>
        <i x="973" nd="1"/>
        <i x="1133" nd="1"/>
        <i x="917" nd="1"/>
        <i x="88" nd="1"/>
        <i x="416" nd="1"/>
        <i x="631" nd="1"/>
        <i x="885" nd="1"/>
        <i x="982" nd="1"/>
        <i x="670" nd="1"/>
        <i x="347" nd="1"/>
        <i x="284" nd="1"/>
        <i x="382" nd="1"/>
        <i x="521" nd="1"/>
        <i x="44" nd="1"/>
        <i x="376" nd="1"/>
        <i x="126" nd="1"/>
        <i x="199" nd="1"/>
        <i x="224" nd="1"/>
        <i x="908" nd="1"/>
        <i x="379" nd="1"/>
        <i x="1177" nd="1"/>
        <i x="957" nd="1"/>
        <i x="1082" nd="1"/>
        <i x="333" nd="1"/>
        <i x="953" nd="1"/>
        <i x="374" nd="1"/>
        <i x="681" nd="1"/>
        <i x="607" nd="1"/>
        <i x="605" nd="1"/>
        <i x="612" nd="1"/>
        <i x="800" nd="1"/>
        <i x="1141" nd="1"/>
        <i x="679" nd="1"/>
        <i x="845" nd="1"/>
        <i x="419" nd="1"/>
        <i x="1037" nd="1"/>
        <i x="465" nd="1"/>
        <i x="549" nd="1"/>
        <i x="769" nd="1"/>
        <i x="570" nd="1"/>
        <i x="282" nd="1"/>
        <i x="712" nd="1"/>
        <i x="869" nd="1"/>
        <i x="66" nd="1"/>
        <i x="234" nd="1"/>
        <i x="954" nd="1"/>
        <i x="1070" nd="1"/>
        <i x="1074" nd="1"/>
        <i x="442" nd="1"/>
        <i x="842" nd="1"/>
        <i x="1001" nd="1"/>
        <i x="1081" nd="1"/>
        <i x="53" nd="1"/>
        <i x="206" nd="1"/>
        <i x="399" nd="1"/>
        <i x="488" nd="1"/>
        <i x="716" nd="1"/>
        <i x="1167" nd="1"/>
        <i x="985" nd="1"/>
        <i x="1106" nd="1"/>
        <i x="689" nd="1"/>
        <i x="25" nd="1"/>
        <i x="365" nd="1"/>
        <i x="1096" nd="1"/>
        <i x="97" nd="1"/>
        <i x="919" nd="1"/>
        <i x="1138" nd="1"/>
        <i x="1026" nd="1"/>
        <i x="995" nd="1"/>
        <i x="915" nd="1"/>
        <i x="1142" nd="1"/>
        <i x="816" nd="1"/>
        <i x="1104" nd="1"/>
        <i x="760" nd="1"/>
        <i x="144" nd="1"/>
        <i x="647" nd="1"/>
        <i x="983" nd="1"/>
        <i x="951" nd="1"/>
        <i x="844" nd="1"/>
        <i x="535" nd="1"/>
        <i x="588" nd="1"/>
        <i x="111" nd="1"/>
        <i x="904" nd="1"/>
        <i x="567" nd="1"/>
        <i x="713" nd="1"/>
        <i x="604" nd="1"/>
        <i x="926" nd="1"/>
        <i x="138" nd="1"/>
        <i x="628" nd="1"/>
        <i x="551" nd="1"/>
        <i x="797" nd="1"/>
        <i x="11" nd="1"/>
        <i x="761" nd="1"/>
        <i x="1173" nd="1"/>
        <i x="242" nd="1"/>
        <i x="902" nd="1"/>
        <i x="1132" nd="1"/>
        <i x="63" nd="1"/>
        <i x="519" nd="1"/>
        <i x="248" nd="1"/>
        <i x="433" nd="1"/>
        <i x="517" nd="1"/>
        <i x="418" nd="1"/>
        <i x="471" nd="1"/>
        <i x="450" nd="1"/>
        <i x="878" nd="1"/>
        <i x="714" nd="1"/>
        <i x="391" nd="1"/>
        <i x="114" nd="1"/>
        <i x="754" nd="1"/>
        <i x="446" nd="1"/>
        <i x="790" nd="1"/>
        <i x="460" nd="1"/>
        <i x="185" nd="1"/>
        <i x="764" nd="1"/>
        <i x="963" nd="1"/>
        <i x="1198" nd="1"/>
        <i x="1041" nd="1"/>
        <i x="489" nd="1"/>
        <i x="664" nd="1"/>
        <i x="718" nd="1"/>
        <i x="987" nd="1"/>
        <i x="792" nd="1"/>
        <i x="1056" nd="1"/>
        <i x="694" nd="1"/>
        <i x="640" nd="1"/>
        <i x="131" nd="1"/>
        <i x="786" nd="1"/>
        <i x="643" nd="1"/>
        <i x="975" nd="1"/>
        <i x="787" nd="1"/>
        <i x="510" nd="1"/>
        <i x="1150" nd="1"/>
        <i x="1100" nd="1"/>
        <i x="392" nd="1"/>
        <i x="855" nd="1"/>
        <i x="821" nd="1"/>
        <i x="522" nd="1"/>
        <i x="751" nd="1"/>
        <i x="805" nd="1"/>
        <i x="423" nd="1"/>
        <i x="276" nd="1"/>
        <i x="514" nd="1"/>
        <i x="452" nd="1"/>
        <i x="824" nd="1"/>
        <i x="319" nd="1"/>
        <i x="1189" nd="1"/>
        <i x="104" nd="1"/>
        <i x="736" nd="1"/>
        <i x="161" nd="1"/>
        <i x="758" nd="1"/>
        <i x="167" nd="1"/>
        <i x="156" nd="1"/>
        <i x="1063" nd="1"/>
        <i x="560" nd="1"/>
        <i x="1199" nd="1"/>
        <i x="169" nd="1"/>
        <i x="599" nd="1"/>
        <i x="661" nd="1"/>
        <i x="1004" nd="1"/>
        <i x="1031" nd="1"/>
        <i x="648" nd="1"/>
        <i x="843" nd="1"/>
        <i x="1190" nd="1"/>
        <i x="1055" nd="1"/>
        <i x="1083" nd="1"/>
        <i x="223" nd="1"/>
        <i x="473" nd="1"/>
        <i x="317" nd="1"/>
        <i x="42" nd="1"/>
        <i x="942" nd="1"/>
        <i x="380" nd="1"/>
        <i x="307" nd="1"/>
        <i x="1012" nd="1"/>
        <i x="221" nd="1"/>
        <i x="45" nd="1"/>
        <i x="110" nd="1"/>
        <i x="52" nd="1"/>
        <i x="586" nd="1"/>
        <i x="1015" nd="1"/>
        <i x="877" nd="1"/>
        <i x="1176" nd="1"/>
        <i x="410" nd="1"/>
        <i x="1183" nd="1"/>
        <i x="768" nd="1"/>
        <i x="219" nd="1"/>
        <i x="396" nd="1"/>
        <i x="470" nd="1"/>
        <i x="803" nd="1"/>
        <i x="482" nd="1"/>
        <i x="1187" nd="1"/>
        <i x="345" nd="1"/>
        <i x="724" nd="1"/>
        <i x="1101" nd="1"/>
        <i x="619" nd="1"/>
        <i x="348" nd="1"/>
        <i x="767" nd="1"/>
        <i x="69" nd="1"/>
        <i x="969" nd="1"/>
        <i x="113" nd="1"/>
        <i x="36" nd="1"/>
        <i x="822" nd="1"/>
        <i x="55" nd="1"/>
        <i x="1112" nd="1"/>
        <i x="496" nd="1"/>
        <i x="911" nd="1"/>
        <i x="896" nd="1"/>
        <i x="1007" nd="1"/>
        <i x="71" nd="1"/>
        <i x="426" nd="1"/>
        <i x="568" nd="1"/>
        <i x="16" nd="1"/>
        <i x="976" nd="1"/>
        <i x="162" nd="1"/>
        <i x="171" nd="1"/>
        <i x="1092" nd="1"/>
        <i x="478" nd="1"/>
        <i x="74" nd="1"/>
        <i x="700" nd="1"/>
        <i x="250" nd="1"/>
        <i x="1072" nd="1"/>
        <i x="545" nd="1"/>
        <i x="830" nd="1"/>
        <i x="938" nd="1"/>
        <i x="554" nd="1"/>
        <i x="327" nd="1"/>
        <i x="286" nd="1"/>
        <i x="103" nd="1"/>
        <i x="23" nd="1"/>
        <i x="290" nd="1"/>
        <i x="1047" nd="1"/>
        <i x="1014" nd="1"/>
        <i x="1152" nd="1"/>
        <i x="966" nd="1"/>
        <i x="40" nd="1"/>
        <i x="753" nd="1"/>
        <i x="1044" nd="1"/>
        <i x="559" nd="1"/>
        <i x="895" nd="1"/>
        <i x="511" nd="1"/>
        <i x="863" nd="1"/>
        <i x="1174" nd="1"/>
        <i x="962" nd="1"/>
        <i x="854" nd="1"/>
        <i x="1197" nd="1"/>
        <i x="357" nd="1"/>
        <i x="172" nd="1"/>
        <i x="939" nd="1"/>
        <i x="181" nd="1"/>
        <i x="128" nd="1"/>
        <i x="796" nd="1"/>
        <i x="783" nd="1"/>
        <i x="587" nd="1"/>
        <i x="427" nd="1"/>
        <i x="720" nd="1"/>
        <i x="541" nd="1"/>
        <i x="1111" nd="1"/>
        <i x="117" nd="1"/>
        <i x="342" nd="1"/>
        <i x="498" nd="1"/>
        <i x="582" nd="1"/>
        <i x="922" nd="1"/>
        <i x="659" nd="1"/>
        <i x="594" nd="1"/>
        <i x="809" nd="1"/>
        <i x="46" nd="1"/>
        <i x="68" nd="1"/>
        <i x="555" nd="1"/>
        <i x="182" nd="1"/>
        <i x="259" nd="1"/>
        <i x="296" nd="1"/>
        <i x="143" nd="1"/>
        <i x="453" nd="1"/>
        <i x="275" nd="1"/>
        <i x="356" nd="1"/>
        <i x="70" nd="1"/>
        <i x="1" nd="1"/>
        <i x="561" nd="1"/>
        <i x="350" nd="1"/>
        <i x="389" nd="1"/>
        <i x="340" nd="1"/>
        <i x="484" nd="1"/>
        <i x="1086" nd="1"/>
        <i x="1124" nd="1"/>
        <i x="270" nd="1"/>
        <i x="132" nd="1"/>
        <i x="1034" nd="1"/>
        <i x="214" nd="1"/>
        <i x="229" nd="1"/>
        <i x="352" nd="1"/>
        <i x="1149" nd="1"/>
        <i x="1059" nd="1"/>
        <i x="644" nd="1"/>
        <i x="654" nd="1"/>
        <i x="211" nd="1"/>
        <i x="686" nd="1"/>
        <i x="245" nd="1"/>
        <i x="269" nd="1"/>
        <i x="367" nd="1"/>
        <i x="968" nd="1"/>
        <i x="523" nd="1"/>
        <i x="622" nd="1"/>
        <i x="965" nd="1"/>
        <i x="37" nd="1"/>
        <i x="1140" nd="1"/>
        <i x="12" nd="1"/>
        <i x="1040" nd="1"/>
        <i x="99" nd="1"/>
        <i x="220" nd="1"/>
        <i x="38" nd="1"/>
        <i x="739" nd="1"/>
        <i x="580" nd="1"/>
        <i x="682" nd="1"/>
        <i x="750" nd="1"/>
        <i x="1194" nd="1"/>
        <i x="662" nd="1"/>
        <i x="1114" nd="1"/>
        <i x="1145" nd="1"/>
        <i x="468" nd="1"/>
        <i x="914" nd="1"/>
        <i x="1191" nd="1"/>
        <i x="903" nd="1"/>
        <i x="249" nd="1"/>
        <i x="283" nd="1"/>
        <i x="1073" nd="1"/>
        <i x="569" nd="1"/>
        <i x="1182" nd="1"/>
        <i x="949" nd="1"/>
        <i x="627" nd="1"/>
        <i x="10" nd="1"/>
        <i x="666" nd="1"/>
        <i x="315" nd="1"/>
        <i x="905" nd="1"/>
        <i x="272" nd="1"/>
        <i x="149" nd="1"/>
        <i x="772" nd="1"/>
        <i x="493" nd="1"/>
        <i x="817" nd="1"/>
        <i x="1050" nd="1"/>
        <i x="372" nd="1"/>
        <i x="1163" nd="1"/>
        <i x="434" nd="1"/>
        <i x="762" nd="1"/>
        <i x="1097" nd="1"/>
        <i x="82" nd="1"/>
        <i x="407" nd="1"/>
        <i x="447" nd="1"/>
        <i x="33" nd="1"/>
        <i x="123" nd="1"/>
        <i x="231" nd="1"/>
        <i x="572" nd="1"/>
        <i x="79" nd="1"/>
        <i x="1018" nd="1"/>
        <i x="174" nd="1"/>
        <i x="253" nd="1"/>
        <i x="415" nd="1"/>
        <i x="443" nd="1"/>
        <i x="875" nd="1"/>
        <i x="336" nd="1"/>
        <i x="490" nd="1"/>
        <i x="770" nd="1"/>
        <i x="578" nd="1"/>
        <i x="1076" nd="1"/>
        <i x="1184" nd="1"/>
        <i x="671" nd="1"/>
        <i x="359" nd="1"/>
        <i x="884" nd="1"/>
        <i x="711" nd="1"/>
        <i x="6" nd="1"/>
        <i x="692" nd="1"/>
        <i x="591" nd="1"/>
        <i x="32" nd="1"/>
        <i x="933" nd="1"/>
        <i x="233" nd="1"/>
        <i x="175" nd="1"/>
        <i x="927" nd="1"/>
        <i x="1161" nd="1"/>
        <i x="731" nd="1"/>
        <i x="80" nd="1"/>
        <i x="436" nd="1"/>
        <i x="207" nd="1"/>
        <i x="1080" nd="1"/>
        <i x="1061" nd="1"/>
        <i x="1130" nd="1"/>
        <i x="1064" nd="1"/>
        <i x="408" nd="1"/>
        <i x="841" nd="1"/>
        <i x="916" nd="1"/>
        <i x="27" nd="1"/>
        <i x="584" nd="1"/>
        <i x="1154" nd="1"/>
        <i x="828" nd="1"/>
        <i x="279" nd="1"/>
        <i x="913" nd="1"/>
        <i x="67" nd="1"/>
        <i x="1119" nd="1"/>
        <i x="338" nd="1"/>
        <i x="909" nd="1"/>
        <i x="757" nd="1"/>
        <i x="1009" nd="1"/>
        <i x="424" nd="1"/>
        <i x="222" nd="1"/>
        <i x="190" nd="1"/>
        <i x="1005" nd="1"/>
        <i x="141" nd="1"/>
        <i x="639" nd="1"/>
        <i x="806" nd="1"/>
        <i x="658" nd="1"/>
        <i x="369" nd="1"/>
        <i x="752" nd="1"/>
        <i x="457" nd="1"/>
        <i x="743" nd="1"/>
        <i x="1060" nd="1"/>
        <i x="630" nd="1"/>
        <i x="961" nd="1"/>
        <i x="414" nd="1"/>
        <i x="15" nd="1"/>
        <i x="811" nd="1"/>
        <i x="390" nd="1"/>
        <i x="463" nd="1"/>
        <i x="1103" nd="1"/>
        <i x="417" nd="1"/>
        <i x="971" nd="1"/>
        <i x="121" nd="1"/>
        <i x="759" nd="1"/>
        <i x="146" nd="1"/>
        <i x="494" nd="1"/>
        <i x="397" nd="1"/>
        <i x="398" nd="1"/>
        <i x="429" nd="1"/>
        <i x="163" nd="1"/>
        <i x="1166" nd="1"/>
        <i x="291" nd="1"/>
        <i x="635" nd="1"/>
        <i x="1003" nd="1"/>
        <i x="373" nd="1"/>
        <i x="108" nd="1"/>
        <i x="8" nd="1"/>
        <i x="106" nd="1"/>
        <i x="944" nd="1"/>
        <i x="660" nd="1"/>
        <i x="300" nd="1"/>
        <i x="597" nd="1"/>
        <i x="1129" nd="1"/>
        <i x="288" nd="1"/>
        <i x="834" nd="1"/>
        <i x="368" nd="1"/>
        <i x="638" nd="1"/>
        <i x="428" nd="1"/>
        <i x="448" nd="1"/>
        <i x="281" nd="1"/>
        <i x="2" nd="1"/>
        <i x="430" nd="1"/>
        <i x="873" nd="1"/>
        <i x="313" nd="1"/>
        <i x="237" nd="1"/>
        <i x="1075" nd="1"/>
        <i x="384" nd="1"/>
        <i x="187" nd="1"/>
        <i x="119" nd="1"/>
        <i x="851" nd="1"/>
        <i x="1139" nd="1"/>
        <i x="923" nd="1"/>
        <i x="1024" nd="1"/>
        <i x="539" nd="1"/>
        <i x="330" nd="1"/>
        <i x="134" nd="1"/>
        <i x="218" nd="1"/>
        <i x="1068" nd="1"/>
        <i x="48" nd="1"/>
        <i x="537" nd="1"/>
        <i x="705" nd="1"/>
        <i x="645" nd="1"/>
        <i x="405" nd="1"/>
        <i x="239" nd="1"/>
        <i x="999" nd="1"/>
        <i x="91" nd="1"/>
        <i x="1087" nd="1"/>
        <i x="548" nd="1"/>
        <i x="889" nd="1"/>
        <i x="901" nd="1"/>
        <i x="205" nd="1"/>
        <i x="990" nd="1"/>
        <i x="59" nd="1"/>
        <i x="1095" nd="1"/>
        <i x="531" nd="1"/>
        <i x="974" nd="1"/>
        <i x="92" nd="1"/>
        <i x="1122" nd="1"/>
        <i x="243" nd="1"/>
        <i x="331" nd="1"/>
        <i x="293" nd="1"/>
        <i x="629" nd="1"/>
        <i x="773" nd="1"/>
        <i x="583" nd="1"/>
        <i x="529" nd="1"/>
        <i x="458" nd="1"/>
        <i x="808" nd="1"/>
        <i x="191" nd="1"/>
        <i x="35" nd="1"/>
        <i x="593" nd="1"/>
        <i x="1121" nd="1"/>
        <i x="508" nd="1"/>
        <i x="789" nd="1"/>
        <i x="577" nd="1"/>
        <i x="318" nd="1"/>
        <i x="344" nd="1"/>
        <i x="690" nd="1"/>
        <i x="1136" nd="1"/>
        <i x="4" nd="1"/>
        <i x="302" nd="1"/>
        <i x="994" nd="1"/>
        <i x="1147" nd="1"/>
        <i x="19" nd="1"/>
        <i x="212" nd="1"/>
        <i x="1043" nd="1"/>
        <i x="1042" nd="1"/>
        <i x="21" nd="1"/>
        <i x="678" nd="1"/>
        <i x="534" nd="1"/>
        <i x="136" nd="1"/>
        <i x="147" nd="1"/>
        <i x="381" nd="1"/>
        <i x="696" nd="1"/>
        <i x="244" nd="1"/>
        <i x="872" nd="1"/>
        <i x="160" nd="1"/>
        <i x="1158" nd="1"/>
        <i x="322" nd="1"/>
        <i x="192" nd="1"/>
        <i x="1032" nd="1"/>
        <i x="459" nd="1"/>
        <i x="96" nd="1"/>
        <i x="620" nd="1"/>
        <i x="34" nd="1"/>
        <i x="729" nd="1"/>
        <i x="76" nd="1"/>
        <i x="701" nd="1"/>
        <i x="1017" nd="1"/>
        <i x="1079" nd="1"/>
        <i x="882" nd="1"/>
        <i x="719" nd="1"/>
        <i x="409" nd="1"/>
        <i x="474" nd="1"/>
        <i x="881" nd="1"/>
        <i x="308" nd="1"/>
        <i x="439" nd="1"/>
        <i x="142" nd="1"/>
        <i x="802" nd="1"/>
        <i x="653" nd="1"/>
        <i x="1134" nd="1"/>
        <i x="936" nd="1"/>
        <i x="592" nd="1"/>
        <i x="897" nd="1"/>
        <i x="177" nd="1"/>
        <i x="527" nd="1"/>
        <i x="438" nd="1"/>
        <i x="297" nd="1"/>
        <i x="749" nd="1"/>
        <i x="600" nd="1"/>
        <i x="815" nd="1"/>
        <i x="388" nd="1"/>
        <i x="208" nd="1"/>
        <i x="646" nd="1"/>
        <i x="326" nd="1"/>
        <i x="193" nd="1"/>
        <i x="777" nd="1"/>
        <i x="316" nd="1"/>
        <i x="1175" nd="1"/>
        <i x="292" nd="1"/>
        <i x="375" nd="1"/>
        <i x="1195" nd="1"/>
        <i x="907" nd="1"/>
        <i x="702" nd="1"/>
        <i x="614" nd="1"/>
        <i x="504" nd="1"/>
        <i x="1094" nd="1"/>
        <i x="476" nd="1"/>
        <i x="579" nd="1"/>
        <i x="993" nd="1"/>
        <i x="1171" nd="1"/>
        <i x="633" nd="1"/>
        <i x="814" nd="1"/>
        <i x="1058" nd="1"/>
        <i x="524" nd="1"/>
        <i x="217" nd="1"/>
        <i x="1021" nd="1"/>
        <i x="1178" nd="1"/>
        <i x="9" nd="1"/>
        <i x="479" nd="1"/>
        <i x="1107" nd="1"/>
        <i x="58" nd="1"/>
        <i x="1165" nd="1"/>
        <i x="98" nd="1"/>
        <i x="153" nd="1"/>
        <i x="1069" nd="1"/>
        <i x="1113" nd="1"/>
        <i x="1159" nd="1"/>
        <i x="195" nd="1"/>
        <i x="165" nd="1"/>
        <i x="532" nd="1"/>
        <i x="989" nd="1"/>
        <i x="1000" nd="1"/>
        <i x="135" nd="1"/>
        <i x="173" nd="1"/>
        <i x="618" nd="1"/>
        <i x="85" nd="1"/>
        <i x="721" nd="1"/>
        <i x="1067" nd="1"/>
        <i x="1109" nd="1"/>
        <i x="232" nd="1"/>
        <i x="325" nd="1"/>
        <i x="413" nd="1"/>
        <i x="273" nd="1"/>
        <i x="575" nd="1"/>
        <i x="546" nd="1"/>
        <i x="170" nd="1"/>
        <i x="454" nd="1"/>
        <i x="209" nd="1"/>
        <i x="1098" nd="1"/>
        <i x="320" nd="1"/>
        <i x="525" nd="1"/>
        <i x="189" nd="1"/>
        <i x="329" nd="1"/>
        <i x="820" nd="1"/>
        <i x="133" nd="1"/>
        <i x="364" nd="1"/>
        <i x="947" nd="1"/>
        <i x="18" nd="1"/>
        <i x="1077" nd="1"/>
        <i x="1035" nd="1"/>
        <i x="866" nd="1"/>
        <i x="864" nd="1"/>
        <i x="1185" nd="1"/>
        <i x="738" nd="1"/>
        <i x="518" nd="1"/>
        <i x="950" nd="1"/>
        <i x="836" nd="1"/>
        <i x="1146" nd="1"/>
        <i x="491" nd="1"/>
        <i x="1051" nd="1"/>
        <i x="801" nd="1"/>
        <i x="829" nd="1"/>
        <i x="137" nd="1"/>
        <i x="1186" nd="1"/>
        <i x="812" nd="1"/>
        <i x="804" nd="1"/>
        <i x="477" nd="1"/>
        <i x="260" nd="1"/>
        <i x="1084" nd="1"/>
        <i x="558" nd="1"/>
        <i x="624" nd="1"/>
        <i x="354" nd="1"/>
        <i x="266" nd="1"/>
        <i x="1169" nd="1"/>
        <i x="704" nd="1"/>
        <i x="370" nd="1"/>
        <i x="859" nd="1"/>
        <i x="1144" nd="1"/>
        <i x="1027" nd="1"/>
        <i x="1038" nd="1"/>
        <i x="503" nd="1"/>
        <i x="495" nd="1"/>
        <i x="574" nd="1"/>
        <i x="997" nd="1"/>
        <i x="1033" nd="1"/>
        <i x="515" nd="1"/>
        <i x="625" nd="1"/>
        <i x="979" nd="1"/>
        <i x="481" nd="1"/>
        <i x="403" nd="1"/>
        <i x="826" nd="1"/>
        <i x="1085" nd="1"/>
        <i x="262" nd="1"/>
        <i x="1170" nd="1"/>
        <i x="1164" nd="1"/>
        <i x="274" nd="1"/>
        <i x="394" nd="1"/>
        <i x="267" nd="1"/>
        <i x="395" nd="1"/>
        <i x="404" nd="1"/>
        <i x="188" nd="1"/>
        <i x="50" nd="1"/>
        <i x="125" nd="1"/>
        <i x="180" nd="1"/>
        <i x="105" nd="1"/>
        <i x="210" nd="1"/>
        <i x="756" nd="1"/>
        <i x="151" nd="1"/>
        <i x="251" nd="1"/>
        <i x="60" nd="1"/>
        <i x="385" nd="1"/>
        <i x="304" nd="1"/>
        <i x="693" nd="1"/>
        <i x="581" nd="1"/>
        <i x="1011" nd="1"/>
        <i x="122" nd="1"/>
        <i x="680" nd="1"/>
        <i x="124" nd="1"/>
        <i x="746" nd="1"/>
        <i x="127" nd="1"/>
        <i x="485" nd="1"/>
        <i x="552" nd="1"/>
        <i x="868" nd="1"/>
        <i x="360" nd="1"/>
        <i x="499" nd="1"/>
        <i x="794" nd="1"/>
        <i x="609" nd="1"/>
        <i x="1153" nd="1"/>
        <i x="265" nd="1"/>
        <i x="420" nd="1"/>
        <i x="929" nd="1"/>
        <i x="688" nd="1"/>
        <i x="186" nd="1"/>
        <i x="240" nd="1"/>
        <i x="998" nd="1"/>
        <i x="295" nd="1"/>
        <i x="387" nd="1"/>
        <i x="780" nd="1"/>
        <i x="978" nd="1"/>
        <i x="673" nd="1"/>
        <i x="351" nd="1"/>
        <i x="763" nd="1"/>
        <i x="892" nd="1"/>
        <i x="1116" nd="1"/>
        <i x="341" nd="1"/>
        <i x="116" nd="1"/>
        <i x="745" nd="1"/>
        <i x="710" nd="1"/>
        <i x="1030" nd="1"/>
        <i x="573" nd="1"/>
        <i x="54" nd="1"/>
        <i x="981" nd="1"/>
        <i x="795" nd="1"/>
        <i x="557" nd="1"/>
        <i x="31" nd="1"/>
        <i x="1052" nd="1"/>
        <i x="779" nd="1"/>
        <i x="1019" nd="1"/>
        <i x="741" nd="1"/>
        <i x="1188" nd="1"/>
        <i x="833" nd="1"/>
        <i x="1022" nd="1"/>
        <i x="445" nd="1"/>
        <i x="1045" nd="1"/>
        <i x="301" nd="1"/>
        <i x="335" nd="1"/>
        <i x="1093" nd="1"/>
        <i x="542" nd="1"/>
        <i x="959" nd="1"/>
        <i x="925" nd="1"/>
        <i x="748" nd="1"/>
        <i x="831" nd="1"/>
        <i x="441" nd="1"/>
        <i x="637" nd="1"/>
        <i x="102" nd="1"/>
        <i x="530" nd="1"/>
        <i x="674" nd="1"/>
        <i x="400" nd="1"/>
        <i x="461" nd="1"/>
        <i x="669" nd="1"/>
        <i x="22" nd="1"/>
        <i x="230" nd="1"/>
        <i x="798" nd="1"/>
        <i x="68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_%" xr10:uid="{0F38A34B-89EB-4AE4-9D4B-1108546DF2C7}" cache="Slicer_Discount" caption="Discount_%" rowHeight="234950"/>
  <slicer name="Product_Name" xr10:uid="{F8D701A5-8507-4EEC-BCF2-B16243BBE9C4}" cache="Slicer_Product_Name" caption="Product_Name" rowHeight="234950"/>
  <slicer name="Total_Sales" xr10:uid="{FB478A41-D41B-45A0-84AE-FD2AD5C59F5E}" cache="Slicer_Total_Sales" caption="Total_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4" rowHeight="241300"/>
  <slicer name="Year" xr10:uid="{00000000-0014-0000-FFFF-FFFF02000000}" cache="Slicer_Year" caption="Year" columnCount="2" rowHeight="241300"/>
  <slicer name="Months" xr10:uid="{00000000-0014-0000-FFFF-FFFF03000000}" cache="Slicer_Month2" caption="Months" columnCount="12" rowHeight="241300"/>
  <slicer name="Category" xr10:uid="{00000000-0014-0000-FFFF-FFFF04000000}" cache="Slicer_Category" caption="Category"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1201" totalsRowShown="0" headerRowDxfId="69" tableBorderDxfId="68">
  <autoFilter ref="A1:S1201" xr:uid="{00000000-0009-0000-0100-000001000000}"/>
  <tableColumns count="19">
    <tableColumn id="1" xr3:uid="{00000000-0010-0000-0000-000001000000}" name="Order_ID" dataDxfId="67"/>
    <tableColumn id="20" xr3:uid="{00000000-0010-0000-0000-000014000000}" name="Product_Name" dataDxfId="66"/>
    <tableColumn id="2" xr3:uid="{00000000-0010-0000-0000-000002000000}" name="Category" dataDxfId="65"/>
    <tableColumn id="3" xr3:uid="{00000000-0010-0000-0000-000003000000}" name="Brand" dataDxfId="64"/>
    <tableColumn id="4" xr3:uid="{00000000-0010-0000-0000-000004000000}" name="Brand_Type" dataDxfId="63"/>
    <tableColumn id="5" xr3:uid="{00000000-0010-0000-0000-000005000000}" name="Region" dataDxfId="62"/>
    <tableColumn id="6" xr3:uid="{00000000-0010-0000-0000-000006000000}" name="City" dataDxfId="61"/>
    <tableColumn id="7" xr3:uid="{00000000-0010-0000-0000-000007000000}" name="Unit_Price" dataDxfId="60"/>
    <tableColumn id="8" xr3:uid="{00000000-0010-0000-0000-000008000000}" name="Discount_%" dataDxfId="59" dataCellStyle="Percent"/>
    <tableColumn id="9" xr3:uid="{00000000-0010-0000-0000-000009000000}" name="Final_Unit_Price" dataDxfId="58"/>
    <tableColumn id="10" xr3:uid="{00000000-0010-0000-0000-00000A000000}" name="Quantity" dataDxfId="57"/>
    <tableColumn id="11" xr3:uid="{00000000-0010-0000-0000-00000B000000}" name="Total_Sales" dataDxfId="56">
      <calculatedColumnFormula>Table1[[#This Row],[Final_Unit_Price]]*Table1[[#This Row],[Quantity]]</calculatedColumnFormula>
    </tableColumn>
    <tableColumn id="12" xr3:uid="{00000000-0010-0000-0000-00000C000000}" name="Profit" dataDxfId="55"/>
    <tableColumn id="13" xr3:uid="{00000000-0010-0000-0000-00000D000000}" name="Order_Date" dataDxfId="54"/>
    <tableColumn id="19" xr3:uid="{00000000-0010-0000-0000-000013000000}" name="Month2" dataDxfId="53">
      <calculatedColumnFormula>TEXT(Table1[[#This Row],[Order_Date]],"mmm")</calculatedColumnFormula>
    </tableColumn>
    <tableColumn id="15" xr3:uid="{00000000-0010-0000-0000-00000F000000}" name="Year" dataDxfId="52">
      <calculatedColumnFormula>YEAR(N2)</calculatedColumnFormula>
    </tableColumn>
    <tableColumn id="16" xr3:uid="{00000000-0010-0000-0000-000010000000}" name="Delivery_Date" dataDxfId="51"/>
    <tableColumn id="17" xr3:uid="{00000000-0010-0000-0000-000011000000}" name="Days_to_Deliver" dataDxfId="50">
      <calculatedColumnFormula>'Cleaned Data'!$Q2-'Cleaned Data'!$N2</calculatedColumnFormula>
    </tableColumn>
    <tableColumn id="18" xr3:uid="{00000000-0010-0000-0000-000012000000}" name="Season" dataDxfId="49">
      <calculatedColumnFormula>IF(OR(O2="Feb",O2="Mar",O2="Apr",O2="May"),"Summer",
   IF(OR(O2="Jun",O2="Jul",O2="Aug",O2="Sep"),"Monsoon",
   IF(OR(O2="Oct",O2="Nov",O2="Dec",O2= "Jan"),"Winter","Invalid")))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4.xml"/><Relationship Id="rId7" Type="http://schemas.openxmlformats.org/officeDocument/2006/relationships/drawing" Target="../drawings/drawing2.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2.bin"/><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DF26-CCAE-4E21-A6A2-27194DE6F068}">
  <dimension ref="A3:M20"/>
  <sheetViews>
    <sheetView tabSelected="1" workbookViewId="0">
      <selection activeCell="J16" sqref="J16"/>
    </sheetView>
  </sheetViews>
  <sheetFormatPr defaultRowHeight="14.4" x14ac:dyDescent="0.3"/>
  <cols>
    <col min="1" max="1" width="15.5546875" bestFit="1" customWidth="1"/>
    <col min="2" max="2" width="7.5546875" bestFit="1" customWidth="1"/>
    <col min="3" max="3" width="16.77734375" bestFit="1" customWidth="1"/>
    <col min="4" max="4" width="14.21875" bestFit="1" customWidth="1"/>
    <col min="5" max="5" width="16.5546875" bestFit="1" customWidth="1"/>
    <col min="6" max="6" width="12.109375" bestFit="1" customWidth="1"/>
    <col min="7" max="7" width="20.88671875" bestFit="1" customWidth="1"/>
    <col min="8" max="8" width="12" bestFit="1" customWidth="1"/>
    <col min="9" max="9" width="14.21875" bestFit="1" customWidth="1"/>
    <col min="10" max="11" width="16.5546875" bestFit="1" customWidth="1"/>
    <col min="12" max="523" width="10.33203125" bestFit="1" customWidth="1"/>
  </cols>
  <sheetData>
    <row r="3" spans="1:13" x14ac:dyDescent="0.3">
      <c r="A3" s="29" t="s">
        <v>0</v>
      </c>
      <c r="B3" s="29" t="s">
        <v>5</v>
      </c>
      <c r="C3" t="s">
        <v>1398</v>
      </c>
      <c r="D3" t="s">
        <v>166</v>
      </c>
      <c r="E3" t="s">
        <v>153</v>
      </c>
    </row>
    <row r="4" spans="1:13" x14ac:dyDescent="0.3">
      <c r="A4" t="s">
        <v>21</v>
      </c>
      <c r="B4" t="s">
        <v>71</v>
      </c>
      <c r="C4" s="15">
        <v>5</v>
      </c>
      <c r="D4" s="15">
        <v>1</v>
      </c>
      <c r="E4" s="15">
        <v>3240.08</v>
      </c>
    </row>
    <row r="5" spans="1:13" x14ac:dyDescent="0.3">
      <c r="A5" t="s">
        <v>1399</v>
      </c>
      <c r="C5" s="15">
        <v>5</v>
      </c>
      <c r="D5" s="15">
        <v>1</v>
      </c>
      <c r="E5" s="15">
        <v>3240.08</v>
      </c>
    </row>
    <row r="6" spans="1:13" x14ac:dyDescent="0.3">
      <c r="C6" s="15"/>
      <c r="D6" s="15"/>
      <c r="E6" s="15"/>
    </row>
    <row r="7" spans="1:13" x14ac:dyDescent="0.3">
      <c r="A7" t="s">
        <v>1396</v>
      </c>
      <c r="C7" s="15">
        <v>5</v>
      </c>
      <c r="D7" s="15">
        <v>1</v>
      </c>
      <c r="E7" s="15">
        <v>3240.08</v>
      </c>
      <c r="K7" s="101"/>
      <c r="L7" s="101"/>
      <c r="M7" s="101"/>
    </row>
    <row r="8" spans="1:13" x14ac:dyDescent="0.3">
      <c r="K8" s="102"/>
      <c r="L8" s="100"/>
      <c r="M8" s="106"/>
    </row>
    <row r="9" spans="1:13" x14ac:dyDescent="0.3">
      <c r="K9" s="103"/>
      <c r="L9" s="100"/>
      <c r="M9" s="106"/>
    </row>
    <row r="10" spans="1:13" x14ac:dyDescent="0.3">
      <c r="K10" s="103"/>
      <c r="L10" s="100"/>
      <c r="M10" s="106"/>
    </row>
    <row r="11" spans="1:13" x14ac:dyDescent="0.3">
      <c r="K11" s="103"/>
      <c r="L11" s="100"/>
      <c r="M11" s="106"/>
    </row>
    <row r="12" spans="1:13" x14ac:dyDescent="0.3">
      <c r="K12" s="103"/>
      <c r="L12" s="100"/>
      <c r="M12" s="106"/>
    </row>
    <row r="13" spans="1:13" x14ac:dyDescent="0.3">
      <c r="K13" s="103"/>
      <c r="L13" s="100"/>
      <c r="M13" s="106"/>
    </row>
    <row r="14" spans="1:13" x14ac:dyDescent="0.3">
      <c r="K14" s="103"/>
      <c r="L14" s="100"/>
      <c r="M14" s="106"/>
    </row>
    <row r="15" spans="1:13" x14ac:dyDescent="0.3">
      <c r="K15" s="103"/>
      <c r="L15" s="100"/>
      <c r="M15" s="106"/>
    </row>
    <row r="16" spans="1:13" x14ac:dyDescent="0.3">
      <c r="K16" s="103"/>
      <c r="L16" s="100"/>
      <c r="M16" s="106"/>
    </row>
    <row r="17" spans="11:13" x14ac:dyDescent="0.3">
      <c r="K17" s="103"/>
      <c r="L17" s="100"/>
      <c r="M17" s="106"/>
    </row>
    <row r="18" spans="11:13" x14ac:dyDescent="0.3">
      <c r="K18" s="103"/>
      <c r="L18" s="100"/>
      <c r="M18" s="106"/>
    </row>
    <row r="19" spans="11:13" x14ac:dyDescent="0.3">
      <c r="K19" s="104"/>
      <c r="L19" s="100"/>
      <c r="M19" s="106"/>
    </row>
    <row r="20" spans="11:13" x14ac:dyDescent="0.3">
      <c r="K20" s="105"/>
      <c r="L20" s="105"/>
      <c r="M20" s="10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A2" sqref="A1:N1201"/>
    </sheetView>
  </sheetViews>
  <sheetFormatPr defaultRowHeight="14.4" x14ac:dyDescent="0.3"/>
  <cols>
    <col min="1" max="1" width="16.6640625" bestFit="1" customWidth="1"/>
    <col min="2" max="2" width="15.6640625" bestFit="1" customWidth="1"/>
    <col min="3" max="3" width="13.5546875" bestFit="1" customWidth="1"/>
    <col min="4" max="4" width="11.44140625" bestFit="1" customWidth="1"/>
    <col min="5" max="5" width="7.109375" bestFit="1" customWidth="1"/>
    <col min="6" max="6" width="13.109375" bestFit="1" customWidth="1"/>
    <col min="7" max="7" width="10.33203125" bestFit="1" customWidth="1"/>
    <col min="8" max="8" width="11.33203125" bestFit="1" customWidth="1"/>
    <col min="9" max="9" width="15.6640625" bestFit="1" customWidth="1"/>
    <col min="10" max="10" width="8.6640625" bestFit="1" customWidth="1"/>
    <col min="11" max="11" width="11" bestFit="1" customWidth="1"/>
    <col min="12" max="12" width="9" bestFit="1" customWidth="1"/>
    <col min="13" max="13" width="11.33203125" bestFit="1" customWidth="1"/>
    <col min="14" max="14" width="13.6640625" bestFit="1" customWidth="1"/>
    <col min="15" max="15" width="15.5546875" bestFit="1" customWidth="1"/>
    <col min="16" max="16" width="9.332031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16</v>
      </c>
      <c r="B2" t="s">
        <v>31</v>
      </c>
      <c r="C2" t="s">
        <v>36</v>
      </c>
      <c r="D2" t="s">
        <v>58</v>
      </c>
      <c r="E2" t="s">
        <v>61</v>
      </c>
      <c r="F2" t="s">
        <v>65</v>
      </c>
      <c r="G2">
        <v>2514.6</v>
      </c>
      <c r="H2">
        <v>0</v>
      </c>
      <c r="I2">
        <v>2514.6</v>
      </c>
      <c r="J2">
        <v>2</v>
      </c>
      <c r="K2">
        <v>5029.2</v>
      </c>
      <c r="L2">
        <v>1257.3</v>
      </c>
      <c r="M2" s="2">
        <v>45521</v>
      </c>
      <c r="N2" s="2">
        <v>45525</v>
      </c>
    </row>
    <row r="3" spans="1:14" x14ac:dyDescent="0.3">
      <c r="A3" t="s">
        <v>17</v>
      </c>
      <c r="B3" t="s">
        <v>32</v>
      </c>
      <c r="C3" t="s">
        <v>37</v>
      </c>
      <c r="D3" t="s">
        <v>59</v>
      </c>
      <c r="E3" t="s">
        <v>62</v>
      </c>
      <c r="F3" t="s">
        <v>66</v>
      </c>
      <c r="G3">
        <v>9954.58</v>
      </c>
      <c r="H3">
        <v>20</v>
      </c>
      <c r="I3">
        <v>7963.6640000000007</v>
      </c>
      <c r="J3">
        <v>4</v>
      </c>
      <c r="K3">
        <v>31854.66</v>
      </c>
      <c r="L3">
        <v>11149.13</v>
      </c>
      <c r="M3" s="2">
        <v>45382</v>
      </c>
      <c r="N3" s="2">
        <v>45386</v>
      </c>
    </row>
    <row r="4" spans="1:14" x14ac:dyDescent="0.3">
      <c r="A4" t="s">
        <v>18</v>
      </c>
      <c r="B4" t="s">
        <v>33</v>
      </c>
      <c r="C4" t="s">
        <v>38</v>
      </c>
      <c r="D4" t="s">
        <v>59</v>
      </c>
      <c r="E4" t="s">
        <v>62</v>
      </c>
      <c r="F4" t="s">
        <v>67</v>
      </c>
      <c r="G4">
        <v>61044.5</v>
      </c>
      <c r="H4">
        <v>5</v>
      </c>
      <c r="I4">
        <v>57992.274999999987</v>
      </c>
      <c r="J4">
        <v>1</v>
      </c>
      <c r="K4">
        <v>57992.27</v>
      </c>
      <c r="L4">
        <v>20297.29</v>
      </c>
      <c r="M4" s="2">
        <v>45481</v>
      </c>
      <c r="N4" s="2">
        <v>45489</v>
      </c>
    </row>
    <row r="5" spans="1:14" x14ac:dyDescent="0.3">
      <c r="A5" t="s">
        <v>19</v>
      </c>
      <c r="B5" t="s">
        <v>33</v>
      </c>
      <c r="C5" t="s">
        <v>39</v>
      </c>
      <c r="D5" t="s">
        <v>58</v>
      </c>
      <c r="E5" t="s">
        <v>63</v>
      </c>
      <c r="F5" t="s">
        <v>68</v>
      </c>
      <c r="G5">
        <v>1933.16</v>
      </c>
      <c r="H5">
        <v>10</v>
      </c>
      <c r="I5">
        <v>1739.8440000000001</v>
      </c>
      <c r="J5">
        <v>5</v>
      </c>
      <c r="K5">
        <v>8699.2199999999993</v>
      </c>
      <c r="L5">
        <v>2174.8000000000002</v>
      </c>
      <c r="M5" s="2">
        <v>45429</v>
      </c>
      <c r="N5" s="2">
        <v>45432</v>
      </c>
    </row>
    <row r="6" spans="1:14" x14ac:dyDescent="0.3">
      <c r="A6" t="s">
        <v>20</v>
      </c>
      <c r="B6" t="s">
        <v>32</v>
      </c>
      <c r="C6" t="s">
        <v>40</v>
      </c>
      <c r="D6" t="s">
        <v>59</v>
      </c>
      <c r="E6" t="s">
        <v>63</v>
      </c>
      <c r="F6" t="s">
        <v>68</v>
      </c>
      <c r="G6">
        <v>33576.85</v>
      </c>
      <c r="H6">
        <v>30</v>
      </c>
      <c r="I6">
        <v>23503.794999999998</v>
      </c>
      <c r="J6">
        <v>3</v>
      </c>
      <c r="K6">
        <v>70511.38</v>
      </c>
      <c r="L6">
        <v>24678.98</v>
      </c>
      <c r="M6" s="2">
        <v>45363</v>
      </c>
      <c r="N6" s="2">
        <v>45365</v>
      </c>
    </row>
    <row r="7" spans="1:14" x14ac:dyDescent="0.3">
      <c r="A7" t="s">
        <v>21</v>
      </c>
      <c r="B7" t="s">
        <v>34</v>
      </c>
      <c r="C7" t="s">
        <v>41</v>
      </c>
      <c r="D7" t="s">
        <v>60</v>
      </c>
      <c r="E7" t="s">
        <v>62</v>
      </c>
      <c r="F7" t="s">
        <v>67</v>
      </c>
      <c r="G7">
        <v>2617.88</v>
      </c>
      <c r="H7">
        <v>20</v>
      </c>
      <c r="I7">
        <v>2094.3040000000001</v>
      </c>
      <c r="J7">
        <v>3</v>
      </c>
      <c r="K7">
        <v>6282.91</v>
      </c>
      <c r="L7">
        <v>942.44</v>
      </c>
      <c r="M7" s="2">
        <v>45781</v>
      </c>
      <c r="N7" s="2">
        <v>45791</v>
      </c>
    </row>
    <row r="8" spans="1:14" x14ac:dyDescent="0.3">
      <c r="A8" t="s">
        <v>17</v>
      </c>
      <c r="B8" t="s">
        <v>32</v>
      </c>
      <c r="C8" t="s">
        <v>40</v>
      </c>
      <c r="D8" t="s">
        <v>59</v>
      </c>
      <c r="E8" t="s">
        <v>62</v>
      </c>
      <c r="F8" t="s">
        <v>69</v>
      </c>
      <c r="G8">
        <v>10447.25</v>
      </c>
      <c r="H8">
        <v>0</v>
      </c>
      <c r="I8">
        <v>10447.25</v>
      </c>
      <c r="J8">
        <v>4</v>
      </c>
      <c r="K8">
        <v>41789</v>
      </c>
      <c r="L8">
        <v>14626.15</v>
      </c>
      <c r="M8" s="2">
        <v>45798</v>
      </c>
      <c r="N8" s="2">
        <v>45805</v>
      </c>
    </row>
    <row r="9" spans="1:14" x14ac:dyDescent="0.3">
      <c r="A9" t="s">
        <v>22</v>
      </c>
      <c r="B9" t="s">
        <v>31</v>
      </c>
      <c r="C9" t="s">
        <v>42</v>
      </c>
      <c r="D9" t="s">
        <v>60</v>
      </c>
      <c r="E9" t="s">
        <v>61</v>
      </c>
      <c r="F9" t="s">
        <v>70</v>
      </c>
      <c r="G9">
        <v>2887.51</v>
      </c>
      <c r="H9">
        <v>15</v>
      </c>
      <c r="I9">
        <v>2454.3834999999999</v>
      </c>
      <c r="J9">
        <v>2</v>
      </c>
      <c r="K9">
        <v>4908.7700000000004</v>
      </c>
      <c r="L9">
        <v>736.32</v>
      </c>
      <c r="M9" s="2">
        <v>45537</v>
      </c>
      <c r="N9" s="2">
        <v>45541</v>
      </c>
    </row>
    <row r="10" spans="1:14" x14ac:dyDescent="0.3">
      <c r="A10" t="s">
        <v>23</v>
      </c>
      <c r="B10" t="s">
        <v>35</v>
      </c>
      <c r="C10" t="s">
        <v>38</v>
      </c>
      <c r="D10" t="s">
        <v>59</v>
      </c>
      <c r="E10" t="s">
        <v>61</v>
      </c>
      <c r="F10" t="s">
        <v>70</v>
      </c>
      <c r="G10">
        <v>28339.06</v>
      </c>
      <c r="H10">
        <v>5</v>
      </c>
      <c r="I10">
        <v>26922.107</v>
      </c>
      <c r="J10">
        <v>2</v>
      </c>
      <c r="K10">
        <v>53844.21</v>
      </c>
      <c r="L10">
        <v>18845.47</v>
      </c>
      <c r="M10" s="2">
        <v>45858</v>
      </c>
      <c r="N10" s="2">
        <v>45868</v>
      </c>
    </row>
    <row r="11" spans="1:14" x14ac:dyDescent="0.3">
      <c r="A11" t="s">
        <v>23</v>
      </c>
      <c r="B11" t="s">
        <v>35</v>
      </c>
      <c r="C11" t="s">
        <v>38</v>
      </c>
      <c r="D11" t="s">
        <v>59</v>
      </c>
      <c r="E11" t="s">
        <v>61</v>
      </c>
      <c r="F11" t="s">
        <v>71</v>
      </c>
      <c r="G11">
        <v>29172.62</v>
      </c>
      <c r="H11">
        <v>20</v>
      </c>
      <c r="I11">
        <v>23338.096000000001</v>
      </c>
      <c r="J11">
        <v>4</v>
      </c>
      <c r="K11">
        <v>93352.38</v>
      </c>
      <c r="L11">
        <v>32673.33</v>
      </c>
      <c r="M11" s="2">
        <v>45660</v>
      </c>
      <c r="N11" s="2">
        <v>45664</v>
      </c>
    </row>
    <row r="12" spans="1:14" x14ac:dyDescent="0.3">
      <c r="A12" t="s">
        <v>24</v>
      </c>
      <c r="B12" t="s">
        <v>32</v>
      </c>
      <c r="C12" t="s">
        <v>43</v>
      </c>
      <c r="D12" t="s">
        <v>58</v>
      </c>
      <c r="E12" t="s">
        <v>63</v>
      </c>
      <c r="F12" t="s">
        <v>68</v>
      </c>
      <c r="G12">
        <v>22864.48</v>
      </c>
      <c r="H12">
        <v>20</v>
      </c>
      <c r="I12">
        <v>18291.583999999999</v>
      </c>
      <c r="J12">
        <v>2</v>
      </c>
      <c r="K12">
        <v>36583.17</v>
      </c>
      <c r="L12">
        <v>9145.7900000000009</v>
      </c>
      <c r="M12" s="2">
        <v>45729</v>
      </c>
      <c r="N12" s="2">
        <v>45732</v>
      </c>
    </row>
    <row r="13" spans="1:14" x14ac:dyDescent="0.3">
      <c r="A13" t="s">
        <v>23</v>
      </c>
      <c r="B13" t="s">
        <v>35</v>
      </c>
      <c r="C13" t="s">
        <v>44</v>
      </c>
      <c r="D13" t="s">
        <v>60</v>
      </c>
      <c r="E13" t="s">
        <v>61</v>
      </c>
      <c r="F13" t="s">
        <v>70</v>
      </c>
      <c r="G13">
        <v>21784.17</v>
      </c>
      <c r="H13">
        <v>30</v>
      </c>
      <c r="I13">
        <v>15248.919</v>
      </c>
      <c r="J13">
        <v>1</v>
      </c>
      <c r="K13">
        <v>15248.92</v>
      </c>
      <c r="L13">
        <v>2287.34</v>
      </c>
      <c r="M13" s="2">
        <v>45854</v>
      </c>
      <c r="N13" s="2">
        <v>45857</v>
      </c>
    </row>
    <row r="14" spans="1:14" x14ac:dyDescent="0.3">
      <c r="A14" t="s">
        <v>17</v>
      </c>
      <c r="B14" t="s">
        <v>32</v>
      </c>
      <c r="C14" t="s">
        <v>40</v>
      </c>
      <c r="D14" t="s">
        <v>59</v>
      </c>
      <c r="E14" t="s">
        <v>62</v>
      </c>
      <c r="F14" t="s">
        <v>66</v>
      </c>
      <c r="G14">
        <v>9589.74</v>
      </c>
      <c r="H14">
        <v>10</v>
      </c>
      <c r="I14">
        <v>8630.7659999999996</v>
      </c>
      <c r="J14">
        <v>4</v>
      </c>
      <c r="K14">
        <v>34523.06</v>
      </c>
      <c r="L14">
        <v>12083.07</v>
      </c>
      <c r="M14" s="2">
        <v>45836</v>
      </c>
      <c r="N14" s="2">
        <v>45839</v>
      </c>
    </row>
    <row r="15" spans="1:14" x14ac:dyDescent="0.3">
      <c r="A15" t="s">
        <v>25</v>
      </c>
      <c r="B15" t="s">
        <v>34</v>
      </c>
      <c r="C15" t="s">
        <v>45</v>
      </c>
      <c r="D15" t="s">
        <v>59</v>
      </c>
      <c r="E15" t="s">
        <v>62</v>
      </c>
      <c r="F15" t="s">
        <v>66</v>
      </c>
      <c r="G15">
        <v>997.83</v>
      </c>
      <c r="H15">
        <v>5</v>
      </c>
      <c r="I15">
        <v>947.93849999999998</v>
      </c>
      <c r="J15">
        <v>4</v>
      </c>
      <c r="K15">
        <v>3791.75</v>
      </c>
      <c r="L15">
        <v>1327.11</v>
      </c>
      <c r="M15" s="2">
        <v>45562</v>
      </c>
      <c r="N15" s="2">
        <v>45572</v>
      </c>
    </row>
    <row r="16" spans="1:14" x14ac:dyDescent="0.3">
      <c r="A16" t="s">
        <v>19</v>
      </c>
      <c r="B16" t="s">
        <v>33</v>
      </c>
      <c r="C16" t="s">
        <v>38</v>
      </c>
      <c r="D16" t="s">
        <v>59</v>
      </c>
      <c r="E16" t="s">
        <v>62</v>
      </c>
      <c r="F16" t="s">
        <v>69</v>
      </c>
      <c r="G16">
        <v>2432.71</v>
      </c>
      <c r="H16">
        <v>5</v>
      </c>
      <c r="I16">
        <v>2311.0745000000002</v>
      </c>
      <c r="J16">
        <v>3</v>
      </c>
      <c r="K16">
        <v>6933.22</v>
      </c>
      <c r="L16">
        <v>2426.63</v>
      </c>
      <c r="M16" s="2">
        <v>45425</v>
      </c>
      <c r="N16" s="2">
        <v>45428</v>
      </c>
    </row>
    <row r="17" spans="1:14" x14ac:dyDescent="0.3">
      <c r="A17" t="s">
        <v>24</v>
      </c>
      <c r="B17" t="s">
        <v>32</v>
      </c>
      <c r="C17" t="s">
        <v>40</v>
      </c>
      <c r="D17" t="s">
        <v>59</v>
      </c>
      <c r="E17" t="s">
        <v>64</v>
      </c>
      <c r="F17" t="s">
        <v>72</v>
      </c>
      <c r="G17">
        <v>31215.98</v>
      </c>
      <c r="H17">
        <v>20</v>
      </c>
      <c r="I17">
        <v>24972.784</v>
      </c>
      <c r="J17">
        <v>2</v>
      </c>
      <c r="K17">
        <v>49945.57</v>
      </c>
      <c r="L17">
        <v>17480.95</v>
      </c>
      <c r="M17" s="2">
        <v>45793</v>
      </c>
      <c r="N17" s="2">
        <v>45799</v>
      </c>
    </row>
    <row r="18" spans="1:14" x14ac:dyDescent="0.3">
      <c r="A18" t="s">
        <v>17</v>
      </c>
      <c r="B18" t="s">
        <v>32</v>
      </c>
      <c r="C18" t="s">
        <v>37</v>
      </c>
      <c r="D18" t="s">
        <v>59</v>
      </c>
      <c r="E18" t="s">
        <v>61</v>
      </c>
      <c r="F18" t="s">
        <v>71</v>
      </c>
      <c r="G18">
        <v>9213.39</v>
      </c>
      <c r="H18">
        <v>10</v>
      </c>
      <c r="I18">
        <v>8292.0509999999995</v>
      </c>
      <c r="J18">
        <v>3</v>
      </c>
      <c r="K18">
        <v>24876.15</v>
      </c>
      <c r="L18">
        <v>8706.65</v>
      </c>
      <c r="M18" s="2">
        <v>45719</v>
      </c>
      <c r="N18" s="2">
        <v>45721</v>
      </c>
    </row>
    <row r="19" spans="1:14" x14ac:dyDescent="0.3">
      <c r="A19" t="s">
        <v>22</v>
      </c>
      <c r="B19" t="s">
        <v>31</v>
      </c>
      <c r="C19" t="s">
        <v>36</v>
      </c>
      <c r="D19" t="s">
        <v>58</v>
      </c>
      <c r="E19" t="s">
        <v>61</v>
      </c>
      <c r="F19" t="s">
        <v>65</v>
      </c>
      <c r="G19">
        <v>3464.41</v>
      </c>
      <c r="H19">
        <v>15</v>
      </c>
      <c r="I19">
        <v>2944.7485000000001</v>
      </c>
      <c r="J19">
        <v>1</v>
      </c>
      <c r="K19">
        <v>2944.75</v>
      </c>
      <c r="L19">
        <v>736.19</v>
      </c>
      <c r="M19" s="2">
        <v>45711</v>
      </c>
      <c r="N19" s="2">
        <v>45714</v>
      </c>
    </row>
    <row r="20" spans="1:14" x14ac:dyDescent="0.3">
      <c r="A20" t="s">
        <v>26</v>
      </c>
      <c r="B20" t="s">
        <v>32</v>
      </c>
      <c r="C20" t="s">
        <v>43</v>
      </c>
      <c r="D20" t="s">
        <v>58</v>
      </c>
      <c r="E20" t="s">
        <v>63</v>
      </c>
      <c r="F20" t="s">
        <v>73</v>
      </c>
      <c r="G20">
        <v>33492.07</v>
      </c>
      <c r="H20">
        <v>20</v>
      </c>
      <c r="I20">
        <v>26793.655999999999</v>
      </c>
      <c r="J20">
        <v>4</v>
      </c>
      <c r="K20">
        <v>107174.62</v>
      </c>
      <c r="L20">
        <v>26793.65</v>
      </c>
      <c r="M20" s="2">
        <v>45654</v>
      </c>
      <c r="N20" s="2">
        <v>45658</v>
      </c>
    </row>
    <row r="21" spans="1:14" x14ac:dyDescent="0.3">
      <c r="A21" t="s">
        <v>24</v>
      </c>
      <c r="B21" t="s">
        <v>32</v>
      </c>
      <c r="C21" t="s">
        <v>43</v>
      </c>
      <c r="D21" t="s">
        <v>58</v>
      </c>
      <c r="E21" t="s">
        <v>61</v>
      </c>
      <c r="F21" t="s">
        <v>70</v>
      </c>
      <c r="G21">
        <v>23758.83</v>
      </c>
      <c r="H21">
        <v>0</v>
      </c>
      <c r="I21">
        <v>23758.83</v>
      </c>
      <c r="J21">
        <v>3</v>
      </c>
      <c r="K21">
        <v>71276.490000000005</v>
      </c>
      <c r="L21">
        <v>17819.12</v>
      </c>
      <c r="M21" s="2">
        <v>45540</v>
      </c>
      <c r="N21" s="2">
        <v>45546</v>
      </c>
    </row>
    <row r="22" spans="1:14" x14ac:dyDescent="0.3">
      <c r="A22" t="s">
        <v>27</v>
      </c>
      <c r="B22" t="s">
        <v>35</v>
      </c>
      <c r="C22" t="s">
        <v>46</v>
      </c>
      <c r="D22" t="s">
        <v>59</v>
      </c>
      <c r="E22" t="s">
        <v>64</v>
      </c>
      <c r="F22" t="s">
        <v>74</v>
      </c>
      <c r="G22">
        <v>10756.52</v>
      </c>
      <c r="H22">
        <v>15</v>
      </c>
      <c r="I22">
        <v>9143.0419999999995</v>
      </c>
      <c r="J22">
        <v>1</v>
      </c>
      <c r="K22">
        <v>9143.0400000000009</v>
      </c>
      <c r="L22">
        <v>3200.06</v>
      </c>
      <c r="M22" s="2">
        <v>45834</v>
      </c>
      <c r="N22" s="2">
        <v>45836</v>
      </c>
    </row>
    <row r="23" spans="1:14" x14ac:dyDescent="0.3">
      <c r="A23" t="s">
        <v>18</v>
      </c>
      <c r="B23" t="s">
        <v>33</v>
      </c>
      <c r="C23" t="s">
        <v>39</v>
      </c>
      <c r="D23" t="s">
        <v>58</v>
      </c>
      <c r="E23" t="s">
        <v>63</v>
      </c>
      <c r="F23" t="s">
        <v>73</v>
      </c>
      <c r="G23">
        <v>48286.45</v>
      </c>
      <c r="H23">
        <v>25</v>
      </c>
      <c r="I23">
        <v>36214.837499999987</v>
      </c>
      <c r="J23">
        <v>2</v>
      </c>
      <c r="K23">
        <v>72429.67</v>
      </c>
      <c r="L23">
        <v>18107.419999999998</v>
      </c>
      <c r="M23" s="2">
        <v>45561</v>
      </c>
      <c r="N23" s="2">
        <v>45571</v>
      </c>
    </row>
    <row r="24" spans="1:14" x14ac:dyDescent="0.3">
      <c r="A24" t="s">
        <v>18</v>
      </c>
      <c r="B24" t="s">
        <v>33</v>
      </c>
      <c r="C24" t="s">
        <v>39</v>
      </c>
      <c r="D24" t="s">
        <v>58</v>
      </c>
      <c r="E24" t="s">
        <v>64</v>
      </c>
      <c r="F24" t="s">
        <v>74</v>
      </c>
      <c r="G24">
        <v>56451.93</v>
      </c>
      <c r="H24">
        <v>10</v>
      </c>
      <c r="I24">
        <v>50806.737000000001</v>
      </c>
      <c r="J24">
        <v>5</v>
      </c>
      <c r="K24">
        <v>254033.68</v>
      </c>
      <c r="L24">
        <v>63508.42</v>
      </c>
      <c r="M24" s="2">
        <v>45850</v>
      </c>
      <c r="N24" s="2">
        <v>45860</v>
      </c>
    </row>
    <row r="25" spans="1:14" x14ac:dyDescent="0.3">
      <c r="A25" t="s">
        <v>27</v>
      </c>
      <c r="B25" t="s">
        <v>35</v>
      </c>
      <c r="C25" t="s">
        <v>46</v>
      </c>
      <c r="D25" t="s">
        <v>59</v>
      </c>
      <c r="E25" t="s">
        <v>62</v>
      </c>
      <c r="F25" t="s">
        <v>66</v>
      </c>
      <c r="G25">
        <v>9870.3700000000008</v>
      </c>
      <c r="H25">
        <v>10</v>
      </c>
      <c r="I25">
        <v>8883.3330000000005</v>
      </c>
      <c r="J25">
        <v>3</v>
      </c>
      <c r="K25">
        <v>26650</v>
      </c>
      <c r="L25">
        <v>9327.5</v>
      </c>
      <c r="M25" s="2">
        <v>45842</v>
      </c>
      <c r="N25" s="2">
        <v>45844</v>
      </c>
    </row>
    <row r="26" spans="1:14" x14ac:dyDescent="0.3">
      <c r="A26" t="s">
        <v>28</v>
      </c>
      <c r="B26" t="s">
        <v>34</v>
      </c>
      <c r="C26" t="s">
        <v>45</v>
      </c>
      <c r="D26" t="s">
        <v>59</v>
      </c>
      <c r="E26" t="s">
        <v>64</v>
      </c>
      <c r="F26" t="s">
        <v>74</v>
      </c>
      <c r="G26">
        <v>1933.01</v>
      </c>
      <c r="H26">
        <v>5</v>
      </c>
      <c r="I26">
        <v>1836.3595</v>
      </c>
      <c r="J26">
        <v>2</v>
      </c>
      <c r="K26">
        <v>3672.72</v>
      </c>
      <c r="L26">
        <v>1285.45</v>
      </c>
      <c r="M26" s="2">
        <v>45520</v>
      </c>
      <c r="N26" s="2">
        <v>45530</v>
      </c>
    </row>
    <row r="27" spans="1:14" x14ac:dyDescent="0.3">
      <c r="A27" t="s">
        <v>16</v>
      </c>
      <c r="B27" t="s">
        <v>31</v>
      </c>
      <c r="C27" t="s">
        <v>47</v>
      </c>
      <c r="D27" t="s">
        <v>59</v>
      </c>
      <c r="E27" t="s">
        <v>61</v>
      </c>
      <c r="F27" t="s">
        <v>71</v>
      </c>
      <c r="G27">
        <v>2996.39</v>
      </c>
      <c r="H27">
        <v>10</v>
      </c>
      <c r="I27">
        <v>2696.7510000000002</v>
      </c>
      <c r="J27">
        <v>5</v>
      </c>
      <c r="K27">
        <v>13483.75</v>
      </c>
      <c r="L27">
        <v>4719.3100000000004</v>
      </c>
      <c r="M27" s="2">
        <v>45472</v>
      </c>
      <c r="N27" s="2">
        <v>45482</v>
      </c>
    </row>
    <row r="28" spans="1:14" x14ac:dyDescent="0.3">
      <c r="A28" t="s">
        <v>22</v>
      </c>
      <c r="B28" t="s">
        <v>31</v>
      </c>
      <c r="C28" t="s">
        <v>47</v>
      </c>
      <c r="D28" t="s">
        <v>59</v>
      </c>
      <c r="E28" t="s">
        <v>62</v>
      </c>
      <c r="F28" t="s">
        <v>67</v>
      </c>
      <c r="G28">
        <v>4505.47</v>
      </c>
      <c r="H28">
        <v>10</v>
      </c>
      <c r="I28">
        <v>4054.9229999999998</v>
      </c>
      <c r="J28">
        <v>2</v>
      </c>
      <c r="K28">
        <v>8109.85</v>
      </c>
      <c r="L28">
        <v>2838.45</v>
      </c>
      <c r="M28" s="2">
        <v>45424</v>
      </c>
      <c r="N28" s="2">
        <v>45427</v>
      </c>
    </row>
    <row r="29" spans="1:14" x14ac:dyDescent="0.3">
      <c r="A29" t="s">
        <v>29</v>
      </c>
      <c r="B29" t="s">
        <v>35</v>
      </c>
      <c r="C29" t="s">
        <v>48</v>
      </c>
      <c r="D29" t="s">
        <v>58</v>
      </c>
      <c r="E29" t="s">
        <v>62</v>
      </c>
      <c r="F29" t="s">
        <v>67</v>
      </c>
      <c r="G29">
        <v>18678.7</v>
      </c>
      <c r="H29">
        <v>20</v>
      </c>
      <c r="I29">
        <v>14942.96</v>
      </c>
      <c r="J29">
        <v>3</v>
      </c>
      <c r="K29">
        <v>44828.88</v>
      </c>
      <c r="L29">
        <v>11207.22</v>
      </c>
      <c r="M29" s="2">
        <v>45637</v>
      </c>
      <c r="N29" s="2">
        <v>45639</v>
      </c>
    </row>
    <row r="30" spans="1:14" x14ac:dyDescent="0.3">
      <c r="A30" t="s">
        <v>25</v>
      </c>
      <c r="B30" t="s">
        <v>34</v>
      </c>
      <c r="C30" t="s">
        <v>49</v>
      </c>
      <c r="D30" t="s">
        <v>59</v>
      </c>
      <c r="E30" t="s">
        <v>63</v>
      </c>
      <c r="F30" t="s">
        <v>75</v>
      </c>
      <c r="G30">
        <v>921.47</v>
      </c>
      <c r="H30">
        <v>25</v>
      </c>
      <c r="I30">
        <v>691.10249999999996</v>
      </c>
      <c r="J30">
        <v>2</v>
      </c>
      <c r="K30">
        <v>1382.2</v>
      </c>
      <c r="L30">
        <v>483.77</v>
      </c>
      <c r="M30" s="2">
        <v>45361</v>
      </c>
      <c r="N30" s="2">
        <v>45370</v>
      </c>
    </row>
    <row r="31" spans="1:14" x14ac:dyDescent="0.3">
      <c r="A31" t="s">
        <v>28</v>
      </c>
      <c r="B31" t="s">
        <v>34</v>
      </c>
      <c r="C31" t="s">
        <v>49</v>
      </c>
      <c r="D31" t="s">
        <v>59</v>
      </c>
      <c r="E31" t="s">
        <v>61</v>
      </c>
      <c r="F31" t="s">
        <v>71</v>
      </c>
      <c r="G31">
        <v>1692.8</v>
      </c>
      <c r="H31">
        <v>30</v>
      </c>
      <c r="I31">
        <v>1184.96</v>
      </c>
      <c r="J31">
        <v>3</v>
      </c>
      <c r="K31">
        <v>3554.88</v>
      </c>
      <c r="L31">
        <v>1244.21</v>
      </c>
      <c r="M31" s="2">
        <v>45684</v>
      </c>
      <c r="N31" s="2">
        <v>45691</v>
      </c>
    </row>
    <row r="32" spans="1:14" x14ac:dyDescent="0.3">
      <c r="A32" t="s">
        <v>16</v>
      </c>
      <c r="B32" t="s">
        <v>31</v>
      </c>
      <c r="C32" t="s">
        <v>36</v>
      </c>
      <c r="D32" t="s">
        <v>58</v>
      </c>
      <c r="E32" t="s">
        <v>62</v>
      </c>
      <c r="F32" t="s">
        <v>67</v>
      </c>
      <c r="G32">
        <v>2711.92</v>
      </c>
      <c r="H32">
        <v>30</v>
      </c>
      <c r="I32">
        <v>1898.3440000000001</v>
      </c>
      <c r="J32">
        <v>5</v>
      </c>
      <c r="K32">
        <v>9491.7199999999993</v>
      </c>
      <c r="L32">
        <v>2372.9299999999998</v>
      </c>
      <c r="M32" s="2">
        <v>45540</v>
      </c>
      <c r="N32" s="2">
        <v>45549</v>
      </c>
    </row>
    <row r="33" spans="1:14" x14ac:dyDescent="0.3">
      <c r="A33" t="s">
        <v>20</v>
      </c>
      <c r="B33" t="s">
        <v>32</v>
      </c>
      <c r="C33" t="s">
        <v>37</v>
      </c>
      <c r="D33" t="s">
        <v>59</v>
      </c>
      <c r="E33" t="s">
        <v>64</v>
      </c>
      <c r="F33" t="s">
        <v>76</v>
      </c>
      <c r="G33">
        <v>37732.339999999997</v>
      </c>
      <c r="H33">
        <v>10</v>
      </c>
      <c r="I33">
        <v>33959.106</v>
      </c>
      <c r="J33">
        <v>5</v>
      </c>
      <c r="K33">
        <v>169795.53</v>
      </c>
      <c r="L33">
        <v>59428.44</v>
      </c>
      <c r="M33" s="2">
        <v>45853</v>
      </c>
      <c r="N33" s="2">
        <v>45863</v>
      </c>
    </row>
    <row r="34" spans="1:14" x14ac:dyDescent="0.3">
      <c r="A34" t="s">
        <v>29</v>
      </c>
      <c r="B34" t="s">
        <v>35</v>
      </c>
      <c r="C34" t="s">
        <v>38</v>
      </c>
      <c r="D34" t="s">
        <v>59</v>
      </c>
      <c r="E34" t="s">
        <v>61</v>
      </c>
      <c r="F34" t="s">
        <v>71</v>
      </c>
      <c r="G34">
        <v>22097.24</v>
      </c>
      <c r="H34">
        <v>5</v>
      </c>
      <c r="I34">
        <v>20992.378000000001</v>
      </c>
      <c r="J34">
        <v>2</v>
      </c>
      <c r="K34">
        <v>41984.76</v>
      </c>
      <c r="L34">
        <v>14694.67</v>
      </c>
      <c r="M34" s="2">
        <v>45645</v>
      </c>
      <c r="N34" s="2">
        <v>45653</v>
      </c>
    </row>
    <row r="35" spans="1:14" x14ac:dyDescent="0.3">
      <c r="A35" t="s">
        <v>18</v>
      </c>
      <c r="B35" t="s">
        <v>33</v>
      </c>
      <c r="C35" t="s">
        <v>50</v>
      </c>
      <c r="D35" t="s">
        <v>59</v>
      </c>
      <c r="E35" t="s">
        <v>63</v>
      </c>
      <c r="F35" t="s">
        <v>68</v>
      </c>
      <c r="G35">
        <v>55406.400000000001</v>
      </c>
      <c r="H35">
        <v>30</v>
      </c>
      <c r="I35">
        <v>38784.480000000003</v>
      </c>
      <c r="J35">
        <v>1</v>
      </c>
      <c r="K35">
        <v>38784.480000000003</v>
      </c>
      <c r="L35">
        <v>13574.57</v>
      </c>
      <c r="M35" s="2">
        <v>45318</v>
      </c>
      <c r="N35" s="2">
        <v>45320</v>
      </c>
    </row>
    <row r="36" spans="1:14" x14ac:dyDescent="0.3">
      <c r="A36" t="s">
        <v>30</v>
      </c>
      <c r="B36" t="s">
        <v>33</v>
      </c>
      <c r="C36" t="s">
        <v>38</v>
      </c>
      <c r="D36" t="s">
        <v>59</v>
      </c>
      <c r="E36" t="s">
        <v>62</v>
      </c>
      <c r="F36" t="s">
        <v>67</v>
      </c>
      <c r="G36">
        <v>18139.45</v>
      </c>
      <c r="H36">
        <v>15</v>
      </c>
      <c r="I36">
        <v>15418.532499999999</v>
      </c>
      <c r="J36">
        <v>5</v>
      </c>
      <c r="K36">
        <v>77092.66</v>
      </c>
      <c r="L36">
        <v>26982.43</v>
      </c>
      <c r="M36" s="2">
        <v>45517</v>
      </c>
      <c r="N36" s="2">
        <v>45527</v>
      </c>
    </row>
    <row r="37" spans="1:14" x14ac:dyDescent="0.3">
      <c r="A37" t="s">
        <v>26</v>
      </c>
      <c r="B37" t="s">
        <v>32</v>
      </c>
      <c r="C37" t="s">
        <v>43</v>
      </c>
      <c r="D37" t="s">
        <v>58</v>
      </c>
      <c r="E37" t="s">
        <v>63</v>
      </c>
      <c r="F37" t="s">
        <v>73</v>
      </c>
      <c r="G37">
        <v>33771.68</v>
      </c>
      <c r="H37">
        <v>0</v>
      </c>
      <c r="I37">
        <v>33771.68</v>
      </c>
      <c r="J37">
        <v>2</v>
      </c>
      <c r="K37">
        <v>67543.360000000001</v>
      </c>
      <c r="L37">
        <v>16885.84</v>
      </c>
      <c r="M37" s="2">
        <v>45444</v>
      </c>
      <c r="N37" s="2">
        <v>45450</v>
      </c>
    </row>
    <row r="38" spans="1:14" x14ac:dyDescent="0.3">
      <c r="A38" t="s">
        <v>24</v>
      </c>
      <c r="B38" t="s">
        <v>32</v>
      </c>
      <c r="C38" t="s">
        <v>37</v>
      </c>
      <c r="D38" t="s">
        <v>59</v>
      </c>
      <c r="E38" t="s">
        <v>62</v>
      </c>
      <c r="F38" t="s">
        <v>66</v>
      </c>
      <c r="G38">
        <v>32016.9</v>
      </c>
      <c r="H38">
        <v>25</v>
      </c>
      <c r="I38">
        <v>24012.674999999999</v>
      </c>
      <c r="J38">
        <v>1</v>
      </c>
      <c r="K38">
        <v>24012.68</v>
      </c>
      <c r="L38">
        <v>8404.44</v>
      </c>
      <c r="M38" s="2">
        <v>45323</v>
      </c>
      <c r="N38" s="2">
        <v>45328</v>
      </c>
    </row>
    <row r="39" spans="1:14" x14ac:dyDescent="0.3">
      <c r="A39" t="s">
        <v>29</v>
      </c>
      <c r="B39" t="s">
        <v>35</v>
      </c>
      <c r="C39" t="s">
        <v>46</v>
      </c>
      <c r="D39" t="s">
        <v>59</v>
      </c>
      <c r="E39" t="s">
        <v>61</v>
      </c>
      <c r="F39" t="s">
        <v>71</v>
      </c>
      <c r="G39">
        <v>20170.16</v>
      </c>
      <c r="H39">
        <v>15</v>
      </c>
      <c r="I39">
        <v>17144.635999999999</v>
      </c>
      <c r="J39">
        <v>2</v>
      </c>
      <c r="K39">
        <v>34289.269999999997</v>
      </c>
      <c r="L39">
        <v>12001.24</v>
      </c>
      <c r="M39" s="2">
        <v>45428</v>
      </c>
      <c r="N39" s="2">
        <v>45433</v>
      </c>
    </row>
    <row r="40" spans="1:14" x14ac:dyDescent="0.3">
      <c r="A40" t="s">
        <v>27</v>
      </c>
      <c r="B40" t="s">
        <v>35</v>
      </c>
      <c r="C40" t="s">
        <v>38</v>
      </c>
      <c r="D40" t="s">
        <v>59</v>
      </c>
      <c r="E40" t="s">
        <v>63</v>
      </c>
      <c r="F40" t="s">
        <v>73</v>
      </c>
      <c r="G40">
        <v>9140.74</v>
      </c>
      <c r="H40">
        <v>5</v>
      </c>
      <c r="I40">
        <v>8683.7029999999995</v>
      </c>
      <c r="J40">
        <v>4</v>
      </c>
      <c r="K40">
        <v>34734.81</v>
      </c>
      <c r="L40">
        <v>12157.18</v>
      </c>
      <c r="M40" s="2">
        <v>45325</v>
      </c>
      <c r="N40" s="2">
        <v>45331</v>
      </c>
    </row>
    <row r="41" spans="1:14" x14ac:dyDescent="0.3">
      <c r="A41" t="s">
        <v>28</v>
      </c>
      <c r="B41" t="s">
        <v>34</v>
      </c>
      <c r="C41" t="s">
        <v>51</v>
      </c>
      <c r="D41" t="s">
        <v>59</v>
      </c>
      <c r="E41" t="s">
        <v>64</v>
      </c>
      <c r="F41" t="s">
        <v>72</v>
      </c>
      <c r="G41">
        <v>1912.2</v>
      </c>
      <c r="H41">
        <v>15</v>
      </c>
      <c r="I41">
        <v>1625.37</v>
      </c>
      <c r="J41">
        <v>1</v>
      </c>
      <c r="K41">
        <v>1625.37</v>
      </c>
      <c r="L41">
        <v>568.88</v>
      </c>
      <c r="M41" s="2">
        <v>45634</v>
      </c>
      <c r="N41" s="2">
        <v>45636</v>
      </c>
    </row>
    <row r="42" spans="1:14" x14ac:dyDescent="0.3">
      <c r="A42" t="s">
        <v>24</v>
      </c>
      <c r="B42" t="s">
        <v>32</v>
      </c>
      <c r="C42" t="s">
        <v>40</v>
      </c>
      <c r="D42" t="s">
        <v>59</v>
      </c>
      <c r="E42" t="s">
        <v>62</v>
      </c>
      <c r="F42" t="s">
        <v>66</v>
      </c>
      <c r="G42">
        <v>32317.35</v>
      </c>
      <c r="H42">
        <v>15</v>
      </c>
      <c r="I42">
        <v>27469.747500000001</v>
      </c>
      <c r="J42">
        <v>1</v>
      </c>
      <c r="K42">
        <v>27469.75</v>
      </c>
      <c r="L42">
        <v>9614.41</v>
      </c>
      <c r="M42" s="2">
        <v>45417</v>
      </c>
      <c r="N42" s="2">
        <v>45419</v>
      </c>
    </row>
    <row r="43" spans="1:14" x14ac:dyDescent="0.3">
      <c r="A43" t="s">
        <v>28</v>
      </c>
      <c r="B43" t="s">
        <v>34</v>
      </c>
      <c r="C43" t="s">
        <v>52</v>
      </c>
      <c r="D43" t="s">
        <v>60</v>
      </c>
      <c r="E43" t="s">
        <v>62</v>
      </c>
      <c r="F43" t="s">
        <v>67</v>
      </c>
      <c r="G43">
        <v>1306.53</v>
      </c>
      <c r="H43">
        <v>0</v>
      </c>
      <c r="I43">
        <v>1306.53</v>
      </c>
      <c r="J43">
        <v>2</v>
      </c>
      <c r="K43">
        <v>2613.06</v>
      </c>
      <c r="L43">
        <v>391.96</v>
      </c>
      <c r="M43" s="2">
        <v>45629</v>
      </c>
      <c r="N43" s="2">
        <v>45638</v>
      </c>
    </row>
    <row r="44" spans="1:14" x14ac:dyDescent="0.3">
      <c r="A44" t="s">
        <v>22</v>
      </c>
      <c r="B44" t="s">
        <v>31</v>
      </c>
      <c r="C44" t="s">
        <v>47</v>
      </c>
      <c r="D44" t="s">
        <v>59</v>
      </c>
      <c r="E44" t="s">
        <v>61</v>
      </c>
      <c r="F44" t="s">
        <v>70</v>
      </c>
      <c r="G44">
        <v>4149.3900000000003</v>
      </c>
      <c r="H44">
        <v>0</v>
      </c>
      <c r="I44">
        <v>4149.3900000000003</v>
      </c>
      <c r="J44">
        <v>5</v>
      </c>
      <c r="K44">
        <v>20746.95</v>
      </c>
      <c r="L44">
        <v>7261.43</v>
      </c>
      <c r="M44" s="2">
        <v>45548</v>
      </c>
      <c r="N44" s="2">
        <v>45550</v>
      </c>
    </row>
    <row r="45" spans="1:14" x14ac:dyDescent="0.3">
      <c r="A45" t="s">
        <v>19</v>
      </c>
      <c r="B45" t="s">
        <v>33</v>
      </c>
      <c r="C45" t="s">
        <v>38</v>
      </c>
      <c r="D45" t="s">
        <v>59</v>
      </c>
      <c r="E45" t="s">
        <v>64</v>
      </c>
      <c r="F45" t="s">
        <v>72</v>
      </c>
      <c r="G45">
        <v>2708.04</v>
      </c>
      <c r="H45">
        <v>10</v>
      </c>
      <c r="I45">
        <v>2437.2359999999999</v>
      </c>
      <c r="J45">
        <v>2</v>
      </c>
      <c r="K45">
        <v>4874.47</v>
      </c>
      <c r="L45">
        <v>1706.06</v>
      </c>
      <c r="M45" s="2">
        <v>45513</v>
      </c>
      <c r="N45" s="2">
        <v>45522</v>
      </c>
    </row>
    <row r="46" spans="1:14" x14ac:dyDescent="0.3">
      <c r="A46" t="s">
        <v>21</v>
      </c>
      <c r="B46" t="s">
        <v>34</v>
      </c>
      <c r="C46" t="s">
        <v>52</v>
      </c>
      <c r="D46" t="s">
        <v>60</v>
      </c>
      <c r="E46" t="s">
        <v>63</v>
      </c>
      <c r="F46" t="s">
        <v>73</v>
      </c>
      <c r="G46">
        <v>2409.36</v>
      </c>
      <c r="H46">
        <v>10</v>
      </c>
      <c r="I46">
        <v>2168.424</v>
      </c>
      <c r="J46">
        <v>5</v>
      </c>
      <c r="K46">
        <v>10842.12</v>
      </c>
      <c r="L46">
        <v>1626.32</v>
      </c>
      <c r="M46" s="2">
        <v>45613</v>
      </c>
      <c r="N46" s="2">
        <v>45616</v>
      </c>
    </row>
    <row r="47" spans="1:14" x14ac:dyDescent="0.3">
      <c r="A47" t="s">
        <v>17</v>
      </c>
      <c r="B47" t="s">
        <v>32</v>
      </c>
      <c r="C47" t="s">
        <v>43</v>
      </c>
      <c r="D47" t="s">
        <v>58</v>
      </c>
      <c r="E47" t="s">
        <v>61</v>
      </c>
      <c r="F47" t="s">
        <v>70</v>
      </c>
      <c r="G47">
        <v>7838.4</v>
      </c>
      <c r="H47">
        <v>10</v>
      </c>
      <c r="I47">
        <v>7054.5599999999986</v>
      </c>
      <c r="J47">
        <v>3</v>
      </c>
      <c r="K47">
        <v>21163.68</v>
      </c>
      <c r="L47">
        <v>5290.92</v>
      </c>
      <c r="M47" s="2">
        <v>45575</v>
      </c>
      <c r="N47" s="2">
        <v>45582</v>
      </c>
    </row>
    <row r="48" spans="1:14" x14ac:dyDescent="0.3">
      <c r="A48" t="s">
        <v>27</v>
      </c>
      <c r="B48" t="s">
        <v>35</v>
      </c>
      <c r="C48" t="s">
        <v>48</v>
      </c>
      <c r="D48" t="s">
        <v>58</v>
      </c>
      <c r="E48" t="s">
        <v>61</v>
      </c>
      <c r="F48" t="s">
        <v>65</v>
      </c>
      <c r="G48">
        <v>7974.64</v>
      </c>
      <c r="H48">
        <v>5</v>
      </c>
      <c r="I48">
        <v>7575.9080000000004</v>
      </c>
      <c r="J48">
        <v>4</v>
      </c>
      <c r="K48">
        <v>30303.63</v>
      </c>
      <c r="L48">
        <v>7575.91</v>
      </c>
      <c r="M48" s="2">
        <v>45553</v>
      </c>
      <c r="N48" s="2">
        <v>45562</v>
      </c>
    </row>
    <row r="49" spans="1:14" x14ac:dyDescent="0.3">
      <c r="A49" t="s">
        <v>16</v>
      </c>
      <c r="B49" t="s">
        <v>31</v>
      </c>
      <c r="C49" t="s">
        <v>42</v>
      </c>
      <c r="D49" t="s">
        <v>60</v>
      </c>
      <c r="E49" t="s">
        <v>62</v>
      </c>
      <c r="F49" t="s">
        <v>66</v>
      </c>
      <c r="G49">
        <v>2279.29</v>
      </c>
      <c r="H49">
        <v>10</v>
      </c>
      <c r="I49">
        <v>2051.3609999999999</v>
      </c>
      <c r="J49">
        <v>3</v>
      </c>
      <c r="K49">
        <v>6154.08</v>
      </c>
      <c r="L49">
        <v>923.11</v>
      </c>
      <c r="M49" s="2">
        <v>45610</v>
      </c>
      <c r="N49" s="2">
        <v>45615</v>
      </c>
    </row>
    <row r="50" spans="1:14" x14ac:dyDescent="0.3">
      <c r="A50" t="s">
        <v>24</v>
      </c>
      <c r="B50" t="s">
        <v>32</v>
      </c>
      <c r="C50" t="s">
        <v>43</v>
      </c>
      <c r="D50" t="s">
        <v>58</v>
      </c>
      <c r="E50" t="s">
        <v>63</v>
      </c>
      <c r="F50" t="s">
        <v>75</v>
      </c>
      <c r="G50">
        <v>24093.82</v>
      </c>
      <c r="H50">
        <v>15</v>
      </c>
      <c r="I50">
        <v>20479.746999999999</v>
      </c>
      <c r="J50">
        <v>3</v>
      </c>
      <c r="K50">
        <v>61439.24</v>
      </c>
      <c r="L50">
        <v>15359.81</v>
      </c>
      <c r="M50" s="2">
        <v>45357</v>
      </c>
      <c r="N50" s="2">
        <v>45360</v>
      </c>
    </row>
    <row r="51" spans="1:14" x14ac:dyDescent="0.3">
      <c r="A51" t="s">
        <v>21</v>
      </c>
      <c r="B51" t="s">
        <v>34</v>
      </c>
      <c r="C51" t="s">
        <v>49</v>
      </c>
      <c r="D51" t="s">
        <v>59</v>
      </c>
      <c r="E51" t="s">
        <v>63</v>
      </c>
      <c r="F51" t="s">
        <v>68</v>
      </c>
      <c r="G51">
        <v>3521.78</v>
      </c>
      <c r="H51">
        <v>20</v>
      </c>
      <c r="I51">
        <v>2817.424</v>
      </c>
      <c r="J51">
        <v>1</v>
      </c>
      <c r="K51">
        <v>2817.42</v>
      </c>
      <c r="L51">
        <v>986.1</v>
      </c>
      <c r="M51" s="2">
        <v>45849</v>
      </c>
      <c r="N51" s="2">
        <v>45858</v>
      </c>
    </row>
    <row r="52" spans="1:14" x14ac:dyDescent="0.3">
      <c r="A52" t="s">
        <v>20</v>
      </c>
      <c r="B52" t="s">
        <v>32</v>
      </c>
      <c r="C52" t="s">
        <v>40</v>
      </c>
      <c r="D52" t="s">
        <v>59</v>
      </c>
      <c r="E52" t="s">
        <v>62</v>
      </c>
      <c r="F52" t="s">
        <v>69</v>
      </c>
      <c r="G52">
        <v>37999.440000000002</v>
      </c>
      <c r="H52">
        <v>15</v>
      </c>
      <c r="I52">
        <v>32299.524000000001</v>
      </c>
      <c r="J52">
        <v>4</v>
      </c>
      <c r="K52">
        <v>129198.1</v>
      </c>
      <c r="L52">
        <v>45219.33</v>
      </c>
      <c r="M52" s="2">
        <v>45374</v>
      </c>
      <c r="N52" s="2">
        <v>45384</v>
      </c>
    </row>
    <row r="53" spans="1:14" x14ac:dyDescent="0.3">
      <c r="A53" t="s">
        <v>19</v>
      </c>
      <c r="B53" t="s">
        <v>33</v>
      </c>
      <c r="C53" t="s">
        <v>53</v>
      </c>
      <c r="D53" t="s">
        <v>58</v>
      </c>
      <c r="E53" t="s">
        <v>64</v>
      </c>
      <c r="F53" t="s">
        <v>76</v>
      </c>
      <c r="G53">
        <v>2264.2600000000002</v>
      </c>
      <c r="H53">
        <v>10</v>
      </c>
      <c r="I53">
        <v>2037.8340000000001</v>
      </c>
      <c r="J53">
        <v>1</v>
      </c>
      <c r="K53">
        <v>2037.83</v>
      </c>
      <c r="L53">
        <v>509.46</v>
      </c>
      <c r="M53" s="2">
        <v>45499</v>
      </c>
      <c r="N53" s="2">
        <v>45507</v>
      </c>
    </row>
    <row r="54" spans="1:14" x14ac:dyDescent="0.3">
      <c r="A54" t="s">
        <v>20</v>
      </c>
      <c r="B54" t="s">
        <v>32</v>
      </c>
      <c r="C54" t="s">
        <v>43</v>
      </c>
      <c r="D54" t="s">
        <v>58</v>
      </c>
      <c r="E54" t="s">
        <v>62</v>
      </c>
      <c r="F54" t="s">
        <v>66</v>
      </c>
      <c r="G54">
        <v>30390.89</v>
      </c>
      <c r="H54">
        <v>30</v>
      </c>
      <c r="I54">
        <v>21273.623</v>
      </c>
      <c r="J54">
        <v>1</v>
      </c>
      <c r="K54">
        <v>21273.62</v>
      </c>
      <c r="L54">
        <v>5318.4</v>
      </c>
      <c r="M54" s="2">
        <v>45596</v>
      </c>
      <c r="N54" s="2">
        <v>45605</v>
      </c>
    </row>
    <row r="55" spans="1:14" x14ac:dyDescent="0.3">
      <c r="A55" t="s">
        <v>22</v>
      </c>
      <c r="B55" t="s">
        <v>31</v>
      </c>
      <c r="C55" t="s">
        <v>42</v>
      </c>
      <c r="D55" t="s">
        <v>60</v>
      </c>
      <c r="E55" t="s">
        <v>64</v>
      </c>
      <c r="F55" t="s">
        <v>72</v>
      </c>
      <c r="G55">
        <v>3221.61</v>
      </c>
      <c r="H55">
        <v>0</v>
      </c>
      <c r="I55">
        <v>3221.61</v>
      </c>
      <c r="J55">
        <v>4</v>
      </c>
      <c r="K55">
        <v>12886.44</v>
      </c>
      <c r="L55">
        <v>1932.97</v>
      </c>
      <c r="M55" s="2">
        <v>45487</v>
      </c>
      <c r="N55" s="2">
        <v>45494</v>
      </c>
    </row>
    <row r="56" spans="1:14" x14ac:dyDescent="0.3">
      <c r="A56" t="s">
        <v>20</v>
      </c>
      <c r="B56" t="s">
        <v>32</v>
      </c>
      <c r="C56" t="s">
        <v>37</v>
      </c>
      <c r="D56" t="s">
        <v>59</v>
      </c>
      <c r="E56" t="s">
        <v>64</v>
      </c>
      <c r="F56" t="s">
        <v>74</v>
      </c>
      <c r="G56">
        <v>38868.050000000003</v>
      </c>
      <c r="H56">
        <v>15</v>
      </c>
      <c r="I56">
        <v>33037.842499999999</v>
      </c>
      <c r="J56">
        <v>5</v>
      </c>
      <c r="K56">
        <v>165189.21</v>
      </c>
      <c r="L56">
        <v>57816.22</v>
      </c>
      <c r="M56" s="2">
        <v>45400</v>
      </c>
      <c r="N56" s="2">
        <v>45409</v>
      </c>
    </row>
    <row r="57" spans="1:14" x14ac:dyDescent="0.3">
      <c r="A57" t="s">
        <v>30</v>
      </c>
      <c r="B57" t="s">
        <v>33</v>
      </c>
      <c r="C57" t="s">
        <v>53</v>
      </c>
      <c r="D57" t="s">
        <v>58</v>
      </c>
      <c r="E57" t="s">
        <v>62</v>
      </c>
      <c r="F57" t="s">
        <v>69</v>
      </c>
      <c r="G57">
        <v>15205.15</v>
      </c>
      <c r="H57">
        <v>20</v>
      </c>
      <c r="I57">
        <v>12164.12</v>
      </c>
      <c r="J57">
        <v>2</v>
      </c>
      <c r="K57">
        <v>24328.240000000002</v>
      </c>
      <c r="L57">
        <v>6082.06</v>
      </c>
      <c r="M57" s="2">
        <v>45380</v>
      </c>
      <c r="N57" s="2">
        <v>45385</v>
      </c>
    </row>
    <row r="58" spans="1:14" x14ac:dyDescent="0.3">
      <c r="A58" t="s">
        <v>27</v>
      </c>
      <c r="B58" t="s">
        <v>35</v>
      </c>
      <c r="C58" t="s">
        <v>46</v>
      </c>
      <c r="D58" t="s">
        <v>59</v>
      </c>
      <c r="E58" t="s">
        <v>64</v>
      </c>
      <c r="F58" t="s">
        <v>74</v>
      </c>
      <c r="G58">
        <v>9906.2999999999993</v>
      </c>
      <c r="H58">
        <v>0</v>
      </c>
      <c r="I58">
        <v>9906.2999999999993</v>
      </c>
      <c r="J58">
        <v>1</v>
      </c>
      <c r="K58">
        <v>9906.2999999999993</v>
      </c>
      <c r="L58">
        <v>3467.2</v>
      </c>
      <c r="M58" s="2">
        <v>45384</v>
      </c>
      <c r="N58" s="2">
        <v>45392</v>
      </c>
    </row>
    <row r="59" spans="1:14" x14ac:dyDescent="0.3">
      <c r="A59" t="s">
        <v>22</v>
      </c>
      <c r="B59" t="s">
        <v>31</v>
      </c>
      <c r="C59" t="s">
        <v>42</v>
      </c>
      <c r="D59" t="s">
        <v>60</v>
      </c>
      <c r="E59" t="s">
        <v>61</v>
      </c>
      <c r="F59" t="s">
        <v>70</v>
      </c>
      <c r="G59">
        <v>2953.88</v>
      </c>
      <c r="H59">
        <v>0</v>
      </c>
      <c r="I59">
        <v>2953.88</v>
      </c>
      <c r="J59">
        <v>2</v>
      </c>
      <c r="K59">
        <v>5907.76</v>
      </c>
      <c r="L59">
        <v>886.16</v>
      </c>
      <c r="M59" s="2">
        <v>45711</v>
      </c>
      <c r="N59" s="2">
        <v>45718</v>
      </c>
    </row>
    <row r="60" spans="1:14" x14ac:dyDescent="0.3">
      <c r="A60" t="s">
        <v>20</v>
      </c>
      <c r="B60" t="s">
        <v>32</v>
      </c>
      <c r="C60" t="s">
        <v>37</v>
      </c>
      <c r="D60" t="s">
        <v>59</v>
      </c>
      <c r="E60" t="s">
        <v>61</v>
      </c>
      <c r="F60" t="s">
        <v>71</v>
      </c>
      <c r="G60">
        <v>33698.019999999997</v>
      </c>
      <c r="H60">
        <v>30</v>
      </c>
      <c r="I60">
        <v>23588.614000000001</v>
      </c>
      <c r="J60">
        <v>4</v>
      </c>
      <c r="K60">
        <v>94354.46</v>
      </c>
      <c r="L60">
        <v>33024.06</v>
      </c>
      <c r="M60" s="2">
        <v>45423</v>
      </c>
      <c r="N60" s="2">
        <v>45426</v>
      </c>
    </row>
    <row r="61" spans="1:14" x14ac:dyDescent="0.3">
      <c r="A61" t="s">
        <v>29</v>
      </c>
      <c r="B61" t="s">
        <v>35</v>
      </c>
      <c r="C61" t="s">
        <v>44</v>
      </c>
      <c r="D61" t="s">
        <v>60</v>
      </c>
      <c r="E61" t="s">
        <v>62</v>
      </c>
      <c r="F61" t="s">
        <v>69</v>
      </c>
      <c r="G61">
        <v>15856.72</v>
      </c>
      <c r="H61">
        <v>0</v>
      </c>
      <c r="I61">
        <v>15856.72</v>
      </c>
      <c r="J61">
        <v>4</v>
      </c>
      <c r="K61">
        <v>63426.879999999997</v>
      </c>
      <c r="L61">
        <v>9514.0300000000007</v>
      </c>
      <c r="M61" s="2">
        <v>45785</v>
      </c>
      <c r="N61" s="2">
        <v>45792</v>
      </c>
    </row>
    <row r="62" spans="1:14" x14ac:dyDescent="0.3">
      <c r="A62" t="s">
        <v>20</v>
      </c>
      <c r="B62" t="s">
        <v>32</v>
      </c>
      <c r="C62" t="s">
        <v>40</v>
      </c>
      <c r="D62" t="s">
        <v>59</v>
      </c>
      <c r="E62" t="s">
        <v>61</v>
      </c>
      <c r="F62" t="s">
        <v>65</v>
      </c>
      <c r="G62">
        <v>36481.4</v>
      </c>
      <c r="H62">
        <v>10</v>
      </c>
      <c r="I62">
        <v>32833.26</v>
      </c>
      <c r="J62">
        <v>4</v>
      </c>
      <c r="K62">
        <v>131333.04</v>
      </c>
      <c r="L62">
        <v>45966.559999999998</v>
      </c>
      <c r="M62" s="2">
        <v>45571</v>
      </c>
      <c r="N62" s="2">
        <v>45579</v>
      </c>
    </row>
    <row r="63" spans="1:14" x14ac:dyDescent="0.3">
      <c r="A63" t="s">
        <v>19</v>
      </c>
      <c r="B63" t="s">
        <v>33</v>
      </c>
      <c r="C63" t="s">
        <v>53</v>
      </c>
      <c r="D63" t="s">
        <v>58</v>
      </c>
      <c r="E63" t="s">
        <v>63</v>
      </c>
      <c r="F63" t="s">
        <v>73</v>
      </c>
      <c r="G63">
        <v>1865.58</v>
      </c>
      <c r="H63">
        <v>30</v>
      </c>
      <c r="I63">
        <v>1305.9059999999999</v>
      </c>
      <c r="J63">
        <v>5</v>
      </c>
      <c r="K63">
        <v>6529.53</v>
      </c>
      <c r="L63">
        <v>1632.38</v>
      </c>
      <c r="M63" s="2">
        <v>45374</v>
      </c>
      <c r="N63" s="2">
        <v>45379</v>
      </c>
    </row>
    <row r="64" spans="1:14" x14ac:dyDescent="0.3">
      <c r="A64" t="s">
        <v>16</v>
      </c>
      <c r="B64" t="s">
        <v>31</v>
      </c>
      <c r="C64" t="s">
        <v>42</v>
      </c>
      <c r="D64" t="s">
        <v>60</v>
      </c>
      <c r="E64" t="s">
        <v>62</v>
      </c>
      <c r="F64" t="s">
        <v>67</v>
      </c>
      <c r="G64">
        <v>2138.88</v>
      </c>
      <c r="H64">
        <v>5</v>
      </c>
      <c r="I64">
        <v>2031.9359999999999</v>
      </c>
      <c r="J64">
        <v>3</v>
      </c>
      <c r="K64">
        <v>6095.81</v>
      </c>
      <c r="L64">
        <v>914.37</v>
      </c>
      <c r="M64" s="2">
        <v>45792</v>
      </c>
      <c r="N64" s="2">
        <v>45795</v>
      </c>
    </row>
    <row r="65" spans="1:14" x14ac:dyDescent="0.3">
      <c r="A65" t="s">
        <v>24</v>
      </c>
      <c r="B65" t="s">
        <v>32</v>
      </c>
      <c r="C65" t="s">
        <v>54</v>
      </c>
      <c r="D65" t="s">
        <v>60</v>
      </c>
      <c r="E65" t="s">
        <v>61</v>
      </c>
      <c r="F65" t="s">
        <v>71</v>
      </c>
      <c r="G65">
        <v>20674.8</v>
      </c>
      <c r="H65">
        <v>25</v>
      </c>
      <c r="I65">
        <v>15506.1</v>
      </c>
      <c r="J65">
        <v>1</v>
      </c>
      <c r="K65">
        <v>15506.1</v>
      </c>
      <c r="L65">
        <v>2325.91</v>
      </c>
      <c r="M65" s="2">
        <v>45344</v>
      </c>
      <c r="N65" s="2">
        <v>45348</v>
      </c>
    </row>
    <row r="66" spans="1:14" x14ac:dyDescent="0.3">
      <c r="A66" t="s">
        <v>25</v>
      </c>
      <c r="B66" t="s">
        <v>34</v>
      </c>
      <c r="C66" t="s">
        <v>49</v>
      </c>
      <c r="D66" t="s">
        <v>59</v>
      </c>
      <c r="E66" t="s">
        <v>62</v>
      </c>
      <c r="F66" t="s">
        <v>69</v>
      </c>
      <c r="G66">
        <v>988.16</v>
      </c>
      <c r="H66">
        <v>10</v>
      </c>
      <c r="I66">
        <v>889.34399999999994</v>
      </c>
      <c r="J66">
        <v>3</v>
      </c>
      <c r="K66">
        <v>2668.03</v>
      </c>
      <c r="L66">
        <v>933.81</v>
      </c>
      <c r="M66" s="2">
        <v>45587</v>
      </c>
      <c r="N66" s="2">
        <v>45595</v>
      </c>
    </row>
    <row r="67" spans="1:14" x14ac:dyDescent="0.3">
      <c r="A67" t="s">
        <v>25</v>
      </c>
      <c r="B67" t="s">
        <v>34</v>
      </c>
      <c r="C67" t="s">
        <v>49</v>
      </c>
      <c r="D67" t="s">
        <v>59</v>
      </c>
      <c r="E67" t="s">
        <v>63</v>
      </c>
      <c r="F67" t="s">
        <v>75</v>
      </c>
      <c r="G67">
        <v>867.72</v>
      </c>
      <c r="H67">
        <v>30</v>
      </c>
      <c r="I67">
        <v>607.404</v>
      </c>
      <c r="J67">
        <v>4</v>
      </c>
      <c r="K67">
        <v>2429.62</v>
      </c>
      <c r="L67">
        <v>850.37</v>
      </c>
      <c r="M67" s="2">
        <v>45824</v>
      </c>
      <c r="N67" s="2">
        <v>45829</v>
      </c>
    </row>
    <row r="68" spans="1:14" x14ac:dyDescent="0.3">
      <c r="A68" t="s">
        <v>22</v>
      </c>
      <c r="B68" t="s">
        <v>31</v>
      </c>
      <c r="C68" t="s">
        <v>42</v>
      </c>
      <c r="D68" t="s">
        <v>60</v>
      </c>
      <c r="E68" t="s">
        <v>64</v>
      </c>
      <c r="F68" t="s">
        <v>74</v>
      </c>
      <c r="G68">
        <v>3121.39</v>
      </c>
      <c r="H68">
        <v>0</v>
      </c>
      <c r="I68">
        <v>3121.39</v>
      </c>
      <c r="J68">
        <v>4</v>
      </c>
      <c r="K68">
        <v>12485.56</v>
      </c>
      <c r="L68">
        <v>1872.83</v>
      </c>
      <c r="M68" s="2">
        <v>45527</v>
      </c>
      <c r="N68" s="2">
        <v>45529</v>
      </c>
    </row>
    <row r="69" spans="1:14" x14ac:dyDescent="0.3">
      <c r="A69" t="s">
        <v>23</v>
      </c>
      <c r="B69" t="s">
        <v>35</v>
      </c>
      <c r="C69" t="s">
        <v>48</v>
      </c>
      <c r="D69" t="s">
        <v>58</v>
      </c>
      <c r="E69" t="s">
        <v>62</v>
      </c>
      <c r="F69" t="s">
        <v>67</v>
      </c>
      <c r="G69">
        <v>26867.57</v>
      </c>
      <c r="H69">
        <v>15</v>
      </c>
      <c r="I69">
        <v>22837.434499999999</v>
      </c>
      <c r="J69">
        <v>2</v>
      </c>
      <c r="K69">
        <v>45674.87</v>
      </c>
      <c r="L69">
        <v>11418.72</v>
      </c>
      <c r="M69" s="2">
        <v>45859</v>
      </c>
      <c r="N69" s="2">
        <v>45863</v>
      </c>
    </row>
    <row r="70" spans="1:14" x14ac:dyDescent="0.3">
      <c r="A70" t="s">
        <v>17</v>
      </c>
      <c r="B70" t="s">
        <v>32</v>
      </c>
      <c r="C70" t="s">
        <v>54</v>
      </c>
      <c r="D70" t="s">
        <v>60</v>
      </c>
      <c r="E70" t="s">
        <v>62</v>
      </c>
      <c r="F70" t="s">
        <v>67</v>
      </c>
      <c r="G70">
        <v>7177.71</v>
      </c>
      <c r="H70">
        <v>15</v>
      </c>
      <c r="I70">
        <v>6101.0535</v>
      </c>
      <c r="J70">
        <v>5</v>
      </c>
      <c r="K70">
        <v>30505.27</v>
      </c>
      <c r="L70">
        <v>4575.79</v>
      </c>
      <c r="M70" s="2">
        <v>45750</v>
      </c>
      <c r="N70" s="2">
        <v>45756</v>
      </c>
    </row>
    <row r="71" spans="1:14" x14ac:dyDescent="0.3">
      <c r="A71" t="s">
        <v>29</v>
      </c>
      <c r="B71" t="s">
        <v>35</v>
      </c>
      <c r="C71" t="s">
        <v>48</v>
      </c>
      <c r="D71" t="s">
        <v>58</v>
      </c>
      <c r="E71" t="s">
        <v>61</v>
      </c>
      <c r="F71" t="s">
        <v>71</v>
      </c>
      <c r="G71">
        <v>16933.96</v>
      </c>
      <c r="H71">
        <v>30</v>
      </c>
      <c r="I71">
        <v>11853.772000000001</v>
      </c>
      <c r="J71">
        <v>2</v>
      </c>
      <c r="K71">
        <v>23707.54</v>
      </c>
      <c r="L71">
        <v>5926.89</v>
      </c>
      <c r="M71" s="2">
        <v>45800</v>
      </c>
      <c r="N71" s="2">
        <v>45809</v>
      </c>
    </row>
    <row r="72" spans="1:14" x14ac:dyDescent="0.3">
      <c r="A72" t="s">
        <v>27</v>
      </c>
      <c r="B72" t="s">
        <v>35</v>
      </c>
      <c r="C72" t="s">
        <v>44</v>
      </c>
      <c r="D72" t="s">
        <v>60</v>
      </c>
      <c r="E72" t="s">
        <v>61</v>
      </c>
      <c r="F72" t="s">
        <v>70</v>
      </c>
      <c r="G72">
        <v>6657.58</v>
      </c>
      <c r="H72">
        <v>5</v>
      </c>
      <c r="I72">
        <v>6324.701</v>
      </c>
      <c r="J72">
        <v>5</v>
      </c>
      <c r="K72">
        <v>31623.51</v>
      </c>
      <c r="L72">
        <v>4743.53</v>
      </c>
      <c r="M72" s="2">
        <v>45836</v>
      </c>
      <c r="N72" s="2">
        <v>45840</v>
      </c>
    </row>
    <row r="73" spans="1:14" x14ac:dyDescent="0.3">
      <c r="A73" t="s">
        <v>17</v>
      </c>
      <c r="B73" t="s">
        <v>32</v>
      </c>
      <c r="C73" t="s">
        <v>40</v>
      </c>
      <c r="D73" t="s">
        <v>59</v>
      </c>
      <c r="E73" t="s">
        <v>63</v>
      </c>
      <c r="F73" t="s">
        <v>75</v>
      </c>
      <c r="G73">
        <v>9127.9</v>
      </c>
      <c r="H73">
        <v>10</v>
      </c>
      <c r="I73">
        <v>8215.11</v>
      </c>
      <c r="J73">
        <v>3</v>
      </c>
      <c r="K73">
        <v>24645.33</v>
      </c>
      <c r="L73">
        <v>8625.8700000000008</v>
      </c>
      <c r="M73" s="2">
        <v>45521</v>
      </c>
      <c r="N73" s="2">
        <v>45527</v>
      </c>
    </row>
    <row r="74" spans="1:14" x14ac:dyDescent="0.3">
      <c r="A74" t="s">
        <v>28</v>
      </c>
      <c r="B74" t="s">
        <v>34</v>
      </c>
      <c r="C74" t="s">
        <v>55</v>
      </c>
      <c r="D74" t="s">
        <v>58</v>
      </c>
      <c r="E74" t="s">
        <v>64</v>
      </c>
      <c r="F74" t="s">
        <v>72</v>
      </c>
      <c r="G74">
        <v>1566.61</v>
      </c>
      <c r="H74">
        <v>10</v>
      </c>
      <c r="I74">
        <v>1409.9490000000001</v>
      </c>
      <c r="J74">
        <v>4</v>
      </c>
      <c r="K74">
        <v>5639.8</v>
      </c>
      <c r="L74">
        <v>1409.95</v>
      </c>
      <c r="M74" s="2">
        <v>45456</v>
      </c>
      <c r="N74" s="2">
        <v>45459</v>
      </c>
    </row>
    <row r="75" spans="1:14" x14ac:dyDescent="0.3">
      <c r="A75" t="s">
        <v>19</v>
      </c>
      <c r="B75" t="s">
        <v>33</v>
      </c>
      <c r="C75" t="s">
        <v>56</v>
      </c>
      <c r="D75" t="s">
        <v>60</v>
      </c>
      <c r="E75" t="s">
        <v>61</v>
      </c>
      <c r="F75" t="s">
        <v>70</v>
      </c>
      <c r="G75">
        <v>1654.29</v>
      </c>
      <c r="H75">
        <v>5</v>
      </c>
      <c r="I75">
        <v>1571.5754999999999</v>
      </c>
      <c r="J75">
        <v>4</v>
      </c>
      <c r="K75">
        <v>6286.3</v>
      </c>
      <c r="L75">
        <v>942.94</v>
      </c>
      <c r="M75" s="2">
        <v>45421</v>
      </c>
      <c r="N75" s="2">
        <v>45424</v>
      </c>
    </row>
    <row r="76" spans="1:14" x14ac:dyDescent="0.3">
      <c r="A76" t="s">
        <v>20</v>
      </c>
      <c r="B76" t="s">
        <v>32</v>
      </c>
      <c r="C76" t="s">
        <v>43</v>
      </c>
      <c r="D76" t="s">
        <v>58</v>
      </c>
      <c r="E76" t="s">
        <v>61</v>
      </c>
      <c r="F76" t="s">
        <v>65</v>
      </c>
      <c r="G76">
        <v>28366.95</v>
      </c>
      <c r="H76">
        <v>10</v>
      </c>
      <c r="I76">
        <v>25530.255000000001</v>
      </c>
      <c r="J76">
        <v>1</v>
      </c>
      <c r="K76">
        <v>25530.26</v>
      </c>
      <c r="L76">
        <v>6382.56</v>
      </c>
      <c r="M76" s="2">
        <v>45441</v>
      </c>
      <c r="N76" s="2">
        <v>45445</v>
      </c>
    </row>
    <row r="77" spans="1:14" x14ac:dyDescent="0.3">
      <c r="A77" t="s">
        <v>21</v>
      </c>
      <c r="B77" t="s">
        <v>34</v>
      </c>
      <c r="C77" t="s">
        <v>49</v>
      </c>
      <c r="D77" t="s">
        <v>59</v>
      </c>
      <c r="E77" t="s">
        <v>64</v>
      </c>
      <c r="F77" t="s">
        <v>74</v>
      </c>
      <c r="G77">
        <v>3778.09</v>
      </c>
      <c r="H77">
        <v>15</v>
      </c>
      <c r="I77">
        <v>3211.3764999999999</v>
      </c>
      <c r="J77">
        <v>3</v>
      </c>
      <c r="K77">
        <v>9634.1299999999992</v>
      </c>
      <c r="L77">
        <v>3371.95</v>
      </c>
      <c r="M77" s="2">
        <v>45646</v>
      </c>
      <c r="N77" s="2">
        <v>45656</v>
      </c>
    </row>
    <row r="78" spans="1:14" x14ac:dyDescent="0.3">
      <c r="A78" t="s">
        <v>23</v>
      </c>
      <c r="B78" t="s">
        <v>35</v>
      </c>
      <c r="C78" t="s">
        <v>44</v>
      </c>
      <c r="D78" t="s">
        <v>60</v>
      </c>
      <c r="E78" t="s">
        <v>61</v>
      </c>
      <c r="F78" t="s">
        <v>65</v>
      </c>
      <c r="G78">
        <v>21417.46</v>
      </c>
      <c r="H78">
        <v>10</v>
      </c>
      <c r="I78">
        <v>19275.714</v>
      </c>
      <c r="J78">
        <v>4</v>
      </c>
      <c r="K78">
        <v>77102.86</v>
      </c>
      <c r="L78">
        <v>11565.43</v>
      </c>
      <c r="M78" s="2">
        <v>45803</v>
      </c>
      <c r="N78" s="2">
        <v>45807</v>
      </c>
    </row>
    <row r="79" spans="1:14" x14ac:dyDescent="0.3">
      <c r="A79" t="s">
        <v>25</v>
      </c>
      <c r="B79" t="s">
        <v>34</v>
      </c>
      <c r="C79" t="s">
        <v>45</v>
      </c>
      <c r="D79" t="s">
        <v>59</v>
      </c>
      <c r="E79" t="s">
        <v>64</v>
      </c>
      <c r="F79" t="s">
        <v>72</v>
      </c>
      <c r="G79">
        <v>1021.58</v>
      </c>
      <c r="H79">
        <v>20</v>
      </c>
      <c r="I79">
        <v>817.26400000000012</v>
      </c>
      <c r="J79">
        <v>5</v>
      </c>
      <c r="K79">
        <v>4086.32</v>
      </c>
      <c r="L79">
        <v>1430.21</v>
      </c>
      <c r="M79" s="2">
        <v>45531</v>
      </c>
      <c r="N79" s="2">
        <v>45533</v>
      </c>
    </row>
    <row r="80" spans="1:14" x14ac:dyDescent="0.3">
      <c r="A80" t="s">
        <v>19</v>
      </c>
      <c r="B80" t="s">
        <v>33</v>
      </c>
      <c r="C80" t="s">
        <v>56</v>
      </c>
      <c r="D80" t="s">
        <v>60</v>
      </c>
      <c r="E80" t="s">
        <v>64</v>
      </c>
      <c r="F80" t="s">
        <v>74</v>
      </c>
      <c r="G80">
        <v>1845.41</v>
      </c>
      <c r="H80">
        <v>10</v>
      </c>
      <c r="I80">
        <v>1660.8689999999999</v>
      </c>
      <c r="J80">
        <v>4</v>
      </c>
      <c r="K80">
        <v>6643.48</v>
      </c>
      <c r="L80">
        <v>996.52</v>
      </c>
      <c r="M80" s="2">
        <v>45838</v>
      </c>
      <c r="N80" s="2">
        <v>45848</v>
      </c>
    </row>
    <row r="81" spans="1:14" x14ac:dyDescent="0.3">
      <c r="A81" t="s">
        <v>26</v>
      </c>
      <c r="B81" t="s">
        <v>32</v>
      </c>
      <c r="C81" t="s">
        <v>37</v>
      </c>
      <c r="D81" t="s">
        <v>59</v>
      </c>
      <c r="E81" t="s">
        <v>63</v>
      </c>
      <c r="F81" t="s">
        <v>75</v>
      </c>
      <c r="G81">
        <v>41647.199999999997</v>
      </c>
      <c r="H81">
        <v>5</v>
      </c>
      <c r="I81">
        <v>39564.839999999997</v>
      </c>
      <c r="J81">
        <v>1</v>
      </c>
      <c r="K81">
        <v>39564.839999999997</v>
      </c>
      <c r="L81">
        <v>13847.69</v>
      </c>
      <c r="M81" s="2">
        <v>45512</v>
      </c>
      <c r="N81" s="2">
        <v>45522</v>
      </c>
    </row>
    <row r="82" spans="1:14" x14ac:dyDescent="0.3">
      <c r="A82" t="s">
        <v>27</v>
      </c>
      <c r="B82" t="s">
        <v>35</v>
      </c>
      <c r="C82" t="s">
        <v>46</v>
      </c>
      <c r="D82" t="s">
        <v>59</v>
      </c>
      <c r="E82" t="s">
        <v>62</v>
      </c>
      <c r="F82" t="s">
        <v>66</v>
      </c>
      <c r="G82">
        <v>10182.44</v>
      </c>
      <c r="H82">
        <v>15</v>
      </c>
      <c r="I82">
        <v>8655.0740000000005</v>
      </c>
      <c r="J82">
        <v>5</v>
      </c>
      <c r="K82">
        <v>43275.37</v>
      </c>
      <c r="L82">
        <v>15146.38</v>
      </c>
      <c r="M82" s="2">
        <v>45315</v>
      </c>
      <c r="N82" s="2">
        <v>45318</v>
      </c>
    </row>
    <row r="83" spans="1:14" x14ac:dyDescent="0.3">
      <c r="A83" t="s">
        <v>19</v>
      </c>
      <c r="B83" t="s">
        <v>33</v>
      </c>
      <c r="C83" t="s">
        <v>50</v>
      </c>
      <c r="D83" t="s">
        <v>59</v>
      </c>
      <c r="E83" t="s">
        <v>63</v>
      </c>
      <c r="F83" t="s">
        <v>68</v>
      </c>
      <c r="G83">
        <v>2231.2600000000002</v>
      </c>
      <c r="H83">
        <v>0</v>
      </c>
      <c r="I83">
        <v>2231.2600000000002</v>
      </c>
      <c r="J83">
        <v>3</v>
      </c>
      <c r="K83">
        <v>6693.78</v>
      </c>
      <c r="L83">
        <v>2342.8200000000002</v>
      </c>
      <c r="M83" s="2">
        <v>45409</v>
      </c>
      <c r="N83" s="2">
        <v>45415</v>
      </c>
    </row>
    <row r="84" spans="1:14" x14ac:dyDescent="0.3">
      <c r="A84" t="s">
        <v>17</v>
      </c>
      <c r="B84" t="s">
        <v>32</v>
      </c>
      <c r="C84" t="s">
        <v>40</v>
      </c>
      <c r="D84" t="s">
        <v>59</v>
      </c>
      <c r="E84" t="s">
        <v>61</v>
      </c>
      <c r="F84" t="s">
        <v>65</v>
      </c>
      <c r="G84">
        <v>8998.4</v>
      </c>
      <c r="H84">
        <v>15</v>
      </c>
      <c r="I84">
        <v>7648.6399999999994</v>
      </c>
      <c r="J84">
        <v>5</v>
      </c>
      <c r="K84">
        <v>38243.199999999997</v>
      </c>
      <c r="L84">
        <v>13385.12</v>
      </c>
      <c r="M84" s="2">
        <v>45787</v>
      </c>
      <c r="N84" s="2">
        <v>45796</v>
      </c>
    </row>
    <row r="85" spans="1:14" x14ac:dyDescent="0.3">
      <c r="A85" t="s">
        <v>25</v>
      </c>
      <c r="B85" t="s">
        <v>34</v>
      </c>
      <c r="C85" t="s">
        <v>41</v>
      </c>
      <c r="D85" t="s">
        <v>60</v>
      </c>
      <c r="E85" t="s">
        <v>63</v>
      </c>
      <c r="F85" t="s">
        <v>73</v>
      </c>
      <c r="G85">
        <v>640.91</v>
      </c>
      <c r="H85">
        <v>5</v>
      </c>
      <c r="I85">
        <v>608.86449999999991</v>
      </c>
      <c r="J85">
        <v>1</v>
      </c>
      <c r="K85">
        <v>608.86</v>
      </c>
      <c r="L85">
        <v>91.33</v>
      </c>
      <c r="M85" s="2">
        <v>45664</v>
      </c>
      <c r="N85" s="2">
        <v>45668</v>
      </c>
    </row>
    <row r="86" spans="1:14" x14ac:dyDescent="0.3">
      <c r="A86" t="s">
        <v>28</v>
      </c>
      <c r="B86" t="s">
        <v>34</v>
      </c>
      <c r="C86" t="s">
        <v>51</v>
      </c>
      <c r="D86" t="s">
        <v>59</v>
      </c>
      <c r="E86" t="s">
        <v>61</v>
      </c>
      <c r="F86" t="s">
        <v>71</v>
      </c>
      <c r="G86">
        <v>1772.79</v>
      </c>
      <c r="H86">
        <v>25</v>
      </c>
      <c r="I86">
        <v>1329.5925</v>
      </c>
      <c r="J86">
        <v>3</v>
      </c>
      <c r="K86">
        <v>3988.78</v>
      </c>
      <c r="L86">
        <v>1396.07</v>
      </c>
      <c r="M86" s="2">
        <v>45561</v>
      </c>
      <c r="N86" s="2">
        <v>45571</v>
      </c>
    </row>
    <row r="87" spans="1:14" x14ac:dyDescent="0.3">
      <c r="A87" t="s">
        <v>24</v>
      </c>
      <c r="B87" t="s">
        <v>32</v>
      </c>
      <c r="C87" t="s">
        <v>40</v>
      </c>
      <c r="D87" t="s">
        <v>59</v>
      </c>
      <c r="E87" t="s">
        <v>64</v>
      </c>
      <c r="F87" t="s">
        <v>72</v>
      </c>
      <c r="G87">
        <v>32833.29</v>
      </c>
      <c r="H87">
        <v>25</v>
      </c>
      <c r="I87">
        <v>24624.967499999999</v>
      </c>
      <c r="J87">
        <v>4</v>
      </c>
      <c r="K87">
        <v>98499.87</v>
      </c>
      <c r="L87">
        <v>34474.949999999997</v>
      </c>
      <c r="M87" s="2">
        <v>45687</v>
      </c>
      <c r="N87" s="2">
        <v>45690</v>
      </c>
    </row>
    <row r="88" spans="1:14" x14ac:dyDescent="0.3">
      <c r="A88" t="s">
        <v>22</v>
      </c>
      <c r="B88" t="s">
        <v>31</v>
      </c>
      <c r="C88" t="s">
        <v>42</v>
      </c>
      <c r="D88" t="s">
        <v>60</v>
      </c>
      <c r="E88" t="s">
        <v>62</v>
      </c>
      <c r="F88" t="s">
        <v>66</v>
      </c>
      <c r="G88">
        <v>3119.46</v>
      </c>
      <c r="H88">
        <v>0</v>
      </c>
      <c r="I88">
        <v>3119.46</v>
      </c>
      <c r="J88">
        <v>3</v>
      </c>
      <c r="K88">
        <v>9358.3799999999992</v>
      </c>
      <c r="L88">
        <v>1403.76</v>
      </c>
      <c r="M88" s="2">
        <v>45518</v>
      </c>
      <c r="N88" s="2">
        <v>45526</v>
      </c>
    </row>
    <row r="89" spans="1:14" x14ac:dyDescent="0.3">
      <c r="A89" t="s">
        <v>16</v>
      </c>
      <c r="B89" t="s">
        <v>31</v>
      </c>
      <c r="C89" t="s">
        <v>36</v>
      </c>
      <c r="D89" t="s">
        <v>58</v>
      </c>
      <c r="E89" t="s">
        <v>64</v>
      </c>
      <c r="F89" t="s">
        <v>72</v>
      </c>
      <c r="G89">
        <v>2584.13</v>
      </c>
      <c r="H89">
        <v>5</v>
      </c>
      <c r="I89">
        <v>2454.9234999999999</v>
      </c>
      <c r="J89">
        <v>1</v>
      </c>
      <c r="K89">
        <v>2454.92</v>
      </c>
      <c r="L89">
        <v>613.73</v>
      </c>
      <c r="M89" s="2">
        <v>45709</v>
      </c>
      <c r="N89" s="2">
        <v>45714</v>
      </c>
    </row>
    <row r="90" spans="1:14" x14ac:dyDescent="0.3">
      <c r="A90" t="s">
        <v>17</v>
      </c>
      <c r="B90" t="s">
        <v>32</v>
      </c>
      <c r="C90" t="s">
        <v>37</v>
      </c>
      <c r="D90" t="s">
        <v>59</v>
      </c>
      <c r="E90" t="s">
        <v>62</v>
      </c>
      <c r="F90" t="s">
        <v>66</v>
      </c>
      <c r="G90">
        <v>10119.06</v>
      </c>
      <c r="H90">
        <v>0</v>
      </c>
      <c r="I90">
        <v>10119.06</v>
      </c>
      <c r="J90">
        <v>1</v>
      </c>
      <c r="K90">
        <v>10119.06</v>
      </c>
      <c r="L90">
        <v>3541.67</v>
      </c>
      <c r="M90" s="2">
        <v>45588</v>
      </c>
      <c r="N90" s="2">
        <v>45592</v>
      </c>
    </row>
    <row r="91" spans="1:14" x14ac:dyDescent="0.3">
      <c r="A91" t="s">
        <v>28</v>
      </c>
      <c r="B91" t="s">
        <v>34</v>
      </c>
      <c r="C91" t="s">
        <v>51</v>
      </c>
      <c r="D91" t="s">
        <v>59</v>
      </c>
      <c r="E91" t="s">
        <v>63</v>
      </c>
      <c r="F91" t="s">
        <v>75</v>
      </c>
      <c r="G91">
        <v>1771.68</v>
      </c>
      <c r="H91">
        <v>10</v>
      </c>
      <c r="I91">
        <v>1594.5119999999999</v>
      </c>
      <c r="J91">
        <v>1</v>
      </c>
      <c r="K91">
        <v>1594.51</v>
      </c>
      <c r="L91">
        <v>558.08000000000004</v>
      </c>
      <c r="M91" s="2">
        <v>45855</v>
      </c>
      <c r="N91" s="2">
        <v>45862</v>
      </c>
    </row>
    <row r="92" spans="1:14" x14ac:dyDescent="0.3">
      <c r="A92" t="s">
        <v>25</v>
      </c>
      <c r="B92" t="s">
        <v>34</v>
      </c>
      <c r="C92" t="s">
        <v>55</v>
      </c>
      <c r="D92" t="s">
        <v>58</v>
      </c>
      <c r="E92" t="s">
        <v>63</v>
      </c>
      <c r="F92" t="s">
        <v>75</v>
      </c>
      <c r="G92">
        <v>779.92</v>
      </c>
      <c r="H92">
        <v>30</v>
      </c>
      <c r="I92">
        <v>545.94399999999996</v>
      </c>
      <c r="J92">
        <v>2</v>
      </c>
      <c r="K92">
        <v>1091.8900000000001</v>
      </c>
      <c r="L92">
        <v>272.97000000000003</v>
      </c>
      <c r="M92" s="2">
        <v>45475</v>
      </c>
      <c r="N92" s="2">
        <v>45482</v>
      </c>
    </row>
    <row r="93" spans="1:14" x14ac:dyDescent="0.3">
      <c r="A93" t="s">
        <v>30</v>
      </c>
      <c r="B93" t="s">
        <v>33</v>
      </c>
      <c r="C93" t="s">
        <v>39</v>
      </c>
      <c r="D93" t="s">
        <v>58</v>
      </c>
      <c r="E93" t="s">
        <v>63</v>
      </c>
      <c r="F93" t="s">
        <v>75</v>
      </c>
      <c r="G93">
        <v>13857.92</v>
      </c>
      <c r="H93">
        <v>10</v>
      </c>
      <c r="I93">
        <v>12472.128000000001</v>
      </c>
      <c r="J93">
        <v>5</v>
      </c>
      <c r="K93">
        <v>62360.639999999999</v>
      </c>
      <c r="L93">
        <v>15590.16</v>
      </c>
      <c r="M93" s="2">
        <v>45477</v>
      </c>
      <c r="N93" s="2">
        <v>45483</v>
      </c>
    </row>
    <row r="94" spans="1:14" x14ac:dyDescent="0.3">
      <c r="A94" t="s">
        <v>30</v>
      </c>
      <c r="B94" t="s">
        <v>33</v>
      </c>
      <c r="C94" t="s">
        <v>38</v>
      </c>
      <c r="D94" t="s">
        <v>59</v>
      </c>
      <c r="E94" t="s">
        <v>61</v>
      </c>
      <c r="F94" t="s">
        <v>71</v>
      </c>
      <c r="G94">
        <v>17036.240000000002</v>
      </c>
      <c r="H94">
        <v>5</v>
      </c>
      <c r="I94">
        <v>16184.428</v>
      </c>
      <c r="J94">
        <v>4</v>
      </c>
      <c r="K94">
        <v>64737.71</v>
      </c>
      <c r="L94">
        <v>22658.2</v>
      </c>
      <c r="M94" s="2">
        <v>45772</v>
      </c>
      <c r="N94" s="2">
        <v>45775</v>
      </c>
    </row>
    <row r="95" spans="1:14" x14ac:dyDescent="0.3">
      <c r="A95" t="s">
        <v>22</v>
      </c>
      <c r="B95" t="s">
        <v>31</v>
      </c>
      <c r="C95" t="s">
        <v>42</v>
      </c>
      <c r="D95" t="s">
        <v>60</v>
      </c>
      <c r="E95" t="s">
        <v>63</v>
      </c>
      <c r="F95" t="s">
        <v>68</v>
      </c>
      <c r="G95">
        <v>2710.11</v>
      </c>
      <c r="H95">
        <v>30</v>
      </c>
      <c r="I95">
        <v>1897.077</v>
      </c>
      <c r="J95">
        <v>2</v>
      </c>
      <c r="K95">
        <v>3794.15</v>
      </c>
      <c r="L95">
        <v>569.12</v>
      </c>
      <c r="M95" s="2">
        <v>45434</v>
      </c>
      <c r="N95" s="2">
        <v>45443</v>
      </c>
    </row>
    <row r="96" spans="1:14" x14ac:dyDescent="0.3">
      <c r="A96" t="s">
        <v>25</v>
      </c>
      <c r="B96" t="s">
        <v>34</v>
      </c>
      <c r="C96" t="s">
        <v>52</v>
      </c>
      <c r="D96" t="s">
        <v>60</v>
      </c>
      <c r="E96" t="s">
        <v>61</v>
      </c>
      <c r="F96" t="s">
        <v>70</v>
      </c>
      <c r="G96">
        <v>690.92</v>
      </c>
      <c r="H96">
        <v>25</v>
      </c>
      <c r="I96">
        <v>518.18999999999994</v>
      </c>
      <c r="J96">
        <v>4</v>
      </c>
      <c r="K96">
        <v>2072.7600000000002</v>
      </c>
      <c r="L96">
        <v>310.91000000000003</v>
      </c>
      <c r="M96" s="2">
        <v>45412</v>
      </c>
      <c r="N96" s="2">
        <v>45419</v>
      </c>
    </row>
    <row r="97" spans="1:14" x14ac:dyDescent="0.3">
      <c r="A97" t="s">
        <v>22</v>
      </c>
      <c r="B97" t="s">
        <v>31</v>
      </c>
      <c r="C97" t="s">
        <v>36</v>
      </c>
      <c r="D97" t="s">
        <v>58</v>
      </c>
      <c r="E97" t="s">
        <v>61</v>
      </c>
      <c r="F97" t="s">
        <v>70</v>
      </c>
      <c r="G97">
        <v>3295.92</v>
      </c>
      <c r="H97">
        <v>30</v>
      </c>
      <c r="I97">
        <v>2307.1439999999998</v>
      </c>
      <c r="J97">
        <v>3</v>
      </c>
      <c r="K97">
        <v>6921.43</v>
      </c>
      <c r="L97">
        <v>1730.36</v>
      </c>
      <c r="M97" s="2">
        <v>45349</v>
      </c>
      <c r="N97" s="2">
        <v>45352</v>
      </c>
    </row>
    <row r="98" spans="1:14" x14ac:dyDescent="0.3">
      <c r="A98" t="s">
        <v>23</v>
      </c>
      <c r="B98" t="s">
        <v>35</v>
      </c>
      <c r="C98" t="s">
        <v>48</v>
      </c>
      <c r="D98" t="s">
        <v>58</v>
      </c>
      <c r="E98" t="s">
        <v>61</v>
      </c>
      <c r="F98" t="s">
        <v>65</v>
      </c>
      <c r="G98">
        <v>24026.25</v>
      </c>
      <c r="H98">
        <v>20</v>
      </c>
      <c r="I98">
        <v>19221</v>
      </c>
      <c r="J98">
        <v>4</v>
      </c>
      <c r="K98">
        <v>76884</v>
      </c>
      <c r="L98">
        <v>19221</v>
      </c>
      <c r="M98" s="2">
        <v>45471</v>
      </c>
      <c r="N98" s="2">
        <v>45476</v>
      </c>
    </row>
    <row r="99" spans="1:14" x14ac:dyDescent="0.3">
      <c r="A99" t="s">
        <v>30</v>
      </c>
      <c r="B99" t="s">
        <v>33</v>
      </c>
      <c r="C99" t="s">
        <v>38</v>
      </c>
      <c r="D99" t="s">
        <v>59</v>
      </c>
      <c r="E99" t="s">
        <v>61</v>
      </c>
      <c r="F99" t="s">
        <v>71</v>
      </c>
      <c r="G99">
        <v>18094.669999999998</v>
      </c>
      <c r="H99">
        <v>25</v>
      </c>
      <c r="I99">
        <v>13571.002500000001</v>
      </c>
      <c r="J99">
        <v>1</v>
      </c>
      <c r="K99">
        <v>13571</v>
      </c>
      <c r="L99">
        <v>4749.8500000000004</v>
      </c>
      <c r="M99" s="2">
        <v>45861</v>
      </c>
      <c r="N99" s="2">
        <v>45867</v>
      </c>
    </row>
    <row r="100" spans="1:14" x14ac:dyDescent="0.3">
      <c r="A100" t="s">
        <v>26</v>
      </c>
      <c r="B100" t="s">
        <v>32</v>
      </c>
      <c r="C100" t="s">
        <v>54</v>
      </c>
      <c r="D100" t="s">
        <v>60</v>
      </c>
      <c r="E100" t="s">
        <v>62</v>
      </c>
      <c r="F100" t="s">
        <v>67</v>
      </c>
      <c r="G100">
        <v>31619.33</v>
      </c>
      <c r="H100">
        <v>25</v>
      </c>
      <c r="I100">
        <v>23714.497500000001</v>
      </c>
      <c r="J100">
        <v>4</v>
      </c>
      <c r="K100">
        <v>94857.99</v>
      </c>
      <c r="L100">
        <v>14228.7</v>
      </c>
      <c r="M100" s="2">
        <v>45688</v>
      </c>
      <c r="N100" s="2">
        <v>45692</v>
      </c>
    </row>
    <row r="101" spans="1:14" x14ac:dyDescent="0.3">
      <c r="A101" t="s">
        <v>17</v>
      </c>
      <c r="B101" t="s">
        <v>32</v>
      </c>
      <c r="C101" t="s">
        <v>43</v>
      </c>
      <c r="D101" t="s">
        <v>58</v>
      </c>
      <c r="E101" t="s">
        <v>64</v>
      </c>
      <c r="F101" t="s">
        <v>76</v>
      </c>
      <c r="G101">
        <v>8655.0499999999993</v>
      </c>
      <c r="H101">
        <v>0</v>
      </c>
      <c r="I101">
        <v>8655.0499999999993</v>
      </c>
      <c r="J101">
        <v>4</v>
      </c>
      <c r="K101">
        <v>34620.199999999997</v>
      </c>
      <c r="L101">
        <v>8655.0499999999993</v>
      </c>
      <c r="M101" s="2">
        <v>45359</v>
      </c>
      <c r="N101" s="2">
        <v>45365</v>
      </c>
    </row>
    <row r="102" spans="1:14" x14ac:dyDescent="0.3">
      <c r="A102" t="s">
        <v>25</v>
      </c>
      <c r="B102" t="s">
        <v>34</v>
      </c>
      <c r="C102" t="s">
        <v>49</v>
      </c>
      <c r="D102" t="s">
        <v>59</v>
      </c>
      <c r="E102" t="s">
        <v>62</v>
      </c>
      <c r="F102" t="s">
        <v>66</v>
      </c>
      <c r="G102">
        <v>962.8</v>
      </c>
      <c r="H102">
        <v>20</v>
      </c>
      <c r="I102">
        <v>770.24</v>
      </c>
      <c r="J102">
        <v>5</v>
      </c>
      <c r="K102">
        <v>3851.2</v>
      </c>
      <c r="L102">
        <v>1347.92</v>
      </c>
      <c r="M102" s="2">
        <v>45561</v>
      </c>
      <c r="N102" s="2">
        <v>45566</v>
      </c>
    </row>
    <row r="103" spans="1:14" x14ac:dyDescent="0.3">
      <c r="A103" t="s">
        <v>22</v>
      </c>
      <c r="B103" t="s">
        <v>31</v>
      </c>
      <c r="C103" t="s">
        <v>42</v>
      </c>
      <c r="D103" t="s">
        <v>60</v>
      </c>
      <c r="E103" t="s">
        <v>64</v>
      </c>
      <c r="F103" t="s">
        <v>74</v>
      </c>
      <c r="G103">
        <v>3284.7</v>
      </c>
      <c r="H103">
        <v>25</v>
      </c>
      <c r="I103">
        <v>2463.5250000000001</v>
      </c>
      <c r="J103">
        <v>2</v>
      </c>
      <c r="K103">
        <v>4927.05</v>
      </c>
      <c r="L103">
        <v>739.06</v>
      </c>
      <c r="M103" s="2">
        <v>45775</v>
      </c>
      <c r="N103" s="2">
        <v>45783</v>
      </c>
    </row>
    <row r="104" spans="1:14" x14ac:dyDescent="0.3">
      <c r="A104" t="s">
        <v>26</v>
      </c>
      <c r="B104" t="s">
        <v>32</v>
      </c>
      <c r="C104" t="s">
        <v>40</v>
      </c>
      <c r="D104" t="s">
        <v>59</v>
      </c>
      <c r="E104" t="s">
        <v>62</v>
      </c>
      <c r="F104" t="s">
        <v>66</v>
      </c>
      <c r="G104">
        <v>44532.26</v>
      </c>
      <c r="H104">
        <v>0</v>
      </c>
      <c r="I104">
        <v>44532.26</v>
      </c>
      <c r="J104">
        <v>5</v>
      </c>
      <c r="K104">
        <v>222661.3</v>
      </c>
      <c r="L104">
        <v>77931.45</v>
      </c>
      <c r="M104" s="2">
        <v>45522</v>
      </c>
      <c r="N104" s="2">
        <v>45530</v>
      </c>
    </row>
    <row r="105" spans="1:14" x14ac:dyDescent="0.3">
      <c r="A105" t="s">
        <v>23</v>
      </c>
      <c r="B105" t="s">
        <v>35</v>
      </c>
      <c r="C105" t="s">
        <v>38</v>
      </c>
      <c r="D105" t="s">
        <v>59</v>
      </c>
      <c r="E105" t="s">
        <v>63</v>
      </c>
      <c r="F105" t="s">
        <v>75</v>
      </c>
      <c r="G105">
        <v>29464.09</v>
      </c>
      <c r="H105">
        <v>10</v>
      </c>
      <c r="I105">
        <v>26517.681</v>
      </c>
      <c r="J105">
        <v>1</v>
      </c>
      <c r="K105">
        <v>26517.68</v>
      </c>
      <c r="L105">
        <v>9281.19</v>
      </c>
      <c r="M105" s="2">
        <v>45360</v>
      </c>
      <c r="N105" s="2">
        <v>45369</v>
      </c>
    </row>
    <row r="106" spans="1:14" x14ac:dyDescent="0.3">
      <c r="A106" t="s">
        <v>17</v>
      </c>
      <c r="B106" t="s">
        <v>32</v>
      </c>
      <c r="C106" t="s">
        <v>43</v>
      </c>
      <c r="D106" t="s">
        <v>58</v>
      </c>
      <c r="E106" t="s">
        <v>63</v>
      </c>
      <c r="F106" t="s">
        <v>75</v>
      </c>
      <c r="G106">
        <v>7582.32</v>
      </c>
      <c r="H106">
        <v>20</v>
      </c>
      <c r="I106">
        <v>6065.8559999999998</v>
      </c>
      <c r="J106">
        <v>3</v>
      </c>
      <c r="K106">
        <v>18197.57</v>
      </c>
      <c r="L106">
        <v>4549.3900000000003</v>
      </c>
      <c r="M106" s="2">
        <v>45398</v>
      </c>
      <c r="N106" s="2">
        <v>45402</v>
      </c>
    </row>
    <row r="107" spans="1:14" x14ac:dyDescent="0.3">
      <c r="A107" t="s">
        <v>24</v>
      </c>
      <c r="B107" t="s">
        <v>32</v>
      </c>
      <c r="C107" t="s">
        <v>37</v>
      </c>
      <c r="D107" t="s">
        <v>59</v>
      </c>
      <c r="E107" t="s">
        <v>62</v>
      </c>
      <c r="F107" t="s">
        <v>69</v>
      </c>
      <c r="G107">
        <v>32436.84</v>
      </c>
      <c r="H107">
        <v>0</v>
      </c>
      <c r="I107">
        <v>32436.84</v>
      </c>
      <c r="J107">
        <v>4</v>
      </c>
      <c r="K107">
        <v>129747.36</v>
      </c>
      <c r="L107">
        <v>45411.58</v>
      </c>
      <c r="M107" s="2">
        <v>45426</v>
      </c>
      <c r="N107" s="2">
        <v>45436</v>
      </c>
    </row>
    <row r="108" spans="1:14" x14ac:dyDescent="0.3">
      <c r="A108" t="s">
        <v>23</v>
      </c>
      <c r="B108" t="s">
        <v>35</v>
      </c>
      <c r="C108" t="s">
        <v>46</v>
      </c>
      <c r="D108" t="s">
        <v>59</v>
      </c>
      <c r="E108" t="s">
        <v>61</v>
      </c>
      <c r="F108" t="s">
        <v>71</v>
      </c>
      <c r="G108">
        <v>28531.94</v>
      </c>
      <c r="H108">
        <v>5</v>
      </c>
      <c r="I108">
        <v>27105.343000000001</v>
      </c>
      <c r="J108">
        <v>2</v>
      </c>
      <c r="K108">
        <v>54210.69</v>
      </c>
      <c r="L108">
        <v>18973.740000000002</v>
      </c>
      <c r="M108" s="2">
        <v>45838</v>
      </c>
      <c r="N108" s="2">
        <v>45841</v>
      </c>
    </row>
    <row r="109" spans="1:14" x14ac:dyDescent="0.3">
      <c r="A109" t="s">
        <v>25</v>
      </c>
      <c r="B109" t="s">
        <v>34</v>
      </c>
      <c r="C109" t="s">
        <v>51</v>
      </c>
      <c r="D109" t="s">
        <v>59</v>
      </c>
      <c r="E109" t="s">
        <v>64</v>
      </c>
      <c r="F109" t="s">
        <v>76</v>
      </c>
      <c r="G109">
        <v>1081.56</v>
      </c>
      <c r="H109">
        <v>30</v>
      </c>
      <c r="I109">
        <v>757.09199999999987</v>
      </c>
      <c r="J109">
        <v>3</v>
      </c>
      <c r="K109">
        <v>2271.2800000000002</v>
      </c>
      <c r="L109">
        <v>794.95</v>
      </c>
      <c r="M109" s="2">
        <v>45524</v>
      </c>
      <c r="N109" s="2">
        <v>45527</v>
      </c>
    </row>
    <row r="110" spans="1:14" x14ac:dyDescent="0.3">
      <c r="A110" t="s">
        <v>20</v>
      </c>
      <c r="B110" t="s">
        <v>32</v>
      </c>
      <c r="C110" t="s">
        <v>43</v>
      </c>
      <c r="D110" t="s">
        <v>58</v>
      </c>
      <c r="E110" t="s">
        <v>62</v>
      </c>
      <c r="F110" t="s">
        <v>66</v>
      </c>
      <c r="G110">
        <v>29854.53</v>
      </c>
      <c r="H110">
        <v>10</v>
      </c>
      <c r="I110">
        <v>26869.077000000001</v>
      </c>
      <c r="J110">
        <v>2</v>
      </c>
      <c r="K110">
        <v>53738.15</v>
      </c>
      <c r="L110">
        <v>13434.54</v>
      </c>
      <c r="M110" s="2">
        <v>45794</v>
      </c>
      <c r="N110" s="2">
        <v>45797</v>
      </c>
    </row>
    <row r="111" spans="1:14" x14ac:dyDescent="0.3">
      <c r="A111" t="s">
        <v>19</v>
      </c>
      <c r="B111" t="s">
        <v>33</v>
      </c>
      <c r="C111" t="s">
        <v>56</v>
      </c>
      <c r="D111" t="s">
        <v>60</v>
      </c>
      <c r="E111" t="s">
        <v>64</v>
      </c>
      <c r="F111" t="s">
        <v>74</v>
      </c>
      <c r="G111">
        <v>1811.41</v>
      </c>
      <c r="H111">
        <v>5</v>
      </c>
      <c r="I111">
        <v>1720.8395</v>
      </c>
      <c r="J111">
        <v>1</v>
      </c>
      <c r="K111">
        <v>1720.84</v>
      </c>
      <c r="L111">
        <v>258.13</v>
      </c>
      <c r="M111" s="2">
        <v>45493</v>
      </c>
      <c r="N111" s="2">
        <v>45496</v>
      </c>
    </row>
    <row r="112" spans="1:14" x14ac:dyDescent="0.3">
      <c r="A112" t="s">
        <v>17</v>
      </c>
      <c r="B112" t="s">
        <v>32</v>
      </c>
      <c r="C112" t="s">
        <v>40</v>
      </c>
      <c r="D112" t="s">
        <v>59</v>
      </c>
      <c r="E112" t="s">
        <v>62</v>
      </c>
      <c r="F112" t="s">
        <v>66</v>
      </c>
      <c r="G112">
        <v>10115.73</v>
      </c>
      <c r="H112">
        <v>30</v>
      </c>
      <c r="I112">
        <v>7081.0110000000004</v>
      </c>
      <c r="J112">
        <v>3</v>
      </c>
      <c r="K112">
        <v>21243.03</v>
      </c>
      <c r="L112">
        <v>7435.06</v>
      </c>
      <c r="M112" s="2">
        <v>45554</v>
      </c>
      <c r="N112" s="2">
        <v>45564</v>
      </c>
    </row>
    <row r="113" spans="1:14" x14ac:dyDescent="0.3">
      <c r="A113" t="s">
        <v>17</v>
      </c>
      <c r="B113" t="s">
        <v>32</v>
      </c>
      <c r="C113" t="s">
        <v>40</v>
      </c>
      <c r="D113" t="s">
        <v>59</v>
      </c>
      <c r="E113" t="s">
        <v>62</v>
      </c>
      <c r="F113" t="s">
        <v>67</v>
      </c>
      <c r="G113">
        <v>9732.6299999999992</v>
      </c>
      <c r="H113">
        <v>25</v>
      </c>
      <c r="I113">
        <v>7299.4724999999999</v>
      </c>
      <c r="J113">
        <v>2</v>
      </c>
      <c r="K113">
        <v>14598.94</v>
      </c>
      <c r="L113">
        <v>5109.63</v>
      </c>
      <c r="M113" s="2">
        <v>45547</v>
      </c>
      <c r="N113" s="2">
        <v>45556</v>
      </c>
    </row>
    <row r="114" spans="1:14" x14ac:dyDescent="0.3">
      <c r="A114" t="s">
        <v>25</v>
      </c>
      <c r="B114" t="s">
        <v>34</v>
      </c>
      <c r="C114" t="s">
        <v>45</v>
      </c>
      <c r="D114" t="s">
        <v>59</v>
      </c>
      <c r="E114" t="s">
        <v>64</v>
      </c>
      <c r="F114" t="s">
        <v>76</v>
      </c>
      <c r="G114">
        <v>1011.73</v>
      </c>
      <c r="H114">
        <v>30</v>
      </c>
      <c r="I114">
        <v>708.21100000000001</v>
      </c>
      <c r="J114">
        <v>5</v>
      </c>
      <c r="K114">
        <v>3541.06</v>
      </c>
      <c r="L114">
        <v>1239.3699999999999</v>
      </c>
      <c r="M114" s="2">
        <v>45349</v>
      </c>
      <c r="N114" s="2">
        <v>45353</v>
      </c>
    </row>
    <row r="115" spans="1:14" x14ac:dyDescent="0.3">
      <c r="A115" t="s">
        <v>17</v>
      </c>
      <c r="B115" t="s">
        <v>32</v>
      </c>
      <c r="C115" t="s">
        <v>40</v>
      </c>
      <c r="D115" t="s">
        <v>59</v>
      </c>
      <c r="E115" t="s">
        <v>64</v>
      </c>
      <c r="F115" t="s">
        <v>76</v>
      </c>
      <c r="G115">
        <v>10663.15</v>
      </c>
      <c r="H115">
        <v>25</v>
      </c>
      <c r="I115">
        <v>7997.3624999999993</v>
      </c>
      <c r="J115">
        <v>3</v>
      </c>
      <c r="K115">
        <v>23992.09</v>
      </c>
      <c r="L115">
        <v>8397.23</v>
      </c>
      <c r="M115" s="2">
        <v>45365</v>
      </c>
      <c r="N115" s="2">
        <v>45370</v>
      </c>
    </row>
    <row r="116" spans="1:14" x14ac:dyDescent="0.3">
      <c r="A116" t="s">
        <v>21</v>
      </c>
      <c r="B116" t="s">
        <v>34</v>
      </c>
      <c r="C116" t="s">
        <v>51</v>
      </c>
      <c r="D116" t="s">
        <v>59</v>
      </c>
      <c r="E116" t="s">
        <v>64</v>
      </c>
      <c r="F116" t="s">
        <v>76</v>
      </c>
      <c r="G116">
        <v>4012.97</v>
      </c>
      <c r="H116">
        <v>20</v>
      </c>
      <c r="I116">
        <v>3210.3760000000002</v>
      </c>
      <c r="J116">
        <v>5</v>
      </c>
      <c r="K116">
        <v>16051.88</v>
      </c>
      <c r="L116">
        <v>5618.16</v>
      </c>
      <c r="M116" s="2">
        <v>45311</v>
      </c>
      <c r="N116" s="2">
        <v>45317</v>
      </c>
    </row>
    <row r="117" spans="1:14" x14ac:dyDescent="0.3">
      <c r="A117" t="s">
        <v>28</v>
      </c>
      <c r="B117" t="s">
        <v>34</v>
      </c>
      <c r="C117" t="s">
        <v>45</v>
      </c>
      <c r="D117" t="s">
        <v>59</v>
      </c>
      <c r="E117" t="s">
        <v>63</v>
      </c>
      <c r="F117" t="s">
        <v>73</v>
      </c>
      <c r="G117">
        <v>1670.33</v>
      </c>
      <c r="H117">
        <v>20</v>
      </c>
      <c r="I117">
        <v>1336.2639999999999</v>
      </c>
      <c r="J117">
        <v>4</v>
      </c>
      <c r="K117">
        <v>5345.06</v>
      </c>
      <c r="L117">
        <v>1870.77</v>
      </c>
      <c r="M117" s="2">
        <v>45347</v>
      </c>
      <c r="N117" s="2">
        <v>45350</v>
      </c>
    </row>
    <row r="118" spans="1:14" x14ac:dyDescent="0.3">
      <c r="A118" t="s">
        <v>23</v>
      </c>
      <c r="B118" t="s">
        <v>35</v>
      </c>
      <c r="C118" t="s">
        <v>46</v>
      </c>
      <c r="D118" t="s">
        <v>59</v>
      </c>
      <c r="E118" t="s">
        <v>64</v>
      </c>
      <c r="F118" t="s">
        <v>74</v>
      </c>
      <c r="G118">
        <v>33191.550000000003</v>
      </c>
      <c r="H118">
        <v>5</v>
      </c>
      <c r="I118">
        <v>31531.9725</v>
      </c>
      <c r="J118">
        <v>5</v>
      </c>
      <c r="K118">
        <v>157659.85999999999</v>
      </c>
      <c r="L118">
        <v>55180.95</v>
      </c>
      <c r="M118" s="2">
        <v>45596</v>
      </c>
      <c r="N118" s="2">
        <v>45602</v>
      </c>
    </row>
    <row r="119" spans="1:14" x14ac:dyDescent="0.3">
      <c r="A119" t="s">
        <v>24</v>
      </c>
      <c r="B119" t="s">
        <v>32</v>
      </c>
      <c r="C119" t="s">
        <v>37</v>
      </c>
      <c r="D119" t="s">
        <v>59</v>
      </c>
      <c r="E119" t="s">
        <v>62</v>
      </c>
      <c r="F119" t="s">
        <v>66</v>
      </c>
      <c r="G119">
        <v>30969.97</v>
      </c>
      <c r="H119">
        <v>5</v>
      </c>
      <c r="I119">
        <v>29421.4715</v>
      </c>
      <c r="J119">
        <v>1</v>
      </c>
      <c r="K119">
        <v>29421.47</v>
      </c>
      <c r="L119">
        <v>10297.51</v>
      </c>
      <c r="M119" s="2">
        <v>45472</v>
      </c>
      <c r="N119" s="2">
        <v>45476</v>
      </c>
    </row>
    <row r="120" spans="1:14" x14ac:dyDescent="0.3">
      <c r="A120" t="s">
        <v>27</v>
      </c>
      <c r="B120" t="s">
        <v>35</v>
      </c>
      <c r="C120" t="s">
        <v>46</v>
      </c>
      <c r="D120" t="s">
        <v>59</v>
      </c>
      <c r="E120" t="s">
        <v>61</v>
      </c>
      <c r="F120" t="s">
        <v>71</v>
      </c>
      <c r="G120">
        <v>9107.0300000000007</v>
      </c>
      <c r="H120">
        <v>15</v>
      </c>
      <c r="I120">
        <v>7740.9754999999996</v>
      </c>
      <c r="J120">
        <v>1</v>
      </c>
      <c r="K120">
        <v>7740.98</v>
      </c>
      <c r="L120">
        <v>2709.34</v>
      </c>
      <c r="M120" s="2">
        <v>45407</v>
      </c>
      <c r="N120" s="2">
        <v>45414</v>
      </c>
    </row>
    <row r="121" spans="1:14" x14ac:dyDescent="0.3">
      <c r="A121" t="s">
        <v>18</v>
      </c>
      <c r="B121" t="s">
        <v>33</v>
      </c>
      <c r="C121" t="s">
        <v>38</v>
      </c>
      <c r="D121" t="s">
        <v>59</v>
      </c>
      <c r="E121" t="s">
        <v>61</v>
      </c>
      <c r="F121" t="s">
        <v>70</v>
      </c>
      <c r="G121">
        <v>60202.06</v>
      </c>
      <c r="H121">
        <v>0</v>
      </c>
      <c r="I121">
        <v>60202.06</v>
      </c>
      <c r="J121">
        <v>1</v>
      </c>
      <c r="K121">
        <v>60202.06</v>
      </c>
      <c r="L121">
        <v>21070.720000000001</v>
      </c>
      <c r="M121" s="2">
        <v>45625</v>
      </c>
      <c r="N121" s="2">
        <v>45634</v>
      </c>
    </row>
    <row r="122" spans="1:14" x14ac:dyDescent="0.3">
      <c r="A122" t="s">
        <v>28</v>
      </c>
      <c r="B122" t="s">
        <v>34</v>
      </c>
      <c r="C122" t="s">
        <v>52</v>
      </c>
      <c r="D122" t="s">
        <v>60</v>
      </c>
      <c r="E122" t="s">
        <v>63</v>
      </c>
      <c r="F122" t="s">
        <v>68</v>
      </c>
      <c r="G122">
        <v>1177.9000000000001</v>
      </c>
      <c r="H122">
        <v>5</v>
      </c>
      <c r="I122">
        <v>1119.0050000000001</v>
      </c>
      <c r="J122">
        <v>3</v>
      </c>
      <c r="K122">
        <v>3357.02</v>
      </c>
      <c r="L122">
        <v>503.55</v>
      </c>
      <c r="M122" s="2">
        <v>45777</v>
      </c>
      <c r="N122" s="2">
        <v>45785</v>
      </c>
    </row>
    <row r="123" spans="1:14" x14ac:dyDescent="0.3">
      <c r="A123" t="s">
        <v>18</v>
      </c>
      <c r="B123" t="s">
        <v>33</v>
      </c>
      <c r="C123" t="s">
        <v>39</v>
      </c>
      <c r="D123" t="s">
        <v>58</v>
      </c>
      <c r="E123" t="s">
        <v>61</v>
      </c>
      <c r="F123" t="s">
        <v>71</v>
      </c>
      <c r="G123">
        <v>51046.35</v>
      </c>
      <c r="H123">
        <v>0</v>
      </c>
      <c r="I123">
        <v>51046.35</v>
      </c>
      <c r="J123">
        <v>1</v>
      </c>
      <c r="K123">
        <v>51046.35</v>
      </c>
      <c r="L123">
        <v>12761.59</v>
      </c>
      <c r="M123" s="2">
        <v>45783</v>
      </c>
      <c r="N123" s="2">
        <v>45791</v>
      </c>
    </row>
    <row r="124" spans="1:14" x14ac:dyDescent="0.3">
      <c r="A124" t="s">
        <v>26</v>
      </c>
      <c r="B124" t="s">
        <v>32</v>
      </c>
      <c r="C124" t="s">
        <v>40</v>
      </c>
      <c r="D124" t="s">
        <v>59</v>
      </c>
      <c r="E124" t="s">
        <v>64</v>
      </c>
      <c r="F124" t="s">
        <v>74</v>
      </c>
      <c r="G124">
        <v>45161.440000000002</v>
      </c>
      <c r="H124">
        <v>25</v>
      </c>
      <c r="I124">
        <v>33871.08</v>
      </c>
      <c r="J124">
        <v>4</v>
      </c>
      <c r="K124">
        <v>135484.32</v>
      </c>
      <c r="L124">
        <v>47419.51</v>
      </c>
      <c r="M124" s="2">
        <v>45726</v>
      </c>
      <c r="N124" s="2">
        <v>45736</v>
      </c>
    </row>
    <row r="125" spans="1:14" x14ac:dyDescent="0.3">
      <c r="A125" t="s">
        <v>27</v>
      </c>
      <c r="B125" t="s">
        <v>35</v>
      </c>
      <c r="C125" t="s">
        <v>48</v>
      </c>
      <c r="D125" t="s">
        <v>58</v>
      </c>
      <c r="E125" t="s">
        <v>64</v>
      </c>
      <c r="F125" t="s">
        <v>76</v>
      </c>
      <c r="G125">
        <v>8655.56</v>
      </c>
      <c r="H125">
        <v>10</v>
      </c>
      <c r="I125">
        <v>7790.0039999999999</v>
      </c>
      <c r="J125">
        <v>5</v>
      </c>
      <c r="K125">
        <v>38950.019999999997</v>
      </c>
      <c r="L125">
        <v>9737.5</v>
      </c>
      <c r="M125" s="2">
        <v>45795</v>
      </c>
      <c r="N125" s="2">
        <v>45801</v>
      </c>
    </row>
    <row r="126" spans="1:14" x14ac:dyDescent="0.3">
      <c r="A126" t="s">
        <v>20</v>
      </c>
      <c r="B126" t="s">
        <v>32</v>
      </c>
      <c r="C126" t="s">
        <v>37</v>
      </c>
      <c r="D126" t="s">
        <v>59</v>
      </c>
      <c r="E126" t="s">
        <v>63</v>
      </c>
      <c r="F126" t="s">
        <v>73</v>
      </c>
      <c r="G126">
        <v>35902.81</v>
      </c>
      <c r="H126">
        <v>5</v>
      </c>
      <c r="I126">
        <v>34107.669500000004</v>
      </c>
      <c r="J126">
        <v>4</v>
      </c>
      <c r="K126">
        <v>136430.68</v>
      </c>
      <c r="L126">
        <v>47750.74</v>
      </c>
      <c r="M126" s="2">
        <v>45625</v>
      </c>
      <c r="N126" s="2">
        <v>45635</v>
      </c>
    </row>
    <row r="127" spans="1:14" x14ac:dyDescent="0.3">
      <c r="A127" t="s">
        <v>20</v>
      </c>
      <c r="B127" t="s">
        <v>32</v>
      </c>
      <c r="C127" t="s">
        <v>43</v>
      </c>
      <c r="D127" t="s">
        <v>58</v>
      </c>
      <c r="E127" t="s">
        <v>61</v>
      </c>
      <c r="F127" t="s">
        <v>70</v>
      </c>
      <c r="G127">
        <v>28761.19</v>
      </c>
      <c r="H127">
        <v>10</v>
      </c>
      <c r="I127">
        <v>25885.071</v>
      </c>
      <c r="J127">
        <v>5</v>
      </c>
      <c r="K127">
        <v>129425.35</v>
      </c>
      <c r="L127">
        <v>32356.34</v>
      </c>
      <c r="M127" s="2">
        <v>45849</v>
      </c>
      <c r="N127" s="2">
        <v>45857</v>
      </c>
    </row>
    <row r="128" spans="1:14" x14ac:dyDescent="0.3">
      <c r="A128" t="s">
        <v>22</v>
      </c>
      <c r="B128" t="s">
        <v>31</v>
      </c>
      <c r="C128" t="s">
        <v>42</v>
      </c>
      <c r="D128" t="s">
        <v>60</v>
      </c>
      <c r="E128" t="s">
        <v>62</v>
      </c>
      <c r="F128" t="s">
        <v>69</v>
      </c>
      <c r="G128">
        <v>3029.47</v>
      </c>
      <c r="H128">
        <v>10</v>
      </c>
      <c r="I128">
        <v>2726.5230000000001</v>
      </c>
      <c r="J128">
        <v>4</v>
      </c>
      <c r="K128">
        <v>10906.09</v>
      </c>
      <c r="L128">
        <v>1635.91</v>
      </c>
      <c r="M128" s="2">
        <v>45780</v>
      </c>
      <c r="N128" s="2">
        <v>45782</v>
      </c>
    </row>
    <row r="129" spans="1:14" x14ac:dyDescent="0.3">
      <c r="A129" t="s">
        <v>18</v>
      </c>
      <c r="B129" t="s">
        <v>33</v>
      </c>
      <c r="C129" t="s">
        <v>53</v>
      </c>
      <c r="D129" t="s">
        <v>58</v>
      </c>
      <c r="E129" t="s">
        <v>61</v>
      </c>
      <c r="F129" t="s">
        <v>65</v>
      </c>
      <c r="G129">
        <v>51389.67</v>
      </c>
      <c r="H129">
        <v>10</v>
      </c>
      <c r="I129">
        <v>46250.703000000001</v>
      </c>
      <c r="J129">
        <v>3</v>
      </c>
      <c r="K129">
        <v>138752.10999999999</v>
      </c>
      <c r="L129">
        <v>34688.03</v>
      </c>
      <c r="M129" s="2">
        <v>45679</v>
      </c>
      <c r="N129" s="2">
        <v>45688</v>
      </c>
    </row>
    <row r="130" spans="1:14" x14ac:dyDescent="0.3">
      <c r="A130" t="s">
        <v>24</v>
      </c>
      <c r="B130" t="s">
        <v>32</v>
      </c>
      <c r="C130" t="s">
        <v>40</v>
      </c>
      <c r="D130" t="s">
        <v>59</v>
      </c>
      <c r="E130" t="s">
        <v>62</v>
      </c>
      <c r="F130" t="s">
        <v>66</v>
      </c>
      <c r="G130">
        <v>31914.62</v>
      </c>
      <c r="H130">
        <v>10</v>
      </c>
      <c r="I130">
        <v>28723.157999999999</v>
      </c>
      <c r="J130">
        <v>1</v>
      </c>
      <c r="K130">
        <v>28723.16</v>
      </c>
      <c r="L130">
        <v>10053.11</v>
      </c>
      <c r="M130" s="2">
        <v>45377</v>
      </c>
      <c r="N130" s="2">
        <v>45386</v>
      </c>
    </row>
    <row r="131" spans="1:14" x14ac:dyDescent="0.3">
      <c r="A131" t="s">
        <v>19</v>
      </c>
      <c r="B131" t="s">
        <v>33</v>
      </c>
      <c r="C131" t="s">
        <v>56</v>
      </c>
      <c r="D131" t="s">
        <v>60</v>
      </c>
      <c r="E131" t="s">
        <v>63</v>
      </c>
      <c r="F131" t="s">
        <v>75</v>
      </c>
      <c r="G131">
        <v>1606.18</v>
      </c>
      <c r="H131">
        <v>25</v>
      </c>
      <c r="I131">
        <v>1204.635</v>
      </c>
      <c r="J131">
        <v>1</v>
      </c>
      <c r="K131">
        <v>1204.6300000000001</v>
      </c>
      <c r="L131">
        <v>180.69</v>
      </c>
      <c r="M131" s="2">
        <v>45745</v>
      </c>
      <c r="N131" s="2">
        <v>45750</v>
      </c>
    </row>
    <row r="132" spans="1:14" x14ac:dyDescent="0.3">
      <c r="A132" t="s">
        <v>19</v>
      </c>
      <c r="B132" t="s">
        <v>33</v>
      </c>
      <c r="C132" t="s">
        <v>50</v>
      </c>
      <c r="D132" t="s">
        <v>59</v>
      </c>
      <c r="E132" t="s">
        <v>62</v>
      </c>
      <c r="F132" t="s">
        <v>67</v>
      </c>
      <c r="G132">
        <v>2371.38</v>
      </c>
      <c r="H132">
        <v>15</v>
      </c>
      <c r="I132">
        <v>2015.673</v>
      </c>
      <c r="J132">
        <v>4</v>
      </c>
      <c r="K132">
        <v>8062.69</v>
      </c>
      <c r="L132">
        <v>2821.94</v>
      </c>
      <c r="M132" s="2">
        <v>45614</v>
      </c>
      <c r="N132" s="2">
        <v>45617</v>
      </c>
    </row>
    <row r="133" spans="1:14" x14ac:dyDescent="0.3">
      <c r="A133" t="s">
        <v>29</v>
      </c>
      <c r="B133" t="s">
        <v>35</v>
      </c>
      <c r="C133" t="s">
        <v>46</v>
      </c>
      <c r="D133" t="s">
        <v>59</v>
      </c>
      <c r="E133" t="s">
        <v>61</v>
      </c>
      <c r="F133" t="s">
        <v>71</v>
      </c>
      <c r="G133">
        <v>21479.43</v>
      </c>
      <c r="H133">
        <v>20</v>
      </c>
      <c r="I133">
        <v>17183.544000000002</v>
      </c>
      <c r="J133">
        <v>1</v>
      </c>
      <c r="K133">
        <v>17183.54</v>
      </c>
      <c r="L133">
        <v>6014.24</v>
      </c>
      <c r="M133" s="2">
        <v>45491</v>
      </c>
      <c r="N133" s="2">
        <v>45493</v>
      </c>
    </row>
    <row r="134" spans="1:14" x14ac:dyDescent="0.3">
      <c r="A134" t="s">
        <v>17</v>
      </c>
      <c r="B134" t="s">
        <v>32</v>
      </c>
      <c r="C134" t="s">
        <v>43</v>
      </c>
      <c r="D134" t="s">
        <v>58</v>
      </c>
      <c r="E134" t="s">
        <v>61</v>
      </c>
      <c r="F134" t="s">
        <v>70</v>
      </c>
      <c r="G134">
        <v>7627.93</v>
      </c>
      <c r="H134">
        <v>15</v>
      </c>
      <c r="I134">
        <v>6483.7404999999999</v>
      </c>
      <c r="J134">
        <v>5</v>
      </c>
      <c r="K134">
        <v>32418.7</v>
      </c>
      <c r="L134">
        <v>8104.68</v>
      </c>
      <c r="M134" s="2">
        <v>45835</v>
      </c>
      <c r="N134" s="2">
        <v>45838</v>
      </c>
    </row>
    <row r="135" spans="1:14" x14ac:dyDescent="0.3">
      <c r="A135" t="s">
        <v>29</v>
      </c>
      <c r="B135" t="s">
        <v>35</v>
      </c>
      <c r="C135" t="s">
        <v>38</v>
      </c>
      <c r="D135" t="s">
        <v>59</v>
      </c>
      <c r="E135" t="s">
        <v>63</v>
      </c>
      <c r="F135" t="s">
        <v>75</v>
      </c>
      <c r="G135">
        <v>21213.02</v>
      </c>
      <c r="H135">
        <v>0</v>
      </c>
      <c r="I135">
        <v>21213.02</v>
      </c>
      <c r="J135">
        <v>5</v>
      </c>
      <c r="K135">
        <v>106065.1</v>
      </c>
      <c r="L135">
        <v>37122.78</v>
      </c>
      <c r="M135" s="2">
        <v>45540</v>
      </c>
      <c r="N135" s="2">
        <v>45544</v>
      </c>
    </row>
    <row r="136" spans="1:14" x14ac:dyDescent="0.3">
      <c r="A136" t="s">
        <v>20</v>
      </c>
      <c r="B136" t="s">
        <v>32</v>
      </c>
      <c r="C136" t="s">
        <v>40</v>
      </c>
      <c r="D136" t="s">
        <v>59</v>
      </c>
      <c r="E136" t="s">
        <v>62</v>
      </c>
      <c r="F136" t="s">
        <v>67</v>
      </c>
      <c r="G136">
        <v>38305.269999999997</v>
      </c>
      <c r="H136">
        <v>20</v>
      </c>
      <c r="I136">
        <v>30644.216</v>
      </c>
      <c r="J136">
        <v>2</v>
      </c>
      <c r="K136">
        <v>61288.43</v>
      </c>
      <c r="L136">
        <v>21450.95</v>
      </c>
      <c r="M136" s="2">
        <v>45835</v>
      </c>
      <c r="N136" s="2">
        <v>45843</v>
      </c>
    </row>
    <row r="137" spans="1:14" x14ac:dyDescent="0.3">
      <c r="A137" t="s">
        <v>23</v>
      </c>
      <c r="B137" t="s">
        <v>35</v>
      </c>
      <c r="C137" t="s">
        <v>48</v>
      </c>
      <c r="D137" t="s">
        <v>58</v>
      </c>
      <c r="E137" t="s">
        <v>63</v>
      </c>
      <c r="F137" t="s">
        <v>68</v>
      </c>
      <c r="G137">
        <v>24530.69</v>
      </c>
      <c r="H137">
        <v>0</v>
      </c>
      <c r="I137">
        <v>24530.69</v>
      </c>
      <c r="J137">
        <v>4</v>
      </c>
      <c r="K137">
        <v>98122.76</v>
      </c>
      <c r="L137">
        <v>24530.69</v>
      </c>
      <c r="M137" s="2">
        <v>45606</v>
      </c>
      <c r="N137" s="2">
        <v>45614</v>
      </c>
    </row>
    <row r="138" spans="1:14" x14ac:dyDescent="0.3">
      <c r="A138" t="s">
        <v>24</v>
      </c>
      <c r="B138" t="s">
        <v>32</v>
      </c>
      <c r="C138" t="s">
        <v>43</v>
      </c>
      <c r="D138" t="s">
        <v>58</v>
      </c>
      <c r="E138" t="s">
        <v>63</v>
      </c>
      <c r="F138" t="s">
        <v>68</v>
      </c>
      <c r="G138">
        <v>23167.87</v>
      </c>
      <c r="H138">
        <v>20</v>
      </c>
      <c r="I138">
        <v>18534.295999999998</v>
      </c>
      <c r="J138">
        <v>4</v>
      </c>
      <c r="K138">
        <v>74137.179999999993</v>
      </c>
      <c r="L138">
        <v>18534.29</v>
      </c>
      <c r="M138" s="2">
        <v>45716</v>
      </c>
      <c r="N138" s="2">
        <v>45719</v>
      </c>
    </row>
    <row r="139" spans="1:14" x14ac:dyDescent="0.3">
      <c r="A139" t="s">
        <v>20</v>
      </c>
      <c r="B139" t="s">
        <v>32</v>
      </c>
      <c r="C139" t="s">
        <v>43</v>
      </c>
      <c r="D139" t="s">
        <v>58</v>
      </c>
      <c r="E139" t="s">
        <v>63</v>
      </c>
      <c r="F139" t="s">
        <v>73</v>
      </c>
      <c r="G139">
        <v>29338.62</v>
      </c>
      <c r="H139">
        <v>5</v>
      </c>
      <c r="I139">
        <v>27871.688999999998</v>
      </c>
      <c r="J139">
        <v>4</v>
      </c>
      <c r="K139">
        <v>111486.76</v>
      </c>
      <c r="L139">
        <v>27871.69</v>
      </c>
      <c r="M139" s="2">
        <v>45735</v>
      </c>
      <c r="N139" s="2">
        <v>45740</v>
      </c>
    </row>
    <row r="140" spans="1:14" x14ac:dyDescent="0.3">
      <c r="A140" t="s">
        <v>29</v>
      </c>
      <c r="B140" t="s">
        <v>35</v>
      </c>
      <c r="C140" t="s">
        <v>46</v>
      </c>
      <c r="D140" t="s">
        <v>59</v>
      </c>
      <c r="E140" t="s">
        <v>63</v>
      </c>
      <c r="F140" t="s">
        <v>68</v>
      </c>
      <c r="G140">
        <v>19963.52</v>
      </c>
      <c r="H140">
        <v>25</v>
      </c>
      <c r="I140">
        <v>14972.64</v>
      </c>
      <c r="J140">
        <v>1</v>
      </c>
      <c r="K140">
        <v>14972.64</v>
      </c>
      <c r="L140">
        <v>5240.42</v>
      </c>
      <c r="M140" s="2">
        <v>45627</v>
      </c>
      <c r="N140" s="2">
        <v>45632</v>
      </c>
    </row>
    <row r="141" spans="1:14" x14ac:dyDescent="0.3">
      <c r="A141" t="s">
        <v>28</v>
      </c>
      <c r="B141" t="s">
        <v>34</v>
      </c>
      <c r="C141" t="s">
        <v>49</v>
      </c>
      <c r="D141" t="s">
        <v>59</v>
      </c>
      <c r="E141" t="s">
        <v>62</v>
      </c>
      <c r="F141" t="s">
        <v>67</v>
      </c>
      <c r="G141">
        <v>1915.25</v>
      </c>
      <c r="H141">
        <v>20</v>
      </c>
      <c r="I141">
        <v>1532.2</v>
      </c>
      <c r="J141">
        <v>1</v>
      </c>
      <c r="K141">
        <v>1532.2</v>
      </c>
      <c r="L141">
        <v>536.27</v>
      </c>
      <c r="M141" s="2">
        <v>45560</v>
      </c>
      <c r="N141" s="2">
        <v>45567</v>
      </c>
    </row>
    <row r="142" spans="1:14" x14ac:dyDescent="0.3">
      <c r="A142" t="s">
        <v>16</v>
      </c>
      <c r="B142" t="s">
        <v>31</v>
      </c>
      <c r="C142" t="s">
        <v>42</v>
      </c>
      <c r="D142" t="s">
        <v>60</v>
      </c>
      <c r="E142" t="s">
        <v>64</v>
      </c>
      <c r="F142" t="s">
        <v>74</v>
      </c>
      <c r="G142">
        <v>2304.21</v>
      </c>
      <c r="H142">
        <v>20</v>
      </c>
      <c r="I142">
        <v>1843.3679999999999</v>
      </c>
      <c r="J142">
        <v>4</v>
      </c>
      <c r="K142">
        <v>7373.47</v>
      </c>
      <c r="L142">
        <v>1106.02</v>
      </c>
      <c r="M142" s="2">
        <v>45807</v>
      </c>
      <c r="N142" s="2">
        <v>45810</v>
      </c>
    </row>
    <row r="143" spans="1:14" x14ac:dyDescent="0.3">
      <c r="A143" t="s">
        <v>27</v>
      </c>
      <c r="B143" t="s">
        <v>35</v>
      </c>
      <c r="C143" t="s">
        <v>38</v>
      </c>
      <c r="D143" t="s">
        <v>59</v>
      </c>
      <c r="E143" t="s">
        <v>64</v>
      </c>
      <c r="F143" t="s">
        <v>72</v>
      </c>
      <c r="G143">
        <v>10129.48</v>
      </c>
      <c r="H143">
        <v>5</v>
      </c>
      <c r="I143">
        <v>9623.0059999999994</v>
      </c>
      <c r="J143">
        <v>5</v>
      </c>
      <c r="K143">
        <v>48115.03</v>
      </c>
      <c r="L143">
        <v>16840.259999999998</v>
      </c>
      <c r="M143" s="2">
        <v>45318</v>
      </c>
      <c r="N143" s="2">
        <v>45320</v>
      </c>
    </row>
    <row r="144" spans="1:14" x14ac:dyDescent="0.3">
      <c r="A144" t="s">
        <v>20</v>
      </c>
      <c r="B144" t="s">
        <v>32</v>
      </c>
      <c r="C144" t="s">
        <v>43</v>
      </c>
      <c r="D144" t="s">
        <v>58</v>
      </c>
      <c r="E144" t="s">
        <v>63</v>
      </c>
      <c r="F144" t="s">
        <v>73</v>
      </c>
      <c r="G144">
        <v>27275.06</v>
      </c>
      <c r="H144">
        <v>0</v>
      </c>
      <c r="I144">
        <v>27275.06</v>
      </c>
      <c r="J144">
        <v>3</v>
      </c>
      <c r="K144">
        <v>81825.179999999993</v>
      </c>
      <c r="L144">
        <v>20456.29</v>
      </c>
      <c r="M144" s="2">
        <v>45541</v>
      </c>
      <c r="N144" s="2">
        <v>45547</v>
      </c>
    </row>
    <row r="145" spans="1:14" x14ac:dyDescent="0.3">
      <c r="A145" t="s">
        <v>30</v>
      </c>
      <c r="B145" t="s">
        <v>33</v>
      </c>
      <c r="C145" t="s">
        <v>57</v>
      </c>
      <c r="D145" t="s">
        <v>60</v>
      </c>
      <c r="E145" t="s">
        <v>61</v>
      </c>
      <c r="F145" t="s">
        <v>71</v>
      </c>
      <c r="G145">
        <v>12960.34</v>
      </c>
      <c r="H145">
        <v>20</v>
      </c>
      <c r="I145">
        <v>10368.272000000001</v>
      </c>
      <c r="J145">
        <v>3</v>
      </c>
      <c r="K145">
        <v>31104.82</v>
      </c>
      <c r="L145">
        <v>4665.72</v>
      </c>
      <c r="M145" s="2">
        <v>45840</v>
      </c>
      <c r="N145" s="2">
        <v>45844</v>
      </c>
    </row>
    <row r="146" spans="1:14" x14ac:dyDescent="0.3">
      <c r="A146" t="s">
        <v>22</v>
      </c>
      <c r="B146" t="s">
        <v>31</v>
      </c>
      <c r="C146" t="s">
        <v>36</v>
      </c>
      <c r="D146" t="s">
        <v>58</v>
      </c>
      <c r="E146" t="s">
        <v>64</v>
      </c>
      <c r="F146" t="s">
        <v>74</v>
      </c>
      <c r="G146">
        <v>3783.03</v>
      </c>
      <c r="H146">
        <v>25</v>
      </c>
      <c r="I146">
        <v>2837.2725</v>
      </c>
      <c r="J146">
        <v>5</v>
      </c>
      <c r="K146">
        <v>14186.36</v>
      </c>
      <c r="L146">
        <v>3546.59</v>
      </c>
      <c r="M146" s="2">
        <v>45799</v>
      </c>
      <c r="N146" s="2">
        <v>45807</v>
      </c>
    </row>
    <row r="147" spans="1:14" x14ac:dyDescent="0.3">
      <c r="A147" t="s">
        <v>19</v>
      </c>
      <c r="B147" t="s">
        <v>33</v>
      </c>
      <c r="C147" t="s">
        <v>53</v>
      </c>
      <c r="D147" t="s">
        <v>58</v>
      </c>
      <c r="E147" t="s">
        <v>61</v>
      </c>
      <c r="F147" t="s">
        <v>65</v>
      </c>
      <c r="G147">
        <v>1970.09</v>
      </c>
      <c r="H147">
        <v>25</v>
      </c>
      <c r="I147">
        <v>1477.5675000000001</v>
      </c>
      <c r="J147">
        <v>2</v>
      </c>
      <c r="K147">
        <v>2955.13</v>
      </c>
      <c r="L147">
        <v>738.78</v>
      </c>
      <c r="M147" s="2">
        <v>45585</v>
      </c>
      <c r="N147" s="2">
        <v>45592</v>
      </c>
    </row>
    <row r="148" spans="1:14" x14ac:dyDescent="0.3">
      <c r="A148" t="s">
        <v>23</v>
      </c>
      <c r="B148" t="s">
        <v>35</v>
      </c>
      <c r="C148" t="s">
        <v>48</v>
      </c>
      <c r="D148" t="s">
        <v>58</v>
      </c>
      <c r="E148" t="s">
        <v>63</v>
      </c>
      <c r="F148" t="s">
        <v>68</v>
      </c>
      <c r="G148">
        <v>24664</v>
      </c>
      <c r="H148">
        <v>30</v>
      </c>
      <c r="I148">
        <v>17264.8</v>
      </c>
      <c r="J148">
        <v>3</v>
      </c>
      <c r="K148">
        <v>51794.400000000001</v>
      </c>
      <c r="L148">
        <v>12948.6</v>
      </c>
      <c r="M148" s="2">
        <v>45713</v>
      </c>
      <c r="N148" s="2">
        <v>45719</v>
      </c>
    </row>
    <row r="149" spans="1:14" x14ac:dyDescent="0.3">
      <c r="A149" t="s">
        <v>29</v>
      </c>
      <c r="B149" t="s">
        <v>35</v>
      </c>
      <c r="C149" t="s">
        <v>46</v>
      </c>
      <c r="D149" t="s">
        <v>59</v>
      </c>
      <c r="E149" t="s">
        <v>63</v>
      </c>
      <c r="F149" t="s">
        <v>68</v>
      </c>
      <c r="G149">
        <v>21249.4</v>
      </c>
      <c r="H149">
        <v>30</v>
      </c>
      <c r="I149">
        <v>14874.58</v>
      </c>
      <c r="J149">
        <v>5</v>
      </c>
      <c r="K149">
        <v>74372.899999999994</v>
      </c>
      <c r="L149">
        <v>26030.51</v>
      </c>
      <c r="M149" s="2">
        <v>45826</v>
      </c>
      <c r="N149" s="2">
        <v>45834</v>
      </c>
    </row>
    <row r="150" spans="1:14" x14ac:dyDescent="0.3">
      <c r="A150" t="s">
        <v>19</v>
      </c>
      <c r="B150" t="s">
        <v>33</v>
      </c>
      <c r="C150" t="s">
        <v>53</v>
      </c>
      <c r="D150" t="s">
        <v>58</v>
      </c>
      <c r="E150" t="s">
        <v>64</v>
      </c>
      <c r="F150" t="s">
        <v>72</v>
      </c>
      <c r="G150">
        <v>2141.9499999999998</v>
      </c>
      <c r="H150">
        <v>30</v>
      </c>
      <c r="I150">
        <v>1499.365</v>
      </c>
      <c r="J150">
        <v>4</v>
      </c>
      <c r="K150">
        <v>5997.46</v>
      </c>
      <c r="L150">
        <v>1499.37</v>
      </c>
      <c r="M150" s="2">
        <v>45485</v>
      </c>
      <c r="N150" s="2">
        <v>45487</v>
      </c>
    </row>
    <row r="151" spans="1:14" x14ac:dyDescent="0.3">
      <c r="A151" t="s">
        <v>29</v>
      </c>
      <c r="B151" t="s">
        <v>35</v>
      </c>
      <c r="C151" t="s">
        <v>48</v>
      </c>
      <c r="D151" t="s">
        <v>58</v>
      </c>
      <c r="E151" t="s">
        <v>64</v>
      </c>
      <c r="F151" t="s">
        <v>72</v>
      </c>
      <c r="G151">
        <v>19781.11</v>
      </c>
      <c r="H151">
        <v>5</v>
      </c>
      <c r="I151">
        <v>18792.054499999998</v>
      </c>
      <c r="J151">
        <v>2</v>
      </c>
      <c r="K151">
        <v>37584.11</v>
      </c>
      <c r="L151">
        <v>9396.0300000000007</v>
      </c>
      <c r="M151" s="2">
        <v>45731</v>
      </c>
      <c r="N151" s="2">
        <v>45741</v>
      </c>
    </row>
    <row r="152" spans="1:14" x14ac:dyDescent="0.3">
      <c r="A152" t="s">
        <v>19</v>
      </c>
      <c r="B152" t="s">
        <v>33</v>
      </c>
      <c r="C152" t="s">
        <v>39</v>
      </c>
      <c r="D152" t="s">
        <v>58</v>
      </c>
      <c r="E152" t="s">
        <v>61</v>
      </c>
      <c r="F152" t="s">
        <v>65</v>
      </c>
      <c r="G152">
        <v>1995.79</v>
      </c>
      <c r="H152">
        <v>30</v>
      </c>
      <c r="I152">
        <v>1397.0530000000001</v>
      </c>
      <c r="J152">
        <v>2</v>
      </c>
      <c r="K152">
        <v>2794.11</v>
      </c>
      <c r="L152">
        <v>698.53</v>
      </c>
      <c r="M152" s="2">
        <v>45865</v>
      </c>
      <c r="N152" s="2">
        <v>45869</v>
      </c>
    </row>
    <row r="153" spans="1:14" x14ac:dyDescent="0.3">
      <c r="A153" t="s">
        <v>18</v>
      </c>
      <c r="B153" t="s">
        <v>33</v>
      </c>
      <c r="C153" t="s">
        <v>56</v>
      </c>
      <c r="D153" t="s">
        <v>60</v>
      </c>
      <c r="E153" t="s">
        <v>61</v>
      </c>
      <c r="F153" t="s">
        <v>70</v>
      </c>
      <c r="G153">
        <v>43710.07</v>
      </c>
      <c r="H153">
        <v>25</v>
      </c>
      <c r="I153">
        <v>32782.552499999998</v>
      </c>
      <c r="J153">
        <v>4</v>
      </c>
      <c r="K153">
        <v>131130.21</v>
      </c>
      <c r="L153">
        <v>19669.53</v>
      </c>
      <c r="M153" s="2">
        <v>45704</v>
      </c>
      <c r="N153" s="2">
        <v>45706</v>
      </c>
    </row>
    <row r="154" spans="1:14" x14ac:dyDescent="0.3">
      <c r="A154" t="s">
        <v>25</v>
      </c>
      <c r="B154" t="s">
        <v>34</v>
      </c>
      <c r="C154" t="s">
        <v>51</v>
      </c>
      <c r="D154" t="s">
        <v>59</v>
      </c>
      <c r="E154" t="s">
        <v>61</v>
      </c>
      <c r="F154" t="s">
        <v>65</v>
      </c>
      <c r="G154">
        <v>981.44</v>
      </c>
      <c r="H154">
        <v>20</v>
      </c>
      <c r="I154">
        <v>785.15200000000004</v>
      </c>
      <c r="J154">
        <v>4</v>
      </c>
      <c r="K154">
        <v>3140.61</v>
      </c>
      <c r="L154">
        <v>1099.21</v>
      </c>
      <c r="M154" s="2">
        <v>45811</v>
      </c>
      <c r="N154" s="2">
        <v>45818</v>
      </c>
    </row>
    <row r="155" spans="1:14" x14ac:dyDescent="0.3">
      <c r="A155" t="s">
        <v>18</v>
      </c>
      <c r="B155" t="s">
        <v>33</v>
      </c>
      <c r="C155" t="s">
        <v>53</v>
      </c>
      <c r="D155" t="s">
        <v>58</v>
      </c>
      <c r="E155" t="s">
        <v>64</v>
      </c>
      <c r="F155" t="s">
        <v>72</v>
      </c>
      <c r="G155">
        <v>55826.45</v>
      </c>
      <c r="H155">
        <v>15</v>
      </c>
      <c r="I155">
        <v>47452.482499999998</v>
      </c>
      <c r="J155">
        <v>2</v>
      </c>
      <c r="K155">
        <v>94904.960000000006</v>
      </c>
      <c r="L155">
        <v>23726.240000000002</v>
      </c>
      <c r="M155" s="2">
        <v>45368</v>
      </c>
      <c r="N155" s="2">
        <v>45374</v>
      </c>
    </row>
    <row r="156" spans="1:14" x14ac:dyDescent="0.3">
      <c r="A156" t="s">
        <v>28</v>
      </c>
      <c r="B156" t="s">
        <v>34</v>
      </c>
      <c r="C156" t="s">
        <v>51</v>
      </c>
      <c r="D156" t="s">
        <v>59</v>
      </c>
      <c r="E156" t="s">
        <v>64</v>
      </c>
      <c r="F156" t="s">
        <v>76</v>
      </c>
      <c r="G156">
        <v>1864.87</v>
      </c>
      <c r="H156">
        <v>25</v>
      </c>
      <c r="I156">
        <v>1398.6524999999999</v>
      </c>
      <c r="J156">
        <v>4</v>
      </c>
      <c r="K156">
        <v>5594.61</v>
      </c>
      <c r="L156">
        <v>1958.11</v>
      </c>
      <c r="M156" s="2">
        <v>45667</v>
      </c>
      <c r="N156" s="2">
        <v>45676</v>
      </c>
    </row>
    <row r="157" spans="1:14" x14ac:dyDescent="0.3">
      <c r="A157" t="s">
        <v>21</v>
      </c>
      <c r="B157" t="s">
        <v>34</v>
      </c>
      <c r="C157" t="s">
        <v>41</v>
      </c>
      <c r="D157" t="s">
        <v>60</v>
      </c>
      <c r="E157" t="s">
        <v>61</v>
      </c>
      <c r="F157" t="s">
        <v>71</v>
      </c>
      <c r="G157">
        <v>2466.38</v>
      </c>
      <c r="H157">
        <v>25</v>
      </c>
      <c r="I157">
        <v>1849.7850000000001</v>
      </c>
      <c r="J157">
        <v>2</v>
      </c>
      <c r="K157">
        <v>3699.57</v>
      </c>
      <c r="L157">
        <v>554.94000000000005</v>
      </c>
      <c r="M157" s="2">
        <v>45777</v>
      </c>
      <c r="N157" s="2">
        <v>45784</v>
      </c>
    </row>
    <row r="158" spans="1:14" x14ac:dyDescent="0.3">
      <c r="A158" t="s">
        <v>17</v>
      </c>
      <c r="B158" t="s">
        <v>32</v>
      </c>
      <c r="C158" t="s">
        <v>54</v>
      </c>
      <c r="D158" t="s">
        <v>60</v>
      </c>
      <c r="E158" t="s">
        <v>63</v>
      </c>
      <c r="F158" t="s">
        <v>75</v>
      </c>
      <c r="G158">
        <v>6626.59</v>
      </c>
      <c r="H158">
        <v>5</v>
      </c>
      <c r="I158">
        <v>6295.2604999999994</v>
      </c>
      <c r="J158">
        <v>3</v>
      </c>
      <c r="K158">
        <v>18885.78</v>
      </c>
      <c r="L158">
        <v>2832.87</v>
      </c>
      <c r="M158" s="2">
        <v>45563</v>
      </c>
      <c r="N158" s="2">
        <v>45573</v>
      </c>
    </row>
    <row r="159" spans="1:14" x14ac:dyDescent="0.3">
      <c r="A159" t="s">
        <v>22</v>
      </c>
      <c r="B159" t="s">
        <v>31</v>
      </c>
      <c r="C159" t="s">
        <v>47</v>
      </c>
      <c r="D159" t="s">
        <v>59</v>
      </c>
      <c r="E159" t="s">
        <v>62</v>
      </c>
      <c r="F159" t="s">
        <v>67</v>
      </c>
      <c r="G159">
        <v>4216.32</v>
      </c>
      <c r="H159">
        <v>30</v>
      </c>
      <c r="I159">
        <v>2951.424</v>
      </c>
      <c r="J159">
        <v>1</v>
      </c>
      <c r="K159">
        <v>2951.42</v>
      </c>
      <c r="L159">
        <v>1033</v>
      </c>
      <c r="M159" s="2">
        <v>45472</v>
      </c>
      <c r="N159" s="2">
        <v>45481</v>
      </c>
    </row>
    <row r="160" spans="1:14" x14ac:dyDescent="0.3">
      <c r="A160" t="s">
        <v>28</v>
      </c>
      <c r="B160" t="s">
        <v>34</v>
      </c>
      <c r="C160" t="s">
        <v>41</v>
      </c>
      <c r="D160" t="s">
        <v>60</v>
      </c>
      <c r="E160" t="s">
        <v>63</v>
      </c>
      <c r="F160" t="s">
        <v>68</v>
      </c>
      <c r="G160">
        <v>1250.69</v>
      </c>
      <c r="H160">
        <v>5</v>
      </c>
      <c r="I160">
        <v>1188.1555000000001</v>
      </c>
      <c r="J160">
        <v>3</v>
      </c>
      <c r="K160">
        <v>3564.47</v>
      </c>
      <c r="L160">
        <v>534.66999999999996</v>
      </c>
      <c r="M160" s="2">
        <v>45545</v>
      </c>
      <c r="N160" s="2">
        <v>45552</v>
      </c>
    </row>
    <row r="161" spans="1:14" x14ac:dyDescent="0.3">
      <c r="A161" t="s">
        <v>28</v>
      </c>
      <c r="B161" t="s">
        <v>34</v>
      </c>
      <c r="C161" t="s">
        <v>49</v>
      </c>
      <c r="D161" t="s">
        <v>59</v>
      </c>
      <c r="E161" t="s">
        <v>64</v>
      </c>
      <c r="F161" t="s">
        <v>72</v>
      </c>
      <c r="G161">
        <v>1876.96</v>
      </c>
      <c r="H161">
        <v>15</v>
      </c>
      <c r="I161">
        <v>1595.4159999999999</v>
      </c>
      <c r="J161">
        <v>5</v>
      </c>
      <c r="K161">
        <v>7977.08</v>
      </c>
      <c r="L161">
        <v>2791.98</v>
      </c>
      <c r="M161" s="2">
        <v>45347</v>
      </c>
      <c r="N161" s="2">
        <v>45349</v>
      </c>
    </row>
    <row r="162" spans="1:14" x14ac:dyDescent="0.3">
      <c r="A162" t="s">
        <v>20</v>
      </c>
      <c r="B162" t="s">
        <v>32</v>
      </c>
      <c r="C162" t="s">
        <v>40</v>
      </c>
      <c r="D162" t="s">
        <v>59</v>
      </c>
      <c r="E162" t="s">
        <v>64</v>
      </c>
      <c r="F162" t="s">
        <v>76</v>
      </c>
      <c r="G162">
        <v>37616.82</v>
      </c>
      <c r="H162">
        <v>0</v>
      </c>
      <c r="I162">
        <v>37616.82</v>
      </c>
      <c r="J162">
        <v>2</v>
      </c>
      <c r="K162">
        <v>75233.64</v>
      </c>
      <c r="L162">
        <v>26331.77</v>
      </c>
      <c r="M162" s="2">
        <v>45559</v>
      </c>
      <c r="N162" s="2">
        <v>45561</v>
      </c>
    </row>
    <row r="163" spans="1:14" x14ac:dyDescent="0.3">
      <c r="A163" t="s">
        <v>17</v>
      </c>
      <c r="B163" t="s">
        <v>32</v>
      </c>
      <c r="C163" t="s">
        <v>40</v>
      </c>
      <c r="D163" t="s">
        <v>59</v>
      </c>
      <c r="E163" t="s">
        <v>62</v>
      </c>
      <c r="F163" t="s">
        <v>69</v>
      </c>
      <c r="G163">
        <v>9695.11</v>
      </c>
      <c r="H163">
        <v>5</v>
      </c>
      <c r="I163">
        <v>9210.3544999999995</v>
      </c>
      <c r="J163">
        <v>2</v>
      </c>
      <c r="K163">
        <v>18420.71</v>
      </c>
      <c r="L163">
        <v>6447.25</v>
      </c>
      <c r="M163" s="2">
        <v>45392</v>
      </c>
      <c r="N163" s="2">
        <v>45401</v>
      </c>
    </row>
    <row r="164" spans="1:14" x14ac:dyDescent="0.3">
      <c r="A164" t="s">
        <v>26</v>
      </c>
      <c r="B164" t="s">
        <v>32</v>
      </c>
      <c r="C164" t="s">
        <v>43</v>
      </c>
      <c r="D164" t="s">
        <v>58</v>
      </c>
      <c r="E164" t="s">
        <v>64</v>
      </c>
      <c r="F164" t="s">
        <v>74</v>
      </c>
      <c r="G164">
        <v>36265.07</v>
      </c>
      <c r="H164">
        <v>30</v>
      </c>
      <c r="I164">
        <v>25385.548999999999</v>
      </c>
      <c r="J164">
        <v>1</v>
      </c>
      <c r="K164">
        <v>25385.55</v>
      </c>
      <c r="L164">
        <v>6346.39</v>
      </c>
      <c r="M164" s="2">
        <v>45825</v>
      </c>
      <c r="N164" s="2">
        <v>45834</v>
      </c>
    </row>
    <row r="165" spans="1:14" x14ac:dyDescent="0.3">
      <c r="A165" t="s">
        <v>23</v>
      </c>
      <c r="B165" t="s">
        <v>35</v>
      </c>
      <c r="C165" t="s">
        <v>46</v>
      </c>
      <c r="D165" t="s">
        <v>59</v>
      </c>
      <c r="E165" t="s">
        <v>62</v>
      </c>
      <c r="F165" t="s">
        <v>66</v>
      </c>
      <c r="G165">
        <v>32483.43</v>
      </c>
      <c r="H165">
        <v>20</v>
      </c>
      <c r="I165">
        <v>25986.743999999999</v>
      </c>
      <c r="J165">
        <v>2</v>
      </c>
      <c r="K165">
        <v>51973.49</v>
      </c>
      <c r="L165">
        <v>18190.72</v>
      </c>
      <c r="M165" s="2">
        <v>45334</v>
      </c>
      <c r="N165" s="2">
        <v>45343</v>
      </c>
    </row>
    <row r="166" spans="1:14" x14ac:dyDescent="0.3">
      <c r="A166" t="s">
        <v>28</v>
      </c>
      <c r="B166" t="s">
        <v>34</v>
      </c>
      <c r="C166" t="s">
        <v>51</v>
      </c>
      <c r="D166" t="s">
        <v>59</v>
      </c>
      <c r="E166" t="s">
        <v>61</v>
      </c>
      <c r="F166" t="s">
        <v>70</v>
      </c>
      <c r="G166">
        <v>1698.07</v>
      </c>
      <c r="H166">
        <v>10</v>
      </c>
      <c r="I166">
        <v>1528.2629999999999</v>
      </c>
      <c r="J166">
        <v>2</v>
      </c>
      <c r="K166">
        <v>3056.53</v>
      </c>
      <c r="L166">
        <v>1069.79</v>
      </c>
      <c r="M166" s="2">
        <v>45578</v>
      </c>
      <c r="N166" s="2">
        <v>45586</v>
      </c>
    </row>
    <row r="167" spans="1:14" x14ac:dyDescent="0.3">
      <c r="A167" t="s">
        <v>23</v>
      </c>
      <c r="B167" t="s">
        <v>35</v>
      </c>
      <c r="C167" t="s">
        <v>48</v>
      </c>
      <c r="D167" t="s">
        <v>58</v>
      </c>
      <c r="E167" t="s">
        <v>64</v>
      </c>
      <c r="F167" t="s">
        <v>76</v>
      </c>
      <c r="G167">
        <v>27639.54</v>
      </c>
      <c r="H167">
        <v>30</v>
      </c>
      <c r="I167">
        <v>19347.678</v>
      </c>
      <c r="J167">
        <v>5</v>
      </c>
      <c r="K167">
        <v>96738.39</v>
      </c>
      <c r="L167">
        <v>24184.6</v>
      </c>
      <c r="M167" s="2">
        <v>45442</v>
      </c>
      <c r="N167" s="2">
        <v>45445</v>
      </c>
    </row>
    <row r="168" spans="1:14" x14ac:dyDescent="0.3">
      <c r="A168" t="s">
        <v>27</v>
      </c>
      <c r="B168" t="s">
        <v>35</v>
      </c>
      <c r="C168" t="s">
        <v>44</v>
      </c>
      <c r="D168" t="s">
        <v>60</v>
      </c>
      <c r="E168" t="s">
        <v>61</v>
      </c>
      <c r="F168" t="s">
        <v>65</v>
      </c>
      <c r="G168">
        <v>6518.32</v>
      </c>
      <c r="H168">
        <v>25</v>
      </c>
      <c r="I168">
        <v>4888.74</v>
      </c>
      <c r="J168">
        <v>1</v>
      </c>
      <c r="K168">
        <v>4888.74</v>
      </c>
      <c r="L168">
        <v>733.31</v>
      </c>
      <c r="M168" s="2">
        <v>45402</v>
      </c>
      <c r="N168" s="2">
        <v>45408</v>
      </c>
    </row>
    <row r="169" spans="1:14" x14ac:dyDescent="0.3">
      <c r="A169" t="s">
        <v>29</v>
      </c>
      <c r="B169" t="s">
        <v>35</v>
      </c>
      <c r="C169" t="s">
        <v>46</v>
      </c>
      <c r="D169" t="s">
        <v>59</v>
      </c>
      <c r="E169" t="s">
        <v>62</v>
      </c>
      <c r="F169" t="s">
        <v>69</v>
      </c>
      <c r="G169">
        <v>21834.07</v>
      </c>
      <c r="H169">
        <v>15</v>
      </c>
      <c r="I169">
        <v>18558.959500000001</v>
      </c>
      <c r="J169">
        <v>1</v>
      </c>
      <c r="K169">
        <v>18558.96</v>
      </c>
      <c r="L169">
        <v>6495.64</v>
      </c>
      <c r="M169" s="2">
        <v>45587</v>
      </c>
      <c r="N169" s="2">
        <v>45591</v>
      </c>
    </row>
    <row r="170" spans="1:14" x14ac:dyDescent="0.3">
      <c r="A170" t="s">
        <v>19</v>
      </c>
      <c r="B170" t="s">
        <v>33</v>
      </c>
      <c r="C170" t="s">
        <v>57</v>
      </c>
      <c r="D170" t="s">
        <v>60</v>
      </c>
      <c r="E170" t="s">
        <v>62</v>
      </c>
      <c r="F170" t="s">
        <v>69</v>
      </c>
      <c r="G170">
        <v>1696.27</v>
      </c>
      <c r="H170">
        <v>25</v>
      </c>
      <c r="I170">
        <v>1272.2025000000001</v>
      </c>
      <c r="J170">
        <v>4</v>
      </c>
      <c r="K170">
        <v>5088.8100000000004</v>
      </c>
      <c r="L170">
        <v>763.32</v>
      </c>
      <c r="M170" s="2">
        <v>45453</v>
      </c>
      <c r="N170" s="2">
        <v>45463</v>
      </c>
    </row>
    <row r="171" spans="1:14" x14ac:dyDescent="0.3">
      <c r="A171" t="s">
        <v>30</v>
      </c>
      <c r="B171" t="s">
        <v>33</v>
      </c>
      <c r="C171" t="s">
        <v>39</v>
      </c>
      <c r="D171" t="s">
        <v>58</v>
      </c>
      <c r="E171" t="s">
        <v>63</v>
      </c>
      <c r="F171" t="s">
        <v>75</v>
      </c>
      <c r="G171">
        <v>13831.39</v>
      </c>
      <c r="H171">
        <v>30</v>
      </c>
      <c r="I171">
        <v>9681.9729999999981</v>
      </c>
      <c r="J171">
        <v>2</v>
      </c>
      <c r="K171">
        <v>19363.95</v>
      </c>
      <c r="L171">
        <v>4840.99</v>
      </c>
      <c r="M171" s="2">
        <v>45395</v>
      </c>
      <c r="N171" s="2">
        <v>45401</v>
      </c>
    </row>
    <row r="172" spans="1:14" x14ac:dyDescent="0.3">
      <c r="A172" t="s">
        <v>24</v>
      </c>
      <c r="B172" t="s">
        <v>32</v>
      </c>
      <c r="C172" t="s">
        <v>40</v>
      </c>
      <c r="D172" t="s">
        <v>59</v>
      </c>
      <c r="E172" t="s">
        <v>64</v>
      </c>
      <c r="F172" t="s">
        <v>76</v>
      </c>
      <c r="G172">
        <v>32157.64</v>
      </c>
      <c r="H172">
        <v>20</v>
      </c>
      <c r="I172">
        <v>25726.112000000001</v>
      </c>
      <c r="J172">
        <v>4</v>
      </c>
      <c r="K172">
        <v>102904.45</v>
      </c>
      <c r="L172">
        <v>36016.559999999998</v>
      </c>
      <c r="M172" s="2">
        <v>45402</v>
      </c>
      <c r="N172" s="2">
        <v>45409</v>
      </c>
    </row>
    <row r="173" spans="1:14" x14ac:dyDescent="0.3">
      <c r="A173" t="s">
        <v>20</v>
      </c>
      <c r="B173" t="s">
        <v>32</v>
      </c>
      <c r="C173" t="s">
        <v>40</v>
      </c>
      <c r="D173" t="s">
        <v>59</v>
      </c>
      <c r="E173" t="s">
        <v>63</v>
      </c>
      <c r="F173" t="s">
        <v>73</v>
      </c>
      <c r="G173">
        <v>33924.870000000003</v>
      </c>
      <c r="H173">
        <v>25</v>
      </c>
      <c r="I173">
        <v>25443.6525</v>
      </c>
      <c r="J173">
        <v>1</v>
      </c>
      <c r="K173">
        <v>25443.65</v>
      </c>
      <c r="L173">
        <v>8905.2800000000007</v>
      </c>
      <c r="M173" s="2">
        <v>45706</v>
      </c>
      <c r="N173" s="2">
        <v>45710</v>
      </c>
    </row>
    <row r="174" spans="1:14" x14ac:dyDescent="0.3">
      <c r="A174" t="s">
        <v>17</v>
      </c>
      <c r="B174" t="s">
        <v>32</v>
      </c>
      <c r="C174" t="s">
        <v>37</v>
      </c>
      <c r="D174" t="s">
        <v>59</v>
      </c>
      <c r="E174" t="s">
        <v>64</v>
      </c>
      <c r="F174" t="s">
        <v>76</v>
      </c>
      <c r="G174">
        <v>10505.33</v>
      </c>
      <c r="H174">
        <v>10</v>
      </c>
      <c r="I174">
        <v>9454.7970000000005</v>
      </c>
      <c r="J174">
        <v>3</v>
      </c>
      <c r="K174">
        <v>28364.39</v>
      </c>
      <c r="L174">
        <v>9927.5400000000009</v>
      </c>
      <c r="M174" s="2">
        <v>45320</v>
      </c>
      <c r="N174" s="2">
        <v>45324</v>
      </c>
    </row>
    <row r="175" spans="1:14" x14ac:dyDescent="0.3">
      <c r="A175" t="s">
        <v>26</v>
      </c>
      <c r="B175" t="s">
        <v>32</v>
      </c>
      <c r="C175" t="s">
        <v>54</v>
      </c>
      <c r="D175" t="s">
        <v>60</v>
      </c>
      <c r="E175" t="s">
        <v>61</v>
      </c>
      <c r="F175" t="s">
        <v>70</v>
      </c>
      <c r="G175">
        <v>28048.34</v>
      </c>
      <c r="H175">
        <v>30</v>
      </c>
      <c r="I175">
        <v>19633.838</v>
      </c>
      <c r="J175">
        <v>5</v>
      </c>
      <c r="K175">
        <v>98169.19</v>
      </c>
      <c r="L175">
        <v>14725.38</v>
      </c>
      <c r="M175" s="2">
        <v>45397</v>
      </c>
      <c r="N175" s="2">
        <v>45400</v>
      </c>
    </row>
    <row r="176" spans="1:14" x14ac:dyDescent="0.3">
      <c r="A176" t="s">
        <v>30</v>
      </c>
      <c r="B176" t="s">
        <v>33</v>
      </c>
      <c r="C176" t="s">
        <v>56</v>
      </c>
      <c r="D176" t="s">
        <v>60</v>
      </c>
      <c r="E176" t="s">
        <v>61</v>
      </c>
      <c r="F176" t="s">
        <v>70</v>
      </c>
      <c r="G176">
        <v>12375.37</v>
      </c>
      <c r="H176">
        <v>20</v>
      </c>
      <c r="I176">
        <v>9900.2960000000021</v>
      </c>
      <c r="J176">
        <v>4</v>
      </c>
      <c r="K176">
        <v>39601.18</v>
      </c>
      <c r="L176">
        <v>5940.18</v>
      </c>
      <c r="M176" s="2">
        <v>45382</v>
      </c>
      <c r="N176" s="2">
        <v>45388</v>
      </c>
    </row>
    <row r="177" spans="1:14" x14ac:dyDescent="0.3">
      <c r="A177" t="s">
        <v>24</v>
      </c>
      <c r="B177" t="s">
        <v>32</v>
      </c>
      <c r="C177" t="s">
        <v>54</v>
      </c>
      <c r="D177" t="s">
        <v>60</v>
      </c>
      <c r="E177" t="s">
        <v>64</v>
      </c>
      <c r="F177" t="s">
        <v>72</v>
      </c>
      <c r="G177">
        <v>23936.34</v>
      </c>
      <c r="H177">
        <v>10</v>
      </c>
      <c r="I177">
        <v>21542.705999999998</v>
      </c>
      <c r="J177">
        <v>2</v>
      </c>
      <c r="K177">
        <v>43085.41</v>
      </c>
      <c r="L177">
        <v>6462.81</v>
      </c>
      <c r="M177" s="2">
        <v>45357</v>
      </c>
      <c r="N177" s="2">
        <v>45365</v>
      </c>
    </row>
    <row r="178" spans="1:14" x14ac:dyDescent="0.3">
      <c r="A178" t="s">
        <v>25</v>
      </c>
      <c r="B178" t="s">
        <v>34</v>
      </c>
      <c r="C178" t="s">
        <v>55</v>
      </c>
      <c r="D178" t="s">
        <v>58</v>
      </c>
      <c r="E178" t="s">
        <v>61</v>
      </c>
      <c r="F178" t="s">
        <v>71</v>
      </c>
      <c r="G178">
        <v>756.31</v>
      </c>
      <c r="H178">
        <v>10</v>
      </c>
      <c r="I178">
        <v>680.67899999999997</v>
      </c>
      <c r="J178">
        <v>2</v>
      </c>
      <c r="K178">
        <v>1361.36</v>
      </c>
      <c r="L178">
        <v>340.34</v>
      </c>
      <c r="M178" s="2">
        <v>45733</v>
      </c>
      <c r="N178" s="2">
        <v>45740</v>
      </c>
    </row>
    <row r="179" spans="1:14" x14ac:dyDescent="0.3">
      <c r="A179" t="s">
        <v>18</v>
      </c>
      <c r="B179" t="s">
        <v>33</v>
      </c>
      <c r="C179" t="s">
        <v>56</v>
      </c>
      <c r="D179" t="s">
        <v>60</v>
      </c>
      <c r="E179" t="s">
        <v>64</v>
      </c>
      <c r="F179" t="s">
        <v>74</v>
      </c>
      <c r="G179">
        <v>43654.51</v>
      </c>
      <c r="H179">
        <v>5</v>
      </c>
      <c r="I179">
        <v>41471.784500000002</v>
      </c>
      <c r="J179">
        <v>2</v>
      </c>
      <c r="K179">
        <v>82943.570000000007</v>
      </c>
      <c r="L179">
        <v>12441.54</v>
      </c>
      <c r="M179" s="2">
        <v>45411</v>
      </c>
      <c r="N179" s="2">
        <v>45421</v>
      </c>
    </row>
    <row r="180" spans="1:14" x14ac:dyDescent="0.3">
      <c r="A180" t="s">
        <v>19</v>
      </c>
      <c r="B180" t="s">
        <v>33</v>
      </c>
      <c r="C180" t="s">
        <v>53</v>
      </c>
      <c r="D180" t="s">
        <v>58</v>
      </c>
      <c r="E180" t="s">
        <v>62</v>
      </c>
      <c r="F180" t="s">
        <v>67</v>
      </c>
      <c r="G180">
        <v>2138.38</v>
      </c>
      <c r="H180">
        <v>10</v>
      </c>
      <c r="I180">
        <v>1924.5419999999999</v>
      </c>
      <c r="J180">
        <v>5</v>
      </c>
      <c r="K180">
        <v>9622.7099999999991</v>
      </c>
      <c r="L180">
        <v>2405.6799999999998</v>
      </c>
      <c r="M180" s="2">
        <v>45336</v>
      </c>
      <c r="N180" s="2">
        <v>45345</v>
      </c>
    </row>
    <row r="181" spans="1:14" x14ac:dyDescent="0.3">
      <c r="A181" t="s">
        <v>16</v>
      </c>
      <c r="B181" t="s">
        <v>31</v>
      </c>
      <c r="C181" t="s">
        <v>47</v>
      </c>
      <c r="D181" t="s">
        <v>59</v>
      </c>
      <c r="E181" t="s">
        <v>64</v>
      </c>
      <c r="F181" t="s">
        <v>74</v>
      </c>
      <c r="G181">
        <v>3215.95</v>
      </c>
      <c r="H181">
        <v>5</v>
      </c>
      <c r="I181">
        <v>3055.1525000000001</v>
      </c>
      <c r="J181">
        <v>2</v>
      </c>
      <c r="K181">
        <v>6110.3</v>
      </c>
      <c r="L181">
        <v>2138.61</v>
      </c>
      <c r="M181" s="2">
        <v>45599</v>
      </c>
      <c r="N181" s="2">
        <v>45601</v>
      </c>
    </row>
    <row r="182" spans="1:14" x14ac:dyDescent="0.3">
      <c r="A182" t="s">
        <v>20</v>
      </c>
      <c r="B182" t="s">
        <v>32</v>
      </c>
      <c r="C182" t="s">
        <v>40</v>
      </c>
      <c r="D182" t="s">
        <v>59</v>
      </c>
      <c r="E182" t="s">
        <v>61</v>
      </c>
      <c r="F182" t="s">
        <v>70</v>
      </c>
      <c r="G182">
        <v>36006.089999999997</v>
      </c>
      <c r="H182">
        <v>10</v>
      </c>
      <c r="I182">
        <v>32405.481</v>
      </c>
      <c r="J182">
        <v>4</v>
      </c>
      <c r="K182">
        <v>129621.92</v>
      </c>
      <c r="L182">
        <v>45367.67</v>
      </c>
      <c r="M182" s="2">
        <v>45568</v>
      </c>
      <c r="N182" s="2">
        <v>45576</v>
      </c>
    </row>
    <row r="183" spans="1:14" x14ac:dyDescent="0.3">
      <c r="A183" t="s">
        <v>30</v>
      </c>
      <c r="B183" t="s">
        <v>33</v>
      </c>
      <c r="C183" t="s">
        <v>50</v>
      </c>
      <c r="D183" t="s">
        <v>59</v>
      </c>
      <c r="E183" t="s">
        <v>61</v>
      </c>
      <c r="F183" t="s">
        <v>65</v>
      </c>
      <c r="G183">
        <v>16847.75</v>
      </c>
      <c r="H183">
        <v>15</v>
      </c>
      <c r="I183">
        <v>14320.5875</v>
      </c>
      <c r="J183">
        <v>2</v>
      </c>
      <c r="K183">
        <v>28641.17</v>
      </c>
      <c r="L183">
        <v>10024.41</v>
      </c>
      <c r="M183" s="2">
        <v>45305</v>
      </c>
      <c r="N183" s="2">
        <v>45311</v>
      </c>
    </row>
    <row r="184" spans="1:14" x14ac:dyDescent="0.3">
      <c r="A184" t="s">
        <v>26</v>
      </c>
      <c r="B184" t="s">
        <v>32</v>
      </c>
      <c r="C184" t="s">
        <v>37</v>
      </c>
      <c r="D184" t="s">
        <v>59</v>
      </c>
      <c r="E184" t="s">
        <v>62</v>
      </c>
      <c r="F184" t="s">
        <v>67</v>
      </c>
      <c r="G184">
        <v>43926.27</v>
      </c>
      <c r="H184">
        <v>30</v>
      </c>
      <c r="I184">
        <v>30748.388999999999</v>
      </c>
      <c r="J184">
        <v>1</v>
      </c>
      <c r="K184">
        <v>30748.39</v>
      </c>
      <c r="L184">
        <v>10761.94</v>
      </c>
      <c r="M184" s="2">
        <v>45844</v>
      </c>
      <c r="N184" s="2">
        <v>45853</v>
      </c>
    </row>
    <row r="185" spans="1:14" x14ac:dyDescent="0.3">
      <c r="A185" t="s">
        <v>16</v>
      </c>
      <c r="B185" t="s">
        <v>31</v>
      </c>
      <c r="C185" t="s">
        <v>42</v>
      </c>
      <c r="D185" t="s">
        <v>60</v>
      </c>
      <c r="E185" t="s">
        <v>61</v>
      </c>
      <c r="F185" t="s">
        <v>71</v>
      </c>
      <c r="G185">
        <v>1983.63</v>
      </c>
      <c r="H185">
        <v>0</v>
      </c>
      <c r="I185">
        <v>1983.63</v>
      </c>
      <c r="J185">
        <v>1</v>
      </c>
      <c r="K185">
        <v>1983.63</v>
      </c>
      <c r="L185">
        <v>297.54000000000002</v>
      </c>
      <c r="M185" s="2">
        <v>45695</v>
      </c>
      <c r="N185" s="2">
        <v>45700</v>
      </c>
    </row>
    <row r="186" spans="1:14" x14ac:dyDescent="0.3">
      <c r="A186" t="s">
        <v>17</v>
      </c>
      <c r="B186" t="s">
        <v>32</v>
      </c>
      <c r="C186" t="s">
        <v>54</v>
      </c>
      <c r="D186" t="s">
        <v>60</v>
      </c>
      <c r="E186" t="s">
        <v>63</v>
      </c>
      <c r="F186" t="s">
        <v>68</v>
      </c>
      <c r="G186">
        <v>6744.25</v>
      </c>
      <c r="H186">
        <v>15</v>
      </c>
      <c r="I186">
        <v>5732.6125000000002</v>
      </c>
      <c r="J186">
        <v>1</v>
      </c>
      <c r="K186">
        <v>5732.61</v>
      </c>
      <c r="L186">
        <v>859.89</v>
      </c>
      <c r="M186" s="2">
        <v>45751</v>
      </c>
      <c r="N186" s="2">
        <v>45759</v>
      </c>
    </row>
    <row r="187" spans="1:14" x14ac:dyDescent="0.3">
      <c r="A187" t="s">
        <v>17</v>
      </c>
      <c r="B187" t="s">
        <v>32</v>
      </c>
      <c r="C187" t="s">
        <v>43</v>
      </c>
      <c r="D187" t="s">
        <v>58</v>
      </c>
      <c r="E187" t="s">
        <v>63</v>
      </c>
      <c r="F187" t="s">
        <v>75</v>
      </c>
      <c r="G187">
        <v>7708.43</v>
      </c>
      <c r="H187">
        <v>30</v>
      </c>
      <c r="I187">
        <v>5395.9009999999998</v>
      </c>
      <c r="J187">
        <v>3</v>
      </c>
      <c r="K187">
        <v>16187.7</v>
      </c>
      <c r="L187">
        <v>4046.93</v>
      </c>
      <c r="M187" s="2">
        <v>45641</v>
      </c>
      <c r="N187" s="2">
        <v>45646</v>
      </c>
    </row>
    <row r="188" spans="1:14" x14ac:dyDescent="0.3">
      <c r="A188" t="s">
        <v>20</v>
      </c>
      <c r="B188" t="s">
        <v>32</v>
      </c>
      <c r="C188" t="s">
        <v>37</v>
      </c>
      <c r="D188" t="s">
        <v>59</v>
      </c>
      <c r="E188" t="s">
        <v>61</v>
      </c>
      <c r="F188" t="s">
        <v>65</v>
      </c>
      <c r="G188">
        <v>36305.15</v>
      </c>
      <c r="H188">
        <v>20</v>
      </c>
      <c r="I188">
        <v>29044.12</v>
      </c>
      <c r="J188">
        <v>5</v>
      </c>
      <c r="K188">
        <v>145220.6</v>
      </c>
      <c r="L188">
        <v>50827.21</v>
      </c>
      <c r="M188" s="2">
        <v>45577</v>
      </c>
      <c r="N188" s="2">
        <v>45584</v>
      </c>
    </row>
    <row r="189" spans="1:14" x14ac:dyDescent="0.3">
      <c r="A189" t="s">
        <v>20</v>
      </c>
      <c r="B189" t="s">
        <v>32</v>
      </c>
      <c r="C189" t="s">
        <v>54</v>
      </c>
      <c r="D189" t="s">
        <v>60</v>
      </c>
      <c r="E189" t="s">
        <v>63</v>
      </c>
      <c r="F189" t="s">
        <v>68</v>
      </c>
      <c r="G189">
        <v>24936.43</v>
      </c>
      <c r="H189">
        <v>20</v>
      </c>
      <c r="I189">
        <v>19949.144</v>
      </c>
      <c r="J189">
        <v>3</v>
      </c>
      <c r="K189">
        <v>59847.43</v>
      </c>
      <c r="L189">
        <v>8977.11</v>
      </c>
      <c r="M189" s="2">
        <v>45743</v>
      </c>
      <c r="N189" s="2">
        <v>45753</v>
      </c>
    </row>
    <row r="190" spans="1:14" x14ac:dyDescent="0.3">
      <c r="A190" t="s">
        <v>23</v>
      </c>
      <c r="B190" t="s">
        <v>35</v>
      </c>
      <c r="C190" t="s">
        <v>46</v>
      </c>
      <c r="D190" t="s">
        <v>59</v>
      </c>
      <c r="E190" t="s">
        <v>64</v>
      </c>
      <c r="F190" t="s">
        <v>72</v>
      </c>
      <c r="G190">
        <v>32230.71</v>
      </c>
      <c r="H190">
        <v>0</v>
      </c>
      <c r="I190">
        <v>32230.71</v>
      </c>
      <c r="J190">
        <v>4</v>
      </c>
      <c r="K190">
        <v>128922.84</v>
      </c>
      <c r="L190">
        <v>45122.99</v>
      </c>
      <c r="M190" s="2">
        <v>45535</v>
      </c>
      <c r="N190" s="2">
        <v>45538</v>
      </c>
    </row>
    <row r="191" spans="1:14" x14ac:dyDescent="0.3">
      <c r="A191" t="s">
        <v>20</v>
      </c>
      <c r="B191" t="s">
        <v>32</v>
      </c>
      <c r="C191" t="s">
        <v>54</v>
      </c>
      <c r="D191" t="s">
        <v>60</v>
      </c>
      <c r="E191" t="s">
        <v>63</v>
      </c>
      <c r="F191" t="s">
        <v>68</v>
      </c>
      <c r="G191">
        <v>24778.080000000002</v>
      </c>
      <c r="H191">
        <v>15</v>
      </c>
      <c r="I191">
        <v>21061.367999999999</v>
      </c>
      <c r="J191">
        <v>5</v>
      </c>
      <c r="K191">
        <v>105306.84</v>
      </c>
      <c r="L191">
        <v>15796.03</v>
      </c>
      <c r="M191" s="2">
        <v>45598</v>
      </c>
      <c r="N191" s="2">
        <v>45602</v>
      </c>
    </row>
    <row r="192" spans="1:14" x14ac:dyDescent="0.3">
      <c r="A192" t="s">
        <v>27</v>
      </c>
      <c r="B192" t="s">
        <v>35</v>
      </c>
      <c r="C192" t="s">
        <v>46</v>
      </c>
      <c r="D192" t="s">
        <v>59</v>
      </c>
      <c r="E192" t="s">
        <v>61</v>
      </c>
      <c r="F192" t="s">
        <v>65</v>
      </c>
      <c r="G192">
        <v>9576.11</v>
      </c>
      <c r="H192">
        <v>0</v>
      </c>
      <c r="I192">
        <v>9576.11</v>
      </c>
      <c r="J192">
        <v>5</v>
      </c>
      <c r="K192">
        <v>47880.55</v>
      </c>
      <c r="L192">
        <v>16758.189999999999</v>
      </c>
      <c r="M192" s="2">
        <v>45405</v>
      </c>
      <c r="N192" s="2">
        <v>45412</v>
      </c>
    </row>
    <row r="193" spans="1:14" x14ac:dyDescent="0.3">
      <c r="A193" t="s">
        <v>29</v>
      </c>
      <c r="B193" t="s">
        <v>35</v>
      </c>
      <c r="C193" t="s">
        <v>48</v>
      </c>
      <c r="D193" t="s">
        <v>58</v>
      </c>
      <c r="E193" t="s">
        <v>64</v>
      </c>
      <c r="F193" t="s">
        <v>76</v>
      </c>
      <c r="G193">
        <v>19267.490000000002</v>
      </c>
      <c r="H193">
        <v>30</v>
      </c>
      <c r="I193">
        <v>13487.243</v>
      </c>
      <c r="J193">
        <v>5</v>
      </c>
      <c r="K193">
        <v>67436.210000000006</v>
      </c>
      <c r="L193">
        <v>16859.05</v>
      </c>
      <c r="M193" s="2">
        <v>45453</v>
      </c>
      <c r="N193" s="2">
        <v>45456</v>
      </c>
    </row>
    <row r="194" spans="1:14" x14ac:dyDescent="0.3">
      <c r="A194" t="s">
        <v>24</v>
      </c>
      <c r="B194" t="s">
        <v>32</v>
      </c>
      <c r="C194" t="s">
        <v>43</v>
      </c>
      <c r="D194" t="s">
        <v>58</v>
      </c>
      <c r="E194" t="s">
        <v>62</v>
      </c>
      <c r="F194" t="s">
        <v>69</v>
      </c>
      <c r="G194">
        <v>25489.09</v>
      </c>
      <c r="H194">
        <v>25</v>
      </c>
      <c r="I194">
        <v>19116.817500000001</v>
      </c>
      <c r="J194">
        <v>4</v>
      </c>
      <c r="K194">
        <v>76467.27</v>
      </c>
      <c r="L194">
        <v>19116.82</v>
      </c>
      <c r="M194" s="2">
        <v>45635</v>
      </c>
      <c r="N194" s="2">
        <v>45643</v>
      </c>
    </row>
    <row r="195" spans="1:14" x14ac:dyDescent="0.3">
      <c r="A195" t="s">
        <v>20</v>
      </c>
      <c r="B195" t="s">
        <v>32</v>
      </c>
      <c r="C195" t="s">
        <v>40</v>
      </c>
      <c r="D195" t="s">
        <v>59</v>
      </c>
      <c r="E195" t="s">
        <v>61</v>
      </c>
      <c r="F195" t="s">
        <v>65</v>
      </c>
      <c r="G195">
        <v>33997.68</v>
      </c>
      <c r="H195">
        <v>15</v>
      </c>
      <c r="I195">
        <v>28898.027999999998</v>
      </c>
      <c r="J195">
        <v>3</v>
      </c>
      <c r="K195">
        <v>86694.080000000002</v>
      </c>
      <c r="L195">
        <v>30342.93</v>
      </c>
      <c r="M195" s="2">
        <v>45586</v>
      </c>
      <c r="N195" s="2">
        <v>45589</v>
      </c>
    </row>
    <row r="196" spans="1:14" x14ac:dyDescent="0.3">
      <c r="A196" t="s">
        <v>16</v>
      </c>
      <c r="B196" t="s">
        <v>31</v>
      </c>
      <c r="C196" t="s">
        <v>42</v>
      </c>
      <c r="D196" t="s">
        <v>60</v>
      </c>
      <c r="E196" t="s">
        <v>64</v>
      </c>
      <c r="F196" t="s">
        <v>76</v>
      </c>
      <c r="G196">
        <v>2402.5700000000002</v>
      </c>
      <c r="H196">
        <v>10</v>
      </c>
      <c r="I196">
        <v>2162.3130000000001</v>
      </c>
      <c r="J196">
        <v>4</v>
      </c>
      <c r="K196">
        <v>8649.25</v>
      </c>
      <c r="L196">
        <v>1297.3900000000001</v>
      </c>
      <c r="M196" s="2">
        <v>45571</v>
      </c>
      <c r="N196" s="2">
        <v>45576</v>
      </c>
    </row>
    <row r="197" spans="1:14" x14ac:dyDescent="0.3">
      <c r="A197" t="s">
        <v>20</v>
      </c>
      <c r="B197" t="s">
        <v>32</v>
      </c>
      <c r="C197" t="s">
        <v>54</v>
      </c>
      <c r="D197" t="s">
        <v>60</v>
      </c>
      <c r="E197" t="s">
        <v>61</v>
      </c>
      <c r="F197" t="s">
        <v>70</v>
      </c>
      <c r="G197">
        <v>25749.040000000001</v>
      </c>
      <c r="H197">
        <v>25</v>
      </c>
      <c r="I197">
        <v>19311.78</v>
      </c>
      <c r="J197">
        <v>5</v>
      </c>
      <c r="K197">
        <v>96558.9</v>
      </c>
      <c r="L197">
        <v>14483.83</v>
      </c>
      <c r="M197" s="2">
        <v>45577</v>
      </c>
      <c r="N197" s="2">
        <v>45581</v>
      </c>
    </row>
    <row r="198" spans="1:14" x14ac:dyDescent="0.3">
      <c r="A198" t="s">
        <v>19</v>
      </c>
      <c r="B198" t="s">
        <v>33</v>
      </c>
      <c r="C198" t="s">
        <v>39</v>
      </c>
      <c r="D198" t="s">
        <v>58</v>
      </c>
      <c r="E198" t="s">
        <v>62</v>
      </c>
      <c r="F198" t="s">
        <v>69</v>
      </c>
      <c r="G198">
        <v>2042.43</v>
      </c>
      <c r="H198">
        <v>15</v>
      </c>
      <c r="I198">
        <v>1736.0654999999999</v>
      </c>
      <c r="J198">
        <v>3</v>
      </c>
      <c r="K198">
        <v>5208.2</v>
      </c>
      <c r="L198">
        <v>1302.05</v>
      </c>
      <c r="M198" s="2">
        <v>45805</v>
      </c>
      <c r="N198" s="2">
        <v>45811</v>
      </c>
    </row>
    <row r="199" spans="1:14" x14ac:dyDescent="0.3">
      <c r="A199" t="s">
        <v>21</v>
      </c>
      <c r="B199" t="s">
        <v>34</v>
      </c>
      <c r="C199" t="s">
        <v>49</v>
      </c>
      <c r="D199" t="s">
        <v>59</v>
      </c>
      <c r="E199" t="s">
        <v>61</v>
      </c>
      <c r="F199" t="s">
        <v>71</v>
      </c>
      <c r="G199">
        <v>3579.63</v>
      </c>
      <c r="H199">
        <v>15</v>
      </c>
      <c r="I199">
        <v>3042.6855</v>
      </c>
      <c r="J199">
        <v>4</v>
      </c>
      <c r="K199">
        <v>12170.74</v>
      </c>
      <c r="L199">
        <v>4259.76</v>
      </c>
      <c r="M199" s="2">
        <v>45719</v>
      </c>
      <c r="N199" s="2">
        <v>45726</v>
      </c>
    </row>
    <row r="200" spans="1:14" x14ac:dyDescent="0.3">
      <c r="A200" t="s">
        <v>27</v>
      </c>
      <c r="B200" t="s">
        <v>35</v>
      </c>
      <c r="C200" t="s">
        <v>46</v>
      </c>
      <c r="D200" t="s">
        <v>59</v>
      </c>
      <c r="E200" t="s">
        <v>62</v>
      </c>
      <c r="F200" t="s">
        <v>66</v>
      </c>
      <c r="G200">
        <v>10176.51</v>
      </c>
      <c r="H200">
        <v>15</v>
      </c>
      <c r="I200">
        <v>8650.0334999999995</v>
      </c>
      <c r="J200">
        <v>1</v>
      </c>
      <c r="K200">
        <v>8650.0300000000007</v>
      </c>
      <c r="L200">
        <v>3027.51</v>
      </c>
      <c r="M200" s="2">
        <v>45649</v>
      </c>
      <c r="N200" s="2">
        <v>45655</v>
      </c>
    </row>
    <row r="201" spans="1:14" x14ac:dyDescent="0.3">
      <c r="A201" t="s">
        <v>21</v>
      </c>
      <c r="B201" t="s">
        <v>34</v>
      </c>
      <c r="C201" t="s">
        <v>49</v>
      </c>
      <c r="D201" t="s">
        <v>59</v>
      </c>
      <c r="E201" t="s">
        <v>61</v>
      </c>
      <c r="F201" t="s">
        <v>71</v>
      </c>
      <c r="G201">
        <v>3416.14</v>
      </c>
      <c r="H201">
        <v>20</v>
      </c>
      <c r="I201">
        <v>2732.9119999999998</v>
      </c>
      <c r="J201">
        <v>4</v>
      </c>
      <c r="K201">
        <v>10931.65</v>
      </c>
      <c r="L201">
        <v>3826.08</v>
      </c>
      <c r="M201" s="2">
        <v>45727</v>
      </c>
      <c r="N201" s="2">
        <v>45729</v>
      </c>
    </row>
    <row r="202" spans="1:14" x14ac:dyDescent="0.3">
      <c r="A202" t="s">
        <v>22</v>
      </c>
      <c r="B202" t="s">
        <v>31</v>
      </c>
      <c r="C202" t="s">
        <v>36</v>
      </c>
      <c r="D202" t="s">
        <v>58</v>
      </c>
      <c r="E202" t="s">
        <v>63</v>
      </c>
      <c r="F202" t="s">
        <v>73</v>
      </c>
      <c r="G202">
        <v>3247.42</v>
      </c>
      <c r="H202">
        <v>0</v>
      </c>
      <c r="I202">
        <v>3247.42</v>
      </c>
      <c r="J202">
        <v>3</v>
      </c>
      <c r="K202">
        <v>9742.26</v>
      </c>
      <c r="L202">
        <v>2435.5700000000002</v>
      </c>
      <c r="M202" s="2">
        <v>45815</v>
      </c>
      <c r="N202" s="2">
        <v>45817</v>
      </c>
    </row>
    <row r="203" spans="1:14" x14ac:dyDescent="0.3">
      <c r="A203" t="s">
        <v>19</v>
      </c>
      <c r="B203" t="s">
        <v>33</v>
      </c>
      <c r="C203" t="s">
        <v>39</v>
      </c>
      <c r="D203" t="s">
        <v>58</v>
      </c>
      <c r="E203" t="s">
        <v>61</v>
      </c>
      <c r="F203" t="s">
        <v>71</v>
      </c>
      <c r="G203">
        <v>1968.28</v>
      </c>
      <c r="H203">
        <v>5</v>
      </c>
      <c r="I203">
        <v>1869.866</v>
      </c>
      <c r="J203">
        <v>4</v>
      </c>
      <c r="K203">
        <v>7479.46</v>
      </c>
      <c r="L203">
        <v>1869.87</v>
      </c>
      <c r="M203" s="2">
        <v>45741</v>
      </c>
      <c r="N203" s="2">
        <v>45745</v>
      </c>
    </row>
    <row r="204" spans="1:14" x14ac:dyDescent="0.3">
      <c r="A204" t="s">
        <v>25</v>
      </c>
      <c r="B204" t="s">
        <v>34</v>
      </c>
      <c r="C204" t="s">
        <v>51</v>
      </c>
      <c r="D204" t="s">
        <v>59</v>
      </c>
      <c r="E204" t="s">
        <v>64</v>
      </c>
      <c r="F204" t="s">
        <v>72</v>
      </c>
      <c r="G204">
        <v>1079.07</v>
      </c>
      <c r="H204">
        <v>10</v>
      </c>
      <c r="I204">
        <v>971.16300000000001</v>
      </c>
      <c r="J204">
        <v>5</v>
      </c>
      <c r="K204">
        <v>4855.82</v>
      </c>
      <c r="L204">
        <v>1699.54</v>
      </c>
      <c r="M204" s="2">
        <v>45480</v>
      </c>
      <c r="N204" s="2">
        <v>45483</v>
      </c>
    </row>
    <row r="205" spans="1:14" x14ac:dyDescent="0.3">
      <c r="A205" t="s">
        <v>28</v>
      </c>
      <c r="B205" t="s">
        <v>34</v>
      </c>
      <c r="C205" t="s">
        <v>52</v>
      </c>
      <c r="D205" t="s">
        <v>60</v>
      </c>
      <c r="E205" t="s">
        <v>62</v>
      </c>
      <c r="F205" t="s">
        <v>69</v>
      </c>
      <c r="G205">
        <v>1293.78</v>
      </c>
      <c r="H205">
        <v>25</v>
      </c>
      <c r="I205">
        <v>970.33500000000004</v>
      </c>
      <c r="J205">
        <v>5</v>
      </c>
      <c r="K205">
        <v>4851.68</v>
      </c>
      <c r="L205">
        <v>727.75</v>
      </c>
      <c r="M205" s="2">
        <v>45691</v>
      </c>
      <c r="N205" s="2">
        <v>45695</v>
      </c>
    </row>
    <row r="206" spans="1:14" x14ac:dyDescent="0.3">
      <c r="A206" t="s">
        <v>21</v>
      </c>
      <c r="B206" t="s">
        <v>34</v>
      </c>
      <c r="C206" t="s">
        <v>41</v>
      </c>
      <c r="D206" t="s">
        <v>60</v>
      </c>
      <c r="E206" t="s">
        <v>63</v>
      </c>
      <c r="F206" t="s">
        <v>75</v>
      </c>
      <c r="G206">
        <v>2440.65</v>
      </c>
      <c r="H206">
        <v>0</v>
      </c>
      <c r="I206">
        <v>2440.65</v>
      </c>
      <c r="J206">
        <v>1</v>
      </c>
      <c r="K206">
        <v>2440.65</v>
      </c>
      <c r="L206">
        <v>366.1</v>
      </c>
      <c r="M206" s="2">
        <v>45483</v>
      </c>
      <c r="N206" s="2">
        <v>45490</v>
      </c>
    </row>
    <row r="207" spans="1:14" x14ac:dyDescent="0.3">
      <c r="A207" t="s">
        <v>20</v>
      </c>
      <c r="B207" t="s">
        <v>32</v>
      </c>
      <c r="C207" t="s">
        <v>54</v>
      </c>
      <c r="D207" t="s">
        <v>60</v>
      </c>
      <c r="E207" t="s">
        <v>63</v>
      </c>
      <c r="F207" t="s">
        <v>75</v>
      </c>
      <c r="G207">
        <v>23426.080000000002</v>
      </c>
      <c r="H207">
        <v>10</v>
      </c>
      <c r="I207">
        <v>21083.472000000002</v>
      </c>
      <c r="J207">
        <v>3</v>
      </c>
      <c r="K207">
        <v>63250.42</v>
      </c>
      <c r="L207">
        <v>9487.56</v>
      </c>
      <c r="M207" s="2">
        <v>45668</v>
      </c>
      <c r="N207" s="2">
        <v>45675</v>
      </c>
    </row>
    <row r="208" spans="1:14" x14ac:dyDescent="0.3">
      <c r="A208" t="s">
        <v>30</v>
      </c>
      <c r="B208" t="s">
        <v>33</v>
      </c>
      <c r="C208" t="s">
        <v>38</v>
      </c>
      <c r="D208" t="s">
        <v>59</v>
      </c>
      <c r="E208" t="s">
        <v>61</v>
      </c>
      <c r="F208" t="s">
        <v>71</v>
      </c>
      <c r="G208">
        <v>18476.189999999999</v>
      </c>
      <c r="H208">
        <v>30</v>
      </c>
      <c r="I208">
        <v>12933.333000000001</v>
      </c>
      <c r="J208">
        <v>1</v>
      </c>
      <c r="K208">
        <v>12933.33</v>
      </c>
      <c r="L208">
        <v>4526.67</v>
      </c>
      <c r="M208" s="2">
        <v>45811</v>
      </c>
      <c r="N208" s="2">
        <v>45816</v>
      </c>
    </row>
    <row r="209" spans="1:14" x14ac:dyDescent="0.3">
      <c r="A209" t="s">
        <v>29</v>
      </c>
      <c r="B209" t="s">
        <v>35</v>
      </c>
      <c r="C209" t="s">
        <v>46</v>
      </c>
      <c r="D209" t="s">
        <v>59</v>
      </c>
      <c r="E209" t="s">
        <v>61</v>
      </c>
      <c r="F209" t="s">
        <v>71</v>
      </c>
      <c r="G209">
        <v>20731.72</v>
      </c>
      <c r="H209">
        <v>30</v>
      </c>
      <c r="I209">
        <v>14512.204</v>
      </c>
      <c r="J209">
        <v>3</v>
      </c>
      <c r="K209">
        <v>43536.61</v>
      </c>
      <c r="L209">
        <v>15237.81</v>
      </c>
      <c r="M209" s="2">
        <v>45644</v>
      </c>
      <c r="N209" s="2">
        <v>45647</v>
      </c>
    </row>
    <row r="210" spans="1:14" x14ac:dyDescent="0.3">
      <c r="A210" t="s">
        <v>30</v>
      </c>
      <c r="B210" t="s">
        <v>33</v>
      </c>
      <c r="C210" t="s">
        <v>50</v>
      </c>
      <c r="D210" t="s">
        <v>59</v>
      </c>
      <c r="E210" t="s">
        <v>62</v>
      </c>
      <c r="F210" t="s">
        <v>66</v>
      </c>
      <c r="G210">
        <v>18972.62</v>
      </c>
      <c r="H210">
        <v>10</v>
      </c>
      <c r="I210">
        <v>17075.358</v>
      </c>
      <c r="J210">
        <v>5</v>
      </c>
      <c r="K210">
        <v>85376.79</v>
      </c>
      <c r="L210">
        <v>29881.88</v>
      </c>
      <c r="M210" s="2">
        <v>45830</v>
      </c>
      <c r="N210" s="2">
        <v>45832</v>
      </c>
    </row>
    <row r="211" spans="1:14" x14ac:dyDescent="0.3">
      <c r="A211" t="s">
        <v>24</v>
      </c>
      <c r="B211" t="s">
        <v>32</v>
      </c>
      <c r="C211" t="s">
        <v>43</v>
      </c>
      <c r="D211" t="s">
        <v>58</v>
      </c>
      <c r="E211" t="s">
        <v>61</v>
      </c>
      <c r="F211" t="s">
        <v>70</v>
      </c>
      <c r="G211">
        <v>24421.07</v>
      </c>
      <c r="H211">
        <v>15</v>
      </c>
      <c r="I211">
        <v>20757.909500000002</v>
      </c>
      <c r="J211">
        <v>5</v>
      </c>
      <c r="K211">
        <v>103789.55</v>
      </c>
      <c r="L211">
        <v>25947.39</v>
      </c>
      <c r="M211" s="2">
        <v>45835</v>
      </c>
      <c r="N211" s="2">
        <v>45844</v>
      </c>
    </row>
    <row r="212" spans="1:14" x14ac:dyDescent="0.3">
      <c r="A212" t="s">
        <v>26</v>
      </c>
      <c r="B212" t="s">
        <v>32</v>
      </c>
      <c r="C212" t="s">
        <v>43</v>
      </c>
      <c r="D212" t="s">
        <v>58</v>
      </c>
      <c r="E212" t="s">
        <v>64</v>
      </c>
      <c r="F212" t="s">
        <v>72</v>
      </c>
      <c r="G212">
        <v>38433.629999999997</v>
      </c>
      <c r="H212">
        <v>15</v>
      </c>
      <c r="I212">
        <v>32668.585500000001</v>
      </c>
      <c r="J212">
        <v>4</v>
      </c>
      <c r="K212">
        <v>130674.34</v>
      </c>
      <c r="L212">
        <v>32668.58</v>
      </c>
      <c r="M212" s="2">
        <v>45531</v>
      </c>
      <c r="N212" s="2">
        <v>45535</v>
      </c>
    </row>
    <row r="213" spans="1:14" x14ac:dyDescent="0.3">
      <c r="A213" t="s">
        <v>27</v>
      </c>
      <c r="B213" t="s">
        <v>35</v>
      </c>
      <c r="C213" t="s">
        <v>44</v>
      </c>
      <c r="D213" t="s">
        <v>60</v>
      </c>
      <c r="E213" t="s">
        <v>64</v>
      </c>
      <c r="F213" t="s">
        <v>74</v>
      </c>
      <c r="G213">
        <v>7398.22</v>
      </c>
      <c r="H213">
        <v>10</v>
      </c>
      <c r="I213">
        <v>6658.3980000000001</v>
      </c>
      <c r="J213">
        <v>5</v>
      </c>
      <c r="K213">
        <v>33291.99</v>
      </c>
      <c r="L213">
        <v>4993.8</v>
      </c>
      <c r="M213" s="2">
        <v>45500</v>
      </c>
      <c r="N213" s="2">
        <v>45506</v>
      </c>
    </row>
    <row r="214" spans="1:14" x14ac:dyDescent="0.3">
      <c r="A214" t="s">
        <v>26</v>
      </c>
      <c r="B214" t="s">
        <v>32</v>
      </c>
      <c r="C214" t="s">
        <v>43</v>
      </c>
      <c r="D214" t="s">
        <v>58</v>
      </c>
      <c r="E214" t="s">
        <v>64</v>
      </c>
      <c r="F214" t="s">
        <v>74</v>
      </c>
      <c r="G214">
        <v>37562.480000000003</v>
      </c>
      <c r="H214">
        <v>5</v>
      </c>
      <c r="I214">
        <v>35684.356</v>
      </c>
      <c r="J214">
        <v>2</v>
      </c>
      <c r="K214">
        <v>71368.710000000006</v>
      </c>
      <c r="L214">
        <v>17842.18</v>
      </c>
      <c r="M214" s="2">
        <v>45356</v>
      </c>
      <c r="N214" s="2">
        <v>45362</v>
      </c>
    </row>
    <row r="215" spans="1:14" x14ac:dyDescent="0.3">
      <c r="A215" t="s">
        <v>16</v>
      </c>
      <c r="B215" t="s">
        <v>31</v>
      </c>
      <c r="C215" t="s">
        <v>47</v>
      </c>
      <c r="D215" t="s">
        <v>59</v>
      </c>
      <c r="E215" t="s">
        <v>63</v>
      </c>
      <c r="F215" t="s">
        <v>68</v>
      </c>
      <c r="G215">
        <v>2957.37</v>
      </c>
      <c r="H215">
        <v>10</v>
      </c>
      <c r="I215">
        <v>2661.6329999999998</v>
      </c>
      <c r="J215">
        <v>3</v>
      </c>
      <c r="K215">
        <v>7984.9</v>
      </c>
      <c r="L215">
        <v>2794.71</v>
      </c>
      <c r="M215" s="2">
        <v>45493</v>
      </c>
      <c r="N215" s="2">
        <v>45500</v>
      </c>
    </row>
    <row r="216" spans="1:14" x14ac:dyDescent="0.3">
      <c r="A216" t="s">
        <v>30</v>
      </c>
      <c r="B216" t="s">
        <v>33</v>
      </c>
      <c r="C216" t="s">
        <v>38</v>
      </c>
      <c r="D216" t="s">
        <v>59</v>
      </c>
      <c r="E216" t="s">
        <v>64</v>
      </c>
      <c r="F216" t="s">
        <v>72</v>
      </c>
      <c r="G216">
        <v>19256.96</v>
      </c>
      <c r="H216">
        <v>15</v>
      </c>
      <c r="I216">
        <v>16368.415999999999</v>
      </c>
      <c r="J216">
        <v>2</v>
      </c>
      <c r="K216">
        <v>32736.83</v>
      </c>
      <c r="L216">
        <v>11457.89</v>
      </c>
      <c r="M216" s="2">
        <v>45363</v>
      </c>
      <c r="N216" s="2">
        <v>45365</v>
      </c>
    </row>
    <row r="217" spans="1:14" x14ac:dyDescent="0.3">
      <c r="A217" t="s">
        <v>27</v>
      </c>
      <c r="B217" t="s">
        <v>35</v>
      </c>
      <c r="C217" t="s">
        <v>44</v>
      </c>
      <c r="D217" t="s">
        <v>60</v>
      </c>
      <c r="E217" t="s">
        <v>62</v>
      </c>
      <c r="F217" t="s">
        <v>67</v>
      </c>
      <c r="G217">
        <v>6983.39</v>
      </c>
      <c r="H217">
        <v>0</v>
      </c>
      <c r="I217">
        <v>6983.39</v>
      </c>
      <c r="J217">
        <v>1</v>
      </c>
      <c r="K217">
        <v>6983.39</v>
      </c>
      <c r="L217">
        <v>1047.51</v>
      </c>
      <c r="M217" s="2">
        <v>45292</v>
      </c>
      <c r="N217" s="2">
        <v>45296</v>
      </c>
    </row>
    <row r="218" spans="1:14" x14ac:dyDescent="0.3">
      <c r="A218" t="s">
        <v>25</v>
      </c>
      <c r="B218" t="s">
        <v>34</v>
      </c>
      <c r="C218" t="s">
        <v>55</v>
      </c>
      <c r="D218" t="s">
        <v>58</v>
      </c>
      <c r="E218" t="s">
        <v>63</v>
      </c>
      <c r="F218" t="s">
        <v>68</v>
      </c>
      <c r="G218">
        <v>780.75</v>
      </c>
      <c r="H218">
        <v>15</v>
      </c>
      <c r="I218">
        <v>663.63749999999993</v>
      </c>
      <c r="J218">
        <v>1</v>
      </c>
      <c r="K218">
        <v>663.64</v>
      </c>
      <c r="L218">
        <v>165.91</v>
      </c>
      <c r="M218" s="2">
        <v>45511</v>
      </c>
      <c r="N218" s="2">
        <v>45516</v>
      </c>
    </row>
    <row r="219" spans="1:14" x14ac:dyDescent="0.3">
      <c r="A219" t="s">
        <v>18</v>
      </c>
      <c r="B219" t="s">
        <v>33</v>
      </c>
      <c r="C219" t="s">
        <v>57</v>
      </c>
      <c r="D219" t="s">
        <v>60</v>
      </c>
      <c r="E219" t="s">
        <v>64</v>
      </c>
      <c r="F219" t="s">
        <v>72</v>
      </c>
      <c r="G219">
        <v>45382.42</v>
      </c>
      <c r="H219">
        <v>0</v>
      </c>
      <c r="I219">
        <v>45382.42</v>
      </c>
      <c r="J219">
        <v>2</v>
      </c>
      <c r="K219">
        <v>90764.84</v>
      </c>
      <c r="L219">
        <v>13614.73</v>
      </c>
      <c r="M219" s="2">
        <v>45785</v>
      </c>
      <c r="N219" s="2">
        <v>45787</v>
      </c>
    </row>
    <row r="220" spans="1:14" x14ac:dyDescent="0.3">
      <c r="A220" t="s">
        <v>29</v>
      </c>
      <c r="B220" t="s">
        <v>35</v>
      </c>
      <c r="C220" t="s">
        <v>48</v>
      </c>
      <c r="D220" t="s">
        <v>58</v>
      </c>
      <c r="E220" t="s">
        <v>62</v>
      </c>
      <c r="F220" t="s">
        <v>66</v>
      </c>
      <c r="G220">
        <v>18033.689999999999</v>
      </c>
      <c r="H220">
        <v>15</v>
      </c>
      <c r="I220">
        <v>15328.636500000001</v>
      </c>
      <c r="J220">
        <v>4</v>
      </c>
      <c r="K220">
        <v>61314.55</v>
      </c>
      <c r="L220">
        <v>15328.64</v>
      </c>
      <c r="M220" s="2">
        <v>45422</v>
      </c>
      <c r="N220" s="2">
        <v>45425</v>
      </c>
    </row>
    <row r="221" spans="1:14" x14ac:dyDescent="0.3">
      <c r="A221" t="s">
        <v>30</v>
      </c>
      <c r="B221" t="s">
        <v>33</v>
      </c>
      <c r="C221" t="s">
        <v>56</v>
      </c>
      <c r="D221" t="s">
        <v>60</v>
      </c>
      <c r="E221" t="s">
        <v>63</v>
      </c>
      <c r="F221" t="s">
        <v>75</v>
      </c>
      <c r="G221">
        <v>11562.25</v>
      </c>
      <c r="H221">
        <v>5</v>
      </c>
      <c r="I221">
        <v>10984.137500000001</v>
      </c>
      <c r="J221">
        <v>2</v>
      </c>
      <c r="K221">
        <v>21968.27</v>
      </c>
      <c r="L221">
        <v>3295.24</v>
      </c>
      <c r="M221" s="2">
        <v>45672</v>
      </c>
      <c r="N221" s="2">
        <v>45677</v>
      </c>
    </row>
    <row r="222" spans="1:14" x14ac:dyDescent="0.3">
      <c r="A222" t="s">
        <v>27</v>
      </c>
      <c r="B222" t="s">
        <v>35</v>
      </c>
      <c r="C222" t="s">
        <v>46</v>
      </c>
      <c r="D222" t="s">
        <v>59</v>
      </c>
      <c r="E222" t="s">
        <v>61</v>
      </c>
      <c r="F222" t="s">
        <v>70</v>
      </c>
      <c r="G222">
        <v>9233.68</v>
      </c>
      <c r="H222">
        <v>25</v>
      </c>
      <c r="I222">
        <v>6925.26</v>
      </c>
      <c r="J222">
        <v>5</v>
      </c>
      <c r="K222">
        <v>34626.300000000003</v>
      </c>
      <c r="L222">
        <v>12119.2</v>
      </c>
      <c r="M222" s="2">
        <v>45687</v>
      </c>
      <c r="N222" s="2">
        <v>45693</v>
      </c>
    </row>
    <row r="223" spans="1:14" x14ac:dyDescent="0.3">
      <c r="A223" t="s">
        <v>20</v>
      </c>
      <c r="B223" t="s">
        <v>32</v>
      </c>
      <c r="C223" t="s">
        <v>43</v>
      </c>
      <c r="D223" t="s">
        <v>58</v>
      </c>
      <c r="E223" t="s">
        <v>61</v>
      </c>
      <c r="F223" t="s">
        <v>71</v>
      </c>
      <c r="G223">
        <v>28212.49</v>
      </c>
      <c r="H223">
        <v>25</v>
      </c>
      <c r="I223">
        <v>21159.3675</v>
      </c>
      <c r="J223">
        <v>1</v>
      </c>
      <c r="K223">
        <v>21159.37</v>
      </c>
      <c r="L223">
        <v>5289.84</v>
      </c>
      <c r="M223" s="2">
        <v>45321</v>
      </c>
      <c r="N223" s="2">
        <v>45329</v>
      </c>
    </row>
    <row r="224" spans="1:14" x14ac:dyDescent="0.3">
      <c r="A224" t="s">
        <v>30</v>
      </c>
      <c r="B224" t="s">
        <v>33</v>
      </c>
      <c r="C224" t="s">
        <v>57</v>
      </c>
      <c r="D224" t="s">
        <v>60</v>
      </c>
      <c r="E224" t="s">
        <v>61</v>
      </c>
      <c r="F224" t="s">
        <v>70</v>
      </c>
      <c r="G224">
        <v>11901.2</v>
      </c>
      <c r="H224">
        <v>0</v>
      </c>
      <c r="I224">
        <v>11901.2</v>
      </c>
      <c r="J224">
        <v>4</v>
      </c>
      <c r="K224">
        <v>47604.800000000003</v>
      </c>
      <c r="L224">
        <v>7140.72</v>
      </c>
      <c r="M224" s="2">
        <v>45498</v>
      </c>
      <c r="N224" s="2">
        <v>45508</v>
      </c>
    </row>
    <row r="225" spans="1:14" x14ac:dyDescent="0.3">
      <c r="A225" t="s">
        <v>17</v>
      </c>
      <c r="B225" t="s">
        <v>32</v>
      </c>
      <c r="C225" t="s">
        <v>43</v>
      </c>
      <c r="D225" t="s">
        <v>58</v>
      </c>
      <c r="E225" t="s">
        <v>61</v>
      </c>
      <c r="F225" t="s">
        <v>71</v>
      </c>
      <c r="G225">
        <v>7584.6</v>
      </c>
      <c r="H225">
        <v>10</v>
      </c>
      <c r="I225">
        <v>6826.14</v>
      </c>
      <c r="J225">
        <v>3</v>
      </c>
      <c r="K225">
        <v>20478.419999999998</v>
      </c>
      <c r="L225">
        <v>5119.6000000000004</v>
      </c>
      <c r="M225" s="2">
        <v>45670</v>
      </c>
      <c r="N225" s="2">
        <v>45673</v>
      </c>
    </row>
    <row r="226" spans="1:14" x14ac:dyDescent="0.3">
      <c r="A226" t="s">
        <v>17</v>
      </c>
      <c r="B226" t="s">
        <v>32</v>
      </c>
      <c r="C226" t="s">
        <v>54</v>
      </c>
      <c r="D226" t="s">
        <v>60</v>
      </c>
      <c r="E226" t="s">
        <v>61</v>
      </c>
      <c r="F226" t="s">
        <v>65</v>
      </c>
      <c r="G226">
        <v>6486.16</v>
      </c>
      <c r="H226">
        <v>15</v>
      </c>
      <c r="I226">
        <v>5513.2359999999999</v>
      </c>
      <c r="J226">
        <v>2</v>
      </c>
      <c r="K226">
        <v>11026.47</v>
      </c>
      <c r="L226">
        <v>1653.97</v>
      </c>
      <c r="M226" s="2">
        <v>45657</v>
      </c>
      <c r="N226" s="2">
        <v>45664</v>
      </c>
    </row>
    <row r="227" spans="1:14" x14ac:dyDescent="0.3">
      <c r="A227" t="s">
        <v>21</v>
      </c>
      <c r="B227" t="s">
        <v>34</v>
      </c>
      <c r="C227" t="s">
        <v>49</v>
      </c>
      <c r="D227" t="s">
        <v>59</v>
      </c>
      <c r="E227" t="s">
        <v>61</v>
      </c>
      <c r="F227" t="s">
        <v>65</v>
      </c>
      <c r="G227">
        <v>3606.25</v>
      </c>
      <c r="H227">
        <v>10</v>
      </c>
      <c r="I227">
        <v>3245.625</v>
      </c>
      <c r="J227">
        <v>1</v>
      </c>
      <c r="K227">
        <v>3245.62</v>
      </c>
      <c r="L227">
        <v>1135.97</v>
      </c>
      <c r="M227" s="2">
        <v>45840</v>
      </c>
      <c r="N227" s="2">
        <v>45849</v>
      </c>
    </row>
    <row r="228" spans="1:14" x14ac:dyDescent="0.3">
      <c r="A228" t="s">
        <v>25</v>
      </c>
      <c r="B228" t="s">
        <v>34</v>
      </c>
      <c r="C228" t="s">
        <v>45</v>
      </c>
      <c r="D228" t="s">
        <v>59</v>
      </c>
      <c r="E228" t="s">
        <v>63</v>
      </c>
      <c r="F228" t="s">
        <v>73</v>
      </c>
      <c r="G228">
        <v>871.81</v>
      </c>
      <c r="H228">
        <v>25</v>
      </c>
      <c r="I228">
        <v>653.85749999999996</v>
      </c>
      <c r="J228">
        <v>4</v>
      </c>
      <c r="K228">
        <v>2615.4299999999998</v>
      </c>
      <c r="L228">
        <v>915.4</v>
      </c>
      <c r="M228" s="2">
        <v>45499</v>
      </c>
      <c r="N228" s="2">
        <v>45506</v>
      </c>
    </row>
    <row r="229" spans="1:14" x14ac:dyDescent="0.3">
      <c r="A229" t="s">
        <v>27</v>
      </c>
      <c r="B229" t="s">
        <v>35</v>
      </c>
      <c r="C229" t="s">
        <v>46</v>
      </c>
      <c r="D229" t="s">
        <v>59</v>
      </c>
      <c r="E229" t="s">
        <v>62</v>
      </c>
      <c r="F229" t="s">
        <v>67</v>
      </c>
      <c r="G229">
        <v>10229.36</v>
      </c>
      <c r="H229">
        <v>30</v>
      </c>
      <c r="I229">
        <v>7160.5519999999997</v>
      </c>
      <c r="J229">
        <v>1</v>
      </c>
      <c r="K229">
        <v>7160.55</v>
      </c>
      <c r="L229">
        <v>2506.19</v>
      </c>
      <c r="M229" s="2">
        <v>45838</v>
      </c>
      <c r="N229" s="2">
        <v>45846</v>
      </c>
    </row>
    <row r="230" spans="1:14" x14ac:dyDescent="0.3">
      <c r="A230" t="s">
        <v>25</v>
      </c>
      <c r="B230" t="s">
        <v>34</v>
      </c>
      <c r="C230" t="s">
        <v>41</v>
      </c>
      <c r="D230" t="s">
        <v>60</v>
      </c>
      <c r="E230" t="s">
        <v>61</v>
      </c>
      <c r="F230" t="s">
        <v>71</v>
      </c>
      <c r="G230">
        <v>687.26</v>
      </c>
      <c r="H230">
        <v>25</v>
      </c>
      <c r="I230">
        <v>515.44499999999994</v>
      </c>
      <c r="J230">
        <v>5</v>
      </c>
      <c r="K230">
        <v>2577.2199999999998</v>
      </c>
      <c r="L230">
        <v>386.58</v>
      </c>
      <c r="M230" s="2">
        <v>45628</v>
      </c>
      <c r="N230" s="2">
        <v>45637</v>
      </c>
    </row>
    <row r="231" spans="1:14" x14ac:dyDescent="0.3">
      <c r="A231" t="s">
        <v>30</v>
      </c>
      <c r="B231" t="s">
        <v>33</v>
      </c>
      <c r="C231" t="s">
        <v>53</v>
      </c>
      <c r="D231" t="s">
        <v>58</v>
      </c>
      <c r="E231" t="s">
        <v>63</v>
      </c>
      <c r="F231" t="s">
        <v>75</v>
      </c>
      <c r="G231">
        <v>14580.6</v>
      </c>
      <c r="H231">
        <v>25</v>
      </c>
      <c r="I231">
        <v>10935.45</v>
      </c>
      <c r="J231">
        <v>3</v>
      </c>
      <c r="K231">
        <v>32806.35</v>
      </c>
      <c r="L231">
        <v>8201.59</v>
      </c>
      <c r="M231" s="2">
        <v>45430</v>
      </c>
      <c r="N231" s="2">
        <v>45432</v>
      </c>
    </row>
    <row r="232" spans="1:14" x14ac:dyDescent="0.3">
      <c r="A232" t="s">
        <v>18</v>
      </c>
      <c r="B232" t="s">
        <v>33</v>
      </c>
      <c r="C232" t="s">
        <v>38</v>
      </c>
      <c r="D232" t="s">
        <v>59</v>
      </c>
      <c r="E232" t="s">
        <v>63</v>
      </c>
      <c r="F232" t="s">
        <v>75</v>
      </c>
      <c r="G232">
        <v>57896.11</v>
      </c>
      <c r="H232">
        <v>5</v>
      </c>
      <c r="I232">
        <v>55001.304499999998</v>
      </c>
      <c r="J232">
        <v>5</v>
      </c>
      <c r="K232">
        <v>275006.52</v>
      </c>
      <c r="L232">
        <v>96252.28</v>
      </c>
      <c r="M232" s="2">
        <v>45327</v>
      </c>
      <c r="N232" s="2">
        <v>45329</v>
      </c>
    </row>
    <row r="233" spans="1:14" x14ac:dyDescent="0.3">
      <c r="A233" t="s">
        <v>30</v>
      </c>
      <c r="B233" t="s">
        <v>33</v>
      </c>
      <c r="C233" t="s">
        <v>39</v>
      </c>
      <c r="D233" t="s">
        <v>58</v>
      </c>
      <c r="E233" t="s">
        <v>61</v>
      </c>
      <c r="F233" t="s">
        <v>65</v>
      </c>
      <c r="G233">
        <v>14482.37</v>
      </c>
      <c r="H233">
        <v>10</v>
      </c>
      <c r="I233">
        <v>13034.133</v>
      </c>
      <c r="J233">
        <v>3</v>
      </c>
      <c r="K233">
        <v>39102.400000000001</v>
      </c>
      <c r="L233">
        <v>9775.6</v>
      </c>
      <c r="M233" s="2">
        <v>45516</v>
      </c>
      <c r="N233" s="2">
        <v>45523</v>
      </c>
    </row>
    <row r="234" spans="1:14" x14ac:dyDescent="0.3">
      <c r="A234" t="s">
        <v>24</v>
      </c>
      <c r="B234" t="s">
        <v>32</v>
      </c>
      <c r="C234" t="s">
        <v>43</v>
      </c>
      <c r="D234" t="s">
        <v>58</v>
      </c>
      <c r="E234" t="s">
        <v>64</v>
      </c>
      <c r="F234" t="s">
        <v>72</v>
      </c>
      <c r="G234">
        <v>27073.119999999999</v>
      </c>
      <c r="H234">
        <v>25</v>
      </c>
      <c r="I234">
        <v>20304.84</v>
      </c>
      <c r="J234">
        <v>5</v>
      </c>
      <c r="K234">
        <v>101524.2</v>
      </c>
      <c r="L234">
        <v>25381.05</v>
      </c>
      <c r="M234" s="2">
        <v>45393</v>
      </c>
      <c r="N234" s="2">
        <v>45397</v>
      </c>
    </row>
    <row r="235" spans="1:14" x14ac:dyDescent="0.3">
      <c r="A235" t="s">
        <v>17</v>
      </c>
      <c r="B235" t="s">
        <v>32</v>
      </c>
      <c r="C235" t="s">
        <v>37</v>
      </c>
      <c r="D235" t="s">
        <v>59</v>
      </c>
      <c r="E235" t="s">
        <v>61</v>
      </c>
      <c r="F235" t="s">
        <v>65</v>
      </c>
      <c r="G235">
        <v>9519.26</v>
      </c>
      <c r="H235">
        <v>10</v>
      </c>
      <c r="I235">
        <v>8567.3340000000007</v>
      </c>
      <c r="J235">
        <v>5</v>
      </c>
      <c r="K235">
        <v>42836.67</v>
      </c>
      <c r="L235">
        <v>14992.83</v>
      </c>
      <c r="M235" s="2">
        <v>45419</v>
      </c>
      <c r="N235" s="2">
        <v>45428</v>
      </c>
    </row>
    <row r="236" spans="1:14" x14ac:dyDescent="0.3">
      <c r="A236" t="s">
        <v>30</v>
      </c>
      <c r="B236" t="s">
        <v>33</v>
      </c>
      <c r="C236" t="s">
        <v>56</v>
      </c>
      <c r="D236" t="s">
        <v>60</v>
      </c>
      <c r="E236" t="s">
        <v>62</v>
      </c>
      <c r="F236" t="s">
        <v>66</v>
      </c>
      <c r="G236">
        <v>13160.35</v>
      </c>
      <c r="H236">
        <v>5</v>
      </c>
      <c r="I236">
        <v>12502.3325</v>
      </c>
      <c r="J236">
        <v>1</v>
      </c>
      <c r="K236">
        <v>12502.33</v>
      </c>
      <c r="L236">
        <v>1875.35</v>
      </c>
      <c r="M236" s="2">
        <v>45582</v>
      </c>
      <c r="N236" s="2">
        <v>45586</v>
      </c>
    </row>
    <row r="237" spans="1:14" x14ac:dyDescent="0.3">
      <c r="A237" t="s">
        <v>25</v>
      </c>
      <c r="B237" t="s">
        <v>34</v>
      </c>
      <c r="C237" t="s">
        <v>41</v>
      </c>
      <c r="D237" t="s">
        <v>60</v>
      </c>
      <c r="E237" t="s">
        <v>61</v>
      </c>
      <c r="F237" t="s">
        <v>70</v>
      </c>
      <c r="G237">
        <v>675.96</v>
      </c>
      <c r="H237">
        <v>25</v>
      </c>
      <c r="I237">
        <v>506.97</v>
      </c>
      <c r="J237">
        <v>4</v>
      </c>
      <c r="K237">
        <v>2027.88</v>
      </c>
      <c r="L237">
        <v>304.18</v>
      </c>
      <c r="M237" s="2">
        <v>45493</v>
      </c>
      <c r="N237" s="2">
        <v>45500</v>
      </c>
    </row>
    <row r="238" spans="1:14" x14ac:dyDescent="0.3">
      <c r="A238" t="s">
        <v>19</v>
      </c>
      <c r="B238" t="s">
        <v>33</v>
      </c>
      <c r="C238" t="s">
        <v>57</v>
      </c>
      <c r="D238" t="s">
        <v>60</v>
      </c>
      <c r="E238" t="s">
        <v>63</v>
      </c>
      <c r="F238" t="s">
        <v>68</v>
      </c>
      <c r="G238">
        <v>1692.64</v>
      </c>
      <c r="H238">
        <v>15</v>
      </c>
      <c r="I238">
        <v>1438.7439999999999</v>
      </c>
      <c r="J238">
        <v>4</v>
      </c>
      <c r="K238">
        <v>5754.98</v>
      </c>
      <c r="L238">
        <v>863.25</v>
      </c>
      <c r="M238" s="2">
        <v>45542</v>
      </c>
      <c r="N238" s="2">
        <v>45544</v>
      </c>
    </row>
    <row r="239" spans="1:14" x14ac:dyDescent="0.3">
      <c r="A239" t="s">
        <v>24</v>
      </c>
      <c r="B239" t="s">
        <v>32</v>
      </c>
      <c r="C239" t="s">
        <v>37</v>
      </c>
      <c r="D239" t="s">
        <v>59</v>
      </c>
      <c r="E239" t="s">
        <v>62</v>
      </c>
      <c r="F239" t="s">
        <v>67</v>
      </c>
      <c r="G239">
        <v>30851.59</v>
      </c>
      <c r="H239">
        <v>5</v>
      </c>
      <c r="I239">
        <v>29309.0105</v>
      </c>
      <c r="J239">
        <v>2</v>
      </c>
      <c r="K239">
        <v>58618.02</v>
      </c>
      <c r="L239">
        <v>20516.310000000001</v>
      </c>
      <c r="M239" s="2">
        <v>45820</v>
      </c>
      <c r="N239" s="2">
        <v>45826</v>
      </c>
    </row>
    <row r="240" spans="1:14" x14ac:dyDescent="0.3">
      <c r="A240" t="s">
        <v>21</v>
      </c>
      <c r="B240" t="s">
        <v>34</v>
      </c>
      <c r="C240" t="s">
        <v>51</v>
      </c>
      <c r="D240" t="s">
        <v>59</v>
      </c>
      <c r="E240" t="s">
        <v>62</v>
      </c>
      <c r="F240" t="s">
        <v>66</v>
      </c>
      <c r="G240">
        <v>3704.83</v>
      </c>
      <c r="H240">
        <v>30</v>
      </c>
      <c r="I240">
        <v>2593.3809999999999</v>
      </c>
      <c r="J240">
        <v>2</v>
      </c>
      <c r="K240">
        <v>5186.76</v>
      </c>
      <c r="L240">
        <v>1815.37</v>
      </c>
      <c r="M240" s="2">
        <v>45564</v>
      </c>
      <c r="N240" s="2">
        <v>45568</v>
      </c>
    </row>
    <row r="241" spans="1:14" x14ac:dyDescent="0.3">
      <c r="A241" t="s">
        <v>30</v>
      </c>
      <c r="B241" t="s">
        <v>33</v>
      </c>
      <c r="C241" t="s">
        <v>57</v>
      </c>
      <c r="D241" t="s">
        <v>60</v>
      </c>
      <c r="E241" t="s">
        <v>64</v>
      </c>
      <c r="F241" t="s">
        <v>74</v>
      </c>
      <c r="G241">
        <v>13128.03</v>
      </c>
      <c r="H241">
        <v>5</v>
      </c>
      <c r="I241">
        <v>12471.628500000001</v>
      </c>
      <c r="J241">
        <v>5</v>
      </c>
      <c r="K241">
        <v>62358.14</v>
      </c>
      <c r="L241">
        <v>9353.7199999999993</v>
      </c>
      <c r="M241" s="2">
        <v>45816</v>
      </c>
      <c r="N241" s="2">
        <v>45820</v>
      </c>
    </row>
    <row r="242" spans="1:14" x14ac:dyDescent="0.3">
      <c r="A242" t="s">
        <v>26</v>
      </c>
      <c r="B242" t="s">
        <v>32</v>
      </c>
      <c r="C242" t="s">
        <v>40</v>
      </c>
      <c r="D242" t="s">
        <v>59</v>
      </c>
      <c r="E242" t="s">
        <v>64</v>
      </c>
      <c r="F242" t="s">
        <v>74</v>
      </c>
      <c r="G242">
        <v>45397.88</v>
      </c>
      <c r="H242">
        <v>20</v>
      </c>
      <c r="I242">
        <v>36318.303999999996</v>
      </c>
      <c r="J242">
        <v>4</v>
      </c>
      <c r="K242">
        <v>145273.22</v>
      </c>
      <c r="L242">
        <v>50845.63</v>
      </c>
      <c r="M242" s="2">
        <v>45300</v>
      </c>
      <c r="N242" s="2">
        <v>45302</v>
      </c>
    </row>
    <row r="243" spans="1:14" x14ac:dyDescent="0.3">
      <c r="A243" t="s">
        <v>28</v>
      </c>
      <c r="B243" t="s">
        <v>34</v>
      </c>
      <c r="C243" t="s">
        <v>51</v>
      </c>
      <c r="D243" t="s">
        <v>59</v>
      </c>
      <c r="E243" t="s">
        <v>62</v>
      </c>
      <c r="F243" t="s">
        <v>66</v>
      </c>
      <c r="G243">
        <v>1958.66</v>
      </c>
      <c r="H243">
        <v>25</v>
      </c>
      <c r="I243">
        <v>1468.9949999999999</v>
      </c>
      <c r="J243">
        <v>1</v>
      </c>
      <c r="K243">
        <v>1469</v>
      </c>
      <c r="L243">
        <v>514.15</v>
      </c>
      <c r="M243" s="2">
        <v>45752</v>
      </c>
      <c r="N243" s="2">
        <v>45754</v>
      </c>
    </row>
    <row r="244" spans="1:14" x14ac:dyDescent="0.3">
      <c r="A244" t="s">
        <v>24</v>
      </c>
      <c r="B244" t="s">
        <v>32</v>
      </c>
      <c r="C244" t="s">
        <v>54</v>
      </c>
      <c r="D244" t="s">
        <v>60</v>
      </c>
      <c r="E244" t="s">
        <v>62</v>
      </c>
      <c r="F244" t="s">
        <v>67</v>
      </c>
      <c r="G244">
        <v>22078.06</v>
      </c>
      <c r="H244">
        <v>30</v>
      </c>
      <c r="I244">
        <v>15454.642</v>
      </c>
      <c r="J244">
        <v>1</v>
      </c>
      <c r="K244">
        <v>15454.64</v>
      </c>
      <c r="L244">
        <v>2318.1999999999998</v>
      </c>
      <c r="M244" s="2">
        <v>45519</v>
      </c>
      <c r="N244" s="2">
        <v>45524</v>
      </c>
    </row>
    <row r="245" spans="1:14" x14ac:dyDescent="0.3">
      <c r="A245" t="s">
        <v>20</v>
      </c>
      <c r="B245" t="s">
        <v>32</v>
      </c>
      <c r="C245" t="s">
        <v>40</v>
      </c>
      <c r="D245" t="s">
        <v>59</v>
      </c>
      <c r="E245" t="s">
        <v>61</v>
      </c>
      <c r="F245" t="s">
        <v>70</v>
      </c>
      <c r="G245">
        <v>34680.69</v>
      </c>
      <c r="H245">
        <v>5</v>
      </c>
      <c r="I245">
        <v>32946.655500000001</v>
      </c>
      <c r="J245">
        <v>2</v>
      </c>
      <c r="K245">
        <v>65893.31</v>
      </c>
      <c r="L245">
        <v>23062.66</v>
      </c>
      <c r="M245" s="2">
        <v>45588</v>
      </c>
      <c r="N245" s="2">
        <v>45593</v>
      </c>
    </row>
    <row r="246" spans="1:14" x14ac:dyDescent="0.3">
      <c r="A246" t="s">
        <v>20</v>
      </c>
      <c r="B246" t="s">
        <v>32</v>
      </c>
      <c r="C246" t="s">
        <v>43</v>
      </c>
      <c r="D246" t="s">
        <v>58</v>
      </c>
      <c r="E246" t="s">
        <v>61</v>
      </c>
      <c r="F246" t="s">
        <v>71</v>
      </c>
      <c r="G246">
        <v>29412.19</v>
      </c>
      <c r="H246">
        <v>15</v>
      </c>
      <c r="I246">
        <v>25000.361499999999</v>
      </c>
      <c r="J246">
        <v>3</v>
      </c>
      <c r="K246">
        <v>75001.08</v>
      </c>
      <c r="L246">
        <v>18750.27</v>
      </c>
      <c r="M246" s="2">
        <v>45845</v>
      </c>
      <c r="N246" s="2">
        <v>45855</v>
      </c>
    </row>
    <row r="247" spans="1:14" x14ac:dyDescent="0.3">
      <c r="A247" t="s">
        <v>26</v>
      </c>
      <c r="B247" t="s">
        <v>32</v>
      </c>
      <c r="C247" t="s">
        <v>37</v>
      </c>
      <c r="D247" t="s">
        <v>59</v>
      </c>
      <c r="E247" t="s">
        <v>62</v>
      </c>
      <c r="F247" t="s">
        <v>66</v>
      </c>
      <c r="G247">
        <v>44828.69</v>
      </c>
      <c r="H247">
        <v>25</v>
      </c>
      <c r="I247">
        <v>33621.517500000002</v>
      </c>
      <c r="J247">
        <v>1</v>
      </c>
      <c r="K247">
        <v>33621.519999999997</v>
      </c>
      <c r="L247">
        <v>11767.53</v>
      </c>
      <c r="M247" s="2">
        <v>45558</v>
      </c>
      <c r="N247" s="2">
        <v>45567</v>
      </c>
    </row>
    <row r="248" spans="1:14" x14ac:dyDescent="0.3">
      <c r="A248" t="s">
        <v>28</v>
      </c>
      <c r="B248" t="s">
        <v>34</v>
      </c>
      <c r="C248" t="s">
        <v>52</v>
      </c>
      <c r="D248" t="s">
        <v>60</v>
      </c>
      <c r="E248" t="s">
        <v>62</v>
      </c>
      <c r="F248" t="s">
        <v>69</v>
      </c>
      <c r="G248">
        <v>1292.25</v>
      </c>
      <c r="H248">
        <v>30</v>
      </c>
      <c r="I248">
        <v>904.57499999999993</v>
      </c>
      <c r="J248">
        <v>4</v>
      </c>
      <c r="K248">
        <v>3618.3</v>
      </c>
      <c r="L248">
        <v>542.75</v>
      </c>
      <c r="M248" s="2">
        <v>45819</v>
      </c>
      <c r="N248" s="2">
        <v>45827</v>
      </c>
    </row>
    <row r="249" spans="1:14" x14ac:dyDescent="0.3">
      <c r="A249" t="s">
        <v>19</v>
      </c>
      <c r="B249" t="s">
        <v>33</v>
      </c>
      <c r="C249" t="s">
        <v>53</v>
      </c>
      <c r="D249" t="s">
        <v>58</v>
      </c>
      <c r="E249" t="s">
        <v>63</v>
      </c>
      <c r="F249" t="s">
        <v>73</v>
      </c>
      <c r="G249">
        <v>1955.84</v>
      </c>
      <c r="H249">
        <v>15</v>
      </c>
      <c r="I249">
        <v>1662.4639999999999</v>
      </c>
      <c r="J249">
        <v>5</v>
      </c>
      <c r="K249">
        <v>8312.32</v>
      </c>
      <c r="L249">
        <v>2078.08</v>
      </c>
      <c r="M249" s="2">
        <v>45382</v>
      </c>
      <c r="N249" s="2">
        <v>45386</v>
      </c>
    </row>
    <row r="250" spans="1:14" x14ac:dyDescent="0.3">
      <c r="A250" t="s">
        <v>22</v>
      </c>
      <c r="B250" t="s">
        <v>31</v>
      </c>
      <c r="C250" t="s">
        <v>36</v>
      </c>
      <c r="D250" t="s">
        <v>58</v>
      </c>
      <c r="E250" t="s">
        <v>61</v>
      </c>
      <c r="F250" t="s">
        <v>65</v>
      </c>
      <c r="G250">
        <v>3272.04</v>
      </c>
      <c r="H250">
        <v>5</v>
      </c>
      <c r="I250">
        <v>3108.4380000000001</v>
      </c>
      <c r="J250">
        <v>5</v>
      </c>
      <c r="K250">
        <v>15542.19</v>
      </c>
      <c r="L250">
        <v>3885.55</v>
      </c>
      <c r="M250" s="2">
        <v>45422</v>
      </c>
      <c r="N250" s="2">
        <v>45425</v>
      </c>
    </row>
    <row r="251" spans="1:14" x14ac:dyDescent="0.3">
      <c r="A251" t="s">
        <v>17</v>
      </c>
      <c r="B251" t="s">
        <v>32</v>
      </c>
      <c r="C251" t="s">
        <v>37</v>
      </c>
      <c r="D251" t="s">
        <v>59</v>
      </c>
      <c r="E251" t="s">
        <v>61</v>
      </c>
      <c r="F251" t="s">
        <v>65</v>
      </c>
      <c r="G251">
        <v>9068.15</v>
      </c>
      <c r="H251">
        <v>20</v>
      </c>
      <c r="I251">
        <v>7254.52</v>
      </c>
      <c r="J251">
        <v>5</v>
      </c>
      <c r="K251">
        <v>36272.6</v>
      </c>
      <c r="L251">
        <v>12695.41</v>
      </c>
      <c r="M251" s="2">
        <v>45416</v>
      </c>
      <c r="N251" s="2">
        <v>45422</v>
      </c>
    </row>
    <row r="252" spans="1:14" x14ac:dyDescent="0.3">
      <c r="A252" t="s">
        <v>24</v>
      </c>
      <c r="B252" t="s">
        <v>32</v>
      </c>
      <c r="C252" t="s">
        <v>37</v>
      </c>
      <c r="D252" t="s">
        <v>59</v>
      </c>
      <c r="E252" t="s">
        <v>61</v>
      </c>
      <c r="F252" t="s">
        <v>65</v>
      </c>
      <c r="G252">
        <v>30172.3</v>
      </c>
      <c r="H252">
        <v>15</v>
      </c>
      <c r="I252">
        <v>25646.455000000002</v>
      </c>
      <c r="J252">
        <v>1</v>
      </c>
      <c r="K252">
        <v>25646.45</v>
      </c>
      <c r="L252">
        <v>8976.26</v>
      </c>
      <c r="M252" s="2">
        <v>45620</v>
      </c>
      <c r="N252" s="2">
        <v>45626</v>
      </c>
    </row>
    <row r="253" spans="1:14" x14ac:dyDescent="0.3">
      <c r="A253" t="s">
        <v>26</v>
      </c>
      <c r="B253" t="s">
        <v>32</v>
      </c>
      <c r="C253" t="s">
        <v>40</v>
      </c>
      <c r="D253" t="s">
        <v>59</v>
      </c>
      <c r="E253" t="s">
        <v>63</v>
      </c>
      <c r="F253" t="s">
        <v>75</v>
      </c>
      <c r="G253">
        <v>38614.36</v>
      </c>
      <c r="H253">
        <v>15</v>
      </c>
      <c r="I253">
        <v>32822.205999999998</v>
      </c>
      <c r="J253">
        <v>4</v>
      </c>
      <c r="K253">
        <v>131288.82</v>
      </c>
      <c r="L253">
        <v>45951.09</v>
      </c>
      <c r="M253" s="2">
        <v>45773</v>
      </c>
      <c r="N253" s="2">
        <v>45782</v>
      </c>
    </row>
    <row r="254" spans="1:14" x14ac:dyDescent="0.3">
      <c r="A254" t="s">
        <v>17</v>
      </c>
      <c r="B254" t="s">
        <v>32</v>
      </c>
      <c r="C254" t="s">
        <v>40</v>
      </c>
      <c r="D254" t="s">
        <v>59</v>
      </c>
      <c r="E254" t="s">
        <v>62</v>
      </c>
      <c r="F254" t="s">
        <v>67</v>
      </c>
      <c r="G254">
        <v>9645.64</v>
      </c>
      <c r="H254">
        <v>0</v>
      </c>
      <c r="I254">
        <v>9645.64</v>
      </c>
      <c r="J254">
        <v>1</v>
      </c>
      <c r="K254">
        <v>9645.64</v>
      </c>
      <c r="L254">
        <v>3375.97</v>
      </c>
      <c r="M254" s="2">
        <v>45377</v>
      </c>
      <c r="N254" s="2">
        <v>45383</v>
      </c>
    </row>
    <row r="255" spans="1:14" x14ac:dyDescent="0.3">
      <c r="A255" t="s">
        <v>30</v>
      </c>
      <c r="B255" t="s">
        <v>33</v>
      </c>
      <c r="C255" t="s">
        <v>53</v>
      </c>
      <c r="D255" t="s">
        <v>58</v>
      </c>
      <c r="E255" t="s">
        <v>63</v>
      </c>
      <c r="F255" t="s">
        <v>73</v>
      </c>
      <c r="G255">
        <v>14680.49</v>
      </c>
      <c r="H255">
        <v>10</v>
      </c>
      <c r="I255">
        <v>13212.441000000001</v>
      </c>
      <c r="J255">
        <v>3</v>
      </c>
      <c r="K255">
        <v>39637.32</v>
      </c>
      <c r="L255">
        <v>9909.33</v>
      </c>
      <c r="M255" s="2">
        <v>45799</v>
      </c>
      <c r="N255" s="2">
        <v>45802</v>
      </c>
    </row>
    <row r="256" spans="1:14" x14ac:dyDescent="0.3">
      <c r="A256" t="s">
        <v>16</v>
      </c>
      <c r="B256" t="s">
        <v>31</v>
      </c>
      <c r="C256" t="s">
        <v>47</v>
      </c>
      <c r="D256" t="s">
        <v>59</v>
      </c>
      <c r="E256" t="s">
        <v>63</v>
      </c>
      <c r="F256" t="s">
        <v>75</v>
      </c>
      <c r="G256">
        <v>2977.94</v>
      </c>
      <c r="H256">
        <v>20</v>
      </c>
      <c r="I256">
        <v>2382.3519999999999</v>
      </c>
      <c r="J256">
        <v>3</v>
      </c>
      <c r="K256">
        <v>7147.06</v>
      </c>
      <c r="L256">
        <v>2501.4699999999998</v>
      </c>
      <c r="M256" s="2">
        <v>45665</v>
      </c>
      <c r="N256" s="2">
        <v>45673</v>
      </c>
    </row>
    <row r="257" spans="1:14" x14ac:dyDescent="0.3">
      <c r="A257" t="s">
        <v>21</v>
      </c>
      <c r="B257" t="s">
        <v>34</v>
      </c>
      <c r="C257" t="s">
        <v>52</v>
      </c>
      <c r="D257" t="s">
        <v>60</v>
      </c>
      <c r="E257" t="s">
        <v>62</v>
      </c>
      <c r="F257" t="s">
        <v>69</v>
      </c>
      <c r="G257">
        <v>2673.57</v>
      </c>
      <c r="H257">
        <v>10</v>
      </c>
      <c r="I257">
        <v>2406.2130000000002</v>
      </c>
      <c r="J257">
        <v>2</v>
      </c>
      <c r="K257">
        <v>4812.43</v>
      </c>
      <c r="L257">
        <v>721.86</v>
      </c>
      <c r="M257" s="2">
        <v>45492</v>
      </c>
      <c r="N257" s="2">
        <v>45497</v>
      </c>
    </row>
    <row r="258" spans="1:14" x14ac:dyDescent="0.3">
      <c r="A258" t="s">
        <v>28</v>
      </c>
      <c r="B258" t="s">
        <v>34</v>
      </c>
      <c r="C258" t="s">
        <v>45</v>
      </c>
      <c r="D258" t="s">
        <v>59</v>
      </c>
      <c r="E258" t="s">
        <v>61</v>
      </c>
      <c r="F258" t="s">
        <v>65</v>
      </c>
      <c r="G258">
        <v>1838.37</v>
      </c>
      <c r="H258">
        <v>30</v>
      </c>
      <c r="I258">
        <v>1286.8589999999999</v>
      </c>
      <c r="J258">
        <v>4</v>
      </c>
      <c r="K258">
        <v>5147.4399999999996</v>
      </c>
      <c r="L258">
        <v>1801.6</v>
      </c>
      <c r="M258" s="2">
        <v>45347</v>
      </c>
      <c r="N258" s="2">
        <v>45353</v>
      </c>
    </row>
    <row r="259" spans="1:14" x14ac:dyDescent="0.3">
      <c r="A259" t="s">
        <v>21</v>
      </c>
      <c r="B259" t="s">
        <v>34</v>
      </c>
      <c r="C259" t="s">
        <v>45</v>
      </c>
      <c r="D259" t="s">
        <v>59</v>
      </c>
      <c r="E259" t="s">
        <v>62</v>
      </c>
      <c r="F259" t="s">
        <v>67</v>
      </c>
      <c r="G259">
        <v>3887.41</v>
      </c>
      <c r="H259">
        <v>25</v>
      </c>
      <c r="I259">
        <v>2915.5574999999999</v>
      </c>
      <c r="J259">
        <v>4</v>
      </c>
      <c r="K259">
        <v>11662.23</v>
      </c>
      <c r="L259">
        <v>4081.78</v>
      </c>
      <c r="M259" s="2">
        <v>45292</v>
      </c>
      <c r="N259" s="2">
        <v>45297</v>
      </c>
    </row>
    <row r="260" spans="1:14" x14ac:dyDescent="0.3">
      <c r="A260" t="s">
        <v>16</v>
      </c>
      <c r="B260" t="s">
        <v>31</v>
      </c>
      <c r="C260" t="s">
        <v>42</v>
      </c>
      <c r="D260" t="s">
        <v>60</v>
      </c>
      <c r="E260" t="s">
        <v>64</v>
      </c>
      <c r="F260" t="s">
        <v>72</v>
      </c>
      <c r="G260">
        <v>2323.17</v>
      </c>
      <c r="H260">
        <v>30</v>
      </c>
      <c r="I260">
        <v>1626.2190000000001</v>
      </c>
      <c r="J260">
        <v>5</v>
      </c>
      <c r="K260">
        <v>8131.1</v>
      </c>
      <c r="L260">
        <v>1219.6600000000001</v>
      </c>
      <c r="M260" s="2">
        <v>45602</v>
      </c>
      <c r="N260" s="2">
        <v>45611</v>
      </c>
    </row>
    <row r="261" spans="1:14" x14ac:dyDescent="0.3">
      <c r="A261" t="s">
        <v>27</v>
      </c>
      <c r="B261" t="s">
        <v>35</v>
      </c>
      <c r="C261" t="s">
        <v>44</v>
      </c>
      <c r="D261" t="s">
        <v>60</v>
      </c>
      <c r="E261" t="s">
        <v>62</v>
      </c>
      <c r="F261" t="s">
        <v>67</v>
      </c>
      <c r="G261">
        <v>6887.79</v>
      </c>
      <c r="H261">
        <v>10</v>
      </c>
      <c r="I261">
        <v>6199.0110000000004</v>
      </c>
      <c r="J261">
        <v>5</v>
      </c>
      <c r="K261">
        <v>30995.06</v>
      </c>
      <c r="L261">
        <v>4649.26</v>
      </c>
      <c r="M261" s="2">
        <v>45520</v>
      </c>
      <c r="N261" s="2">
        <v>45529</v>
      </c>
    </row>
    <row r="262" spans="1:14" x14ac:dyDescent="0.3">
      <c r="A262" t="s">
        <v>24</v>
      </c>
      <c r="B262" t="s">
        <v>32</v>
      </c>
      <c r="C262" t="s">
        <v>37</v>
      </c>
      <c r="D262" t="s">
        <v>59</v>
      </c>
      <c r="E262" t="s">
        <v>61</v>
      </c>
      <c r="F262" t="s">
        <v>65</v>
      </c>
      <c r="G262">
        <v>30147.19</v>
      </c>
      <c r="H262">
        <v>25</v>
      </c>
      <c r="I262">
        <v>22610.392500000002</v>
      </c>
      <c r="J262">
        <v>5</v>
      </c>
      <c r="K262">
        <v>113051.96</v>
      </c>
      <c r="L262">
        <v>39568.19</v>
      </c>
      <c r="M262" s="2">
        <v>45352</v>
      </c>
      <c r="N262" s="2">
        <v>45355</v>
      </c>
    </row>
    <row r="263" spans="1:14" x14ac:dyDescent="0.3">
      <c r="A263" t="s">
        <v>19</v>
      </c>
      <c r="B263" t="s">
        <v>33</v>
      </c>
      <c r="C263" t="s">
        <v>39</v>
      </c>
      <c r="D263" t="s">
        <v>58</v>
      </c>
      <c r="E263" t="s">
        <v>63</v>
      </c>
      <c r="F263" t="s">
        <v>68</v>
      </c>
      <c r="G263">
        <v>1826.54</v>
      </c>
      <c r="H263">
        <v>25</v>
      </c>
      <c r="I263">
        <v>1369.905</v>
      </c>
      <c r="J263">
        <v>2</v>
      </c>
      <c r="K263">
        <v>2739.81</v>
      </c>
      <c r="L263">
        <v>684.95</v>
      </c>
      <c r="M263" s="2">
        <v>45588</v>
      </c>
      <c r="N263" s="2">
        <v>45593</v>
      </c>
    </row>
    <row r="264" spans="1:14" x14ac:dyDescent="0.3">
      <c r="A264" t="s">
        <v>18</v>
      </c>
      <c r="B264" t="s">
        <v>33</v>
      </c>
      <c r="C264" t="s">
        <v>53</v>
      </c>
      <c r="D264" t="s">
        <v>58</v>
      </c>
      <c r="E264" t="s">
        <v>62</v>
      </c>
      <c r="F264" t="s">
        <v>69</v>
      </c>
      <c r="G264">
        <v>50861.87</v>
      </c>
      <c r="H264">
        <v>20</v>
      </c>
      <c r="I264">
        <v>40689.496000000006</v>
      </c>
      <c r="J264">
        <v>3</v>
      </c>
      <c r="K264">
        <v>122068.49</v>
      </c>
      <c r="L264">
        <v>30517.119999999999</v>
      </c>
      <c r="M264" s="2">
        <v>45686</v>
      </c>
      <c r="N264" s="2">
        <v>45695</v>
      </c>
    </row>
    <row r="265" spans="1:14" x14ac:dyDescent="0.3">
      <c r="A265" t="s">
        <v>25</v>
      </c>
      <c r="B265" t="s">
        <v>34</v>
      </c>
      <c r="C265" t="s">
        <v>49</v>
      </c>
      <c r="D265" t="s">
        <v>59</v>
      </c>
      <c r="E265" t="s">
        <v>61</v>
      </c>
      <c r="F265" t="s">
        <v>71</v>
      </c>
      <c r="G265">
        <v>900.76</v>
      </c>
      <c r="H265">
        <v>10</v>
      </c>
      <c r="I265">
        <v>810.68399999999997</v>
      </c>
      <c r="J265">
        <v>1</v>
      </c>
      <c r="K265">
        <v>810.68</v>
      </c>
      <c r="L265">
        <v>283.74</v>
      </c>
      <c r="M265" s="2">
        <v>45342</v>
      </c>
      <c r="N265" s="2">
        <v>45345</v>
      </c>
    </row>
    <row r="266" spans="1:14" x14ac:dyDescent="0.3">
      <c r="A266" t="s">
        <v>22</v>
      </c>
      <c r="B266" t="s">
        <v>31</v>
      </c>
      <c r="C266" t="s">
        <v>36</v>
      </c>
      <c r="D266" t="s">
        <v>58</v>
      </c>
      <c r="E266" t="s">
        <v>62</v>
      </c>
      <c r="F266" t="s">
        <v>69</v>
      </c>
      <c r="G266">
        <v>3690.03</v>
      </c>
      <c r="H266">
        <v>0</v>
      </c>
      <c r="I266">
        <v>3690.03</v>
      </c>
      <c r="J266">
        <v>1</v>
      </c>
      <c r="K266">
        <v>3690.03</v>
      </c>
      <c r="L266">
        <v>922.51</v>
      </c>
      <c r="M266" s="2">
        <v>45442</v>
      </c>
      <c r="N266" s="2">
        <v>45444</v>
      </c>
    </row>
    <row r="267" spans="1:14" x14ac:dyDescent="0.3">
      <c r="A267" t="s">
        <v>24</v>
      </c>
      <c r="B267" t="s">
        <v>32</v>
      </c>
      <c r="C267" t="s">
        <v>37</v>
      </c>
      <c r="D267" t="s">
        <v>59</v>
      </c>
      <c r="E267" t="s">
        <v>61</v>
      </c>
      <c r="F267" t="s">
        <v>65</v>
      </c>
      <c r="G267">
        <v>30177.95</v>
      </c>
      <c r="H267">
        <v>5</v>
      </c>
      <c r="I267">
        <v>28669.052500000002</v>
      </c>
      <c r="J267">
        <v>5</v>
      </c>
      <c r="K267">
        <v>143345.26</v>
      </c>
      <c r="L267">
        <v>50170.84</v>
      </c>
      <c r="M267" s="2">
        <v>45865</v>
      </c>
      <c r="N267" s="2">
        <v>45869</v>
      </c>
    </row>
    <row r="268" spans="1:14" x14ac:dyDescent="0.3">
      <c r="A268" t="s">
        <v>23</v>
      </c>
      <c r="B268" t="s">
        <v>35</v>
      </c>
      <c r="C268" t="s">
        <v>38</v>
      </c>
      <c r="D268" t="s">
        <v>59</v>
      </c>
      <c r="E268" t="s">
        <v>63</v>
      </c>
      <c r="F268" t="s">
        <v>75</v>
      </c>
      <c r="G268">
        <v>28719.81</v>
      </c>
      <c r="H268">
        <v>0</v>
      </c>
      <c r="I268">
        <v>28719.81</v>
      </c>
      <c r="J268">
        <v>4</v>
      </c>
      <c r="K268">
        <v>114879.24</v>
      </c>
      <c r="L268">
        <v>40207.730000000003</v>
      </c>
      <c r="M268" s="2">
        <v>45311</v>
      </c>
      <c r="N268" s="2">
        <v>45313</v>
      </c>
    </row>
    <row r="269" spans="1:14" x14ac:dyDescent="0.3">
      <c r="A269" t="s">
        <v>18</v>
      </c>
      <c r="B269" t="s">
        <v>33</v>
      </c>
      <c r="C269" t="s">
        <v>53</v>
      </c>
      <c r="D269" t="s">
        <v>58</v>
      </c>
      <c r="E269" t="s">
        <v>63</v>
      </c>
      <c r="F269" t="s">
        <v>73</v>
      </c>
      <c r="G269">
        <v>49243.58</v>
      </c>
      <c r="H269">
        <v>15</v>
      </c>
      <c r="I269">
        <v>41857.042999999998</v>
      </c>
      <c r="J269">
        <v>3</v>
      </c>
      <c r="K269">
        <v>125571.13</v>
      </c>
      <c r="L269">
        <v>31392.78</v>
      </c>
      <c r="M269" s="2">
        <v>45814</v>
      </c>
      <c r="N269" s="2">
        <v>45819</v>
      </c>
    </row>
    <row r="270" spans="1:14" x14ac:dyDescent="0.3">
      <c r="A270" t="s">
        <v>25</v>
      </c>
      <c r="B270" t="s">
        <v>34</v>
      </c>
      <c r="C270" t="s">
        <v>55</v>
      </c>
      <c r="D270" t="s">
        <v>58</v>
      </c>
      <c r="E270" t="s">
        <v>62</v>
      </c>
      <c r="F270" t="s">
        <v>69</v>
      </c>
      <c r="G270">
        <v>804.32</v>
      </c>
      <c r="H270">
        <v>25</v>
      </c>
      <c r="I270">
        <v>603.24</v>
      </c>
      <c r="J270">
        <v>5</v>
      </c>
      <c r="K270">
        <v>3016.2</v>
      </c>
      <c r="L270">
        <v>754.05</v>
      </c>
      <c r="M270" s="2">
        <v>45407</v>
      </c>
      <c r="N270" s="2">
        <v>45411</v>
      </c>
    </row>
    <row r="271" spans="1:14" x14ac:dyDescent="0.3">
      <c r="A271" t="s">
        <v>29</v>
      </c>
      <c r="B271" t="s">
        <v>35</v>
      </c>
      <c r="C271" t="s">
        <v>38</v>
      </c>
      <c r="D271" t="s">
        <v>59</v>
      </c>
      <c r="E271" t="s">
        <v>64</v>
      </c>
      <c r="F271" t="s">
        <v>72</v>
      </c>
      <c r="G271">
        <v>22554.16</v>
      </c>
      <c r="H271">
        <v>25</v>
      </c>
      <c r="I271">
        <v>16915.62</v>
      </c>
      <c r="J271">
        <v>2</v>
      </c>
      <c r="K271">
        <v>33831.24</v>
      </c>
      <c r="L271">
        <v>11840.93</v>
      </c>
      <c r="M271" s="2">
        <v>45846</v>
      </c>
      <c r="N271" s="2">
        <v>45850</v>
      </c>
    </row>
    <row r="272" spans="1:14" x14ac:dyDescent="0.3">
      <c r="A272" t="s">
        <v>29</v>
      </c>
      <c r="B272" t="s">
        <v>35</v>
      </c>
      <c r="C272" t="s">
        <v>44</v>
      </c>
      <c r="D272" t="s">
        <v>60</v>
      </c>
      <c r="E272" t="s">
        <v>64</v>
      </c>
      <c r="F272" t="s">
        <v>72</v>
      </c>
      <c r="G272">
        <v>16197.03</v>
      </c>
      <c r="H272">
        <v>0</v>
      </c>
      <c r="I272">
        <v>16197.03</v>
      </c>
      <c r="J272">
        <v>2</v>
      </c>
      <c r="K272">
        <v>32394.06</v>
      </c>
      <c r="L272">
        <v>4859.1099999999997</v>
      </c>
      <c r="M272" s="2">
        <v>45716</v>
      </c>
      <c r="N272" s="2">
        <v>45725</v>
      </c>
    </row>
    <row r="273" spans="1:14" x14ac:dyDescent="0.3">
      <c r="A273" t="s">
        <v>25</v>
      </c>
      <c r="B273" t="s">
        <v>34</v>
      </c>
      <c r="C273" t="s">
        <v>52</v>
      </c>
      <c r="D273" t="s">
        <v>60</v>
      </c>
      <c r="E273" t="s">
        <v>63</v>
      </c>
      <c r="F273" t="s">
        <v>68</v>
      </c>
      <c r="G273">
        <v>638.46</v>
      </c>
      <c r="H273">
        <v>30</v>
      </c>
      <c r="I273">
        <v>446.92200000000003</v>
      </c>
      <c r="J273">
        <v>2</v>
      </c>
      <c r="K273">
        <v>893.84</v>
      </c>
      <c r="L273">
        <v>134.08000000000001</v>
      </c>
      <c r="M273" s="2">
        <v>45480</v>
      </c>
      <c r="N273" s="2">
        <v>45485</v>
      </c>
    </row>
    <row r="274" spans="1:14" x14ac:dyDescent="0.3">
      <c r="A274" t="s">
        <v>27</v>
      </c>
      <c r="B274" t="s">
        <v>35</v>
      </c>
      <c r="C274" t="s">
        <v>46</v>
      </c>
      <c r="D274" t="s">
        <v>59</v>
      </c>
      <c r="E274" t="s">
        <v>64</v>
      </c>
      <c r="F274" t="s">
        <v>72</v>
      </c>
      <c r="G274">
        <v>10003.91</v>
      </c>
      <c r="H274">
        <v>25</v>
      </c>
      <c r="I274">
        <v>7502.9324999999999</v>
      </c>
      <c r="J274">
        <v>5</v>
      </c>
      <c r="K274">
        <v>37514.660000000003</v>
      </c>
      <c r="L274">
        <v>13130.13</v>
      </c>
      <c r="M274" s="2">
        <v>45483</v>
      </c>
      <c r="N274" s="2">
        <v>45492</v>
      </c>
    </row>
    <row r="275" spans="1:14" x14ac:dyDescent="0.3">
      <c r="A275" t="s">
        <v>24</v>
      </c>
      <c r="B275" t="s">
        <v>32</v>
      </c>
      <c r="C275" t="s">
        <v>54</v>
      </c>
      <c r="D275" t="s">
        <v>60</v>
      </c>
      <c r="E275" t="s">
        <v>62</v>
      </c>
      <c r="F275" t="s">
        <v>66</v>
      </c>
      <c r="G275">
        <v>21439.17</v>
      </c>
      <c r="H275">
        <v>5</v>
      </c>
      <c r="I275">
        <v>20367.211500000001</v>
      </c>
      <c r="J275">
        <v>5</v>
      </c>
      <c r="K275">
        <v>101836.06</v>
      </c>
      <c r="L275">
        <v>15275.41</v>
      </c>
      <c r="M275" s="2">
        <v>45736</v>
      </c>
      <c r="N275" s="2">
        <v>45746</v>
      </c>
    </row>
    <row r="276" spans="1:14" x14ac:dyDescent="0.3">
      <c r="A276" t="s">
        <v>23</v>
      </c>
      <c r="B276" t="s">
        <v>35</v>
      </c>
      <c r="C276" t="s">
        <v>46</v>
      </c>
      <c r="D276" t="s">
        <v>59</v>
      </c>
      <c r="E276" t="s">
        <v>61</v>
      </c>
      <c r="F276" t="s">
        <v>70</v>
      </c>
      <c r="G276">
        <v>29294.04</v>
      </c>
      <c r="H276">
        <v>15</v>
      </c>
      <c r="I276">
        <v>24899.934000000001</v>
      </c>
      <c r="J276">
        <v>5</v>
      </c>
      <c r="K276">
        <v>124499.67</v>
      </c>
      <c r="L276">
        <v>43574.879999999997</v>
      </c>
      <c r="M276" s="2">
        <v>45379</v>
      </c>
      <c r="N276" s="2">
        <v>45388</v>
      </c>
    </row>
    <row r="277" spans="1:14" x14ac:dyDescent="0.3">
      <c r="A277" t="s">
        <v>26</v>
      </c>
      <c r="B277" t="s">
        <v>32</v>
      </c>
      <c r="C277" t="s">
        <v>37</v>
      </c>
      <c r="D277" t="s">
        <v>59</v>
      </c>
      <c r="E277" t="s">
        <v>62</v>
      </c>
      <c r="F277" t="s">
        <v>67</v>
      </c>
      <c r="G277">
        <v>44836.51</v>
      </c>
      <c r="H277">
        <v>30</v>
      </c>
      <c r="I277">
        <v>31385.557000000001</v>
      </c>
      <c r="J277">
        <v>1</v>
      </c>
      <c r="K277">
        <v>31385.56</v>
      </c>
      <c r="L277">
        <v>10984.95</v>
      </c>
      <c r="M277" s="2">
        <v>45831</v>
      </c>
      <c r="N277" s="2">
        <v>45833</v>
      </c>
    </row>
    <row r="278" spans="1:14" x14ac:dyDescent="0.3">
      <c r="A278" t="s">
        <v>22</v>
      </c>
      <c r="B278" t="s">
        <v>31</v>
      </c>
      <c r="C278" t="s">
        <v>47</v>
      </c>
      <c r="D278" t="s">
        <v>59</v>
      </c>
      <c r="E278" t="s">
        <v>64</v>
      </c>
      <c r="F278" t="s">
        <v>72</v>
      </c>
      <c r="G278">
        <v>4449.13</v>
      </c>
      <c r="H278">
        <v>0</v>
      </c>
      <c r="I278">
        <v>4449.13</v>
      </c>
      <c r="J278">
        <v>4</v>
      </c>
      <c r="K278">
        <v>17796.52</v>
      </c>
      <c r="L278">
        <v>6228.78</v>
      </c>
      <c r="M278" s="2">
        <v>45383</v>
      </c>
      <c r="N278" s="2">
        <v>45388</v>
      </c>
    </row>
    <row r="279" spans="1:14" x14ac:dyDescent="0.3">
      <c r="A279" t="s">
        <v>28</v>
      </c>
      <c r="B279" t="s">
        <v>34</v>
      </c>
      <c r="C279" t="s">
        <v>51</v>
      </c>
      <c r="D279" t="s">
        <v>59</v>
      </c>
      <c r="E279" t="s">
        <v>64</v>
      </c>
      <c r="F279" t="s">
        <v>74</v>
      </c>
      <c r="G279">
        <v>1990.95</v>
      </c>
      <c r="H279">
        <v>15</v>
      </c>
      <c r="I279">
        <v>1692.3074999999999</v>
      </c>
      <c r="J279">
        <v>1</v>
      </c>
      <c r="K279">
        <v>1692.31</v>
      </c>
      <c r="L279">
        <v>592.30999999999995</v>
      </c>
      <c r="M279" s="2">
        <v>45312</v>
      </c>
      <c r="N279" s="2">
        <v>45321</v>
      </c>
    </row>
    <row r="280" spans="1:14" x14ac:dyDescent="0.3">
      <c r="A280" t="s">
        <v>25</v>
      </c>
      <c r="B280" t="s">
        <v>34</v>
      </c>
      <c r="C280" t="s">
        <v>45</v>
      </c>
      <c r="D280" t="s">
        <v>59</v>
      </c>
      <c r="E280" t="s">
        <v>63</v>
      </c>
      <c r="F280" t="s">
        <v>73</v>
      </c>
      <c r="G280">
        <v>894.94</v>
      </c>
      <c r="H280">
        <v>15</v>
      </c>
      <c r="I280">
        <v>760.69900000000007</v>
      </c>
      <c r="J280">
        <v>5</v>
      </c>
      <c r="K280">
        <v>3803.5</v>
      </c>
      <c r="L280">
        <v>1331.22</v>
      </c>
      <c r="M280" s="2">
        <v>45448</v>
      </c>
      <c r="N280" s="2">
        <v>45450</v>
      </c>
    </row>
    <row r="281" spans="1:14" x14ac:dyDescent="0.3">
      <c r="A281" t="s">
        <v>23</v>
      </c>
      <c r="B281" t="s">
        <v>35</v>
      </c>
      <c r="C281" t="s">
        <v>38</v>
      </c>
      <c r="D281" t="s">
        <v>59</v>
      </c>
      <c r="E281" t="s">
        <v>63</v>
      </c>
      <c r="F281" t="s">
        <v>73</v>
      </c>
      <c r="G281">
        <v>28236.98</v>
      </c>
      <c r="H281">
        <v>20</v>
      </c>
      <c r="I281">
        <v>22589.583999999999</v>
      </c>
      <c r="J281">
        <v>2</v>
      </c>
      <c r="K281">
        <v>45179.17</v>
      </c>
      <c r="L281">
        <v>15812.71</v>
      </c>
      <c r="M281" s="2">
        <v>45320</v>
      </c>
      <c r="N281" s="2">
        <v>45326</v>
      </c>
    </row>
    <row r="282" spans="1:14" x14ac:dyDescent="0.3">
      <c r="A282" t="s">
        <v>22</v>
      </c>
      <c r="B282" t="s">
        <v>31</v>
      </c>
      <c r="C282" t="s">
        <v>42</v>
      </c>
      <c r="D282" t="s">
        <v>60</v>
      </c>
      <c r="E282" t="s">
        <v>63</v>
      </c>
      <c r="F282" t="s">
        <v>68</v>
      </c>
      <c r="G282">
        <v>2828.85</v>
      </c>
      <c r="H282">
        <v>25</v>
      </c>
      <c r="I282">
        <v>2121.6374999999998</v>
      </c>
      <c r="J282">
        <v>3</v>
      </c>
      <c r="K282">
        <v>6364.91</v>
      </c>
      <c r="L282">
        <v>954.74</v>
      </c>
      <c r="M282" s="2">
        <v>45745</v>
      </c>
      <c r="N282" s="2">
        <v>45755</v>
      </c>
    </row>
    <row r="283" spans="1:14" x14ac:dyDescent="0.3">
      <c r="A283" t="s">
        <v>20</v>
      </c>
      <c r="B283" t="s">
        <v>32</v>
      </c>
      <c r="C283" t="s">
        <v>43</v>
      </c>
      <c r="D283" t="s">
        <v>58</v>
      </c>
      <c r="E283" t="s">
        <v>63</v>
      </c>
      <c r="F283" t="s">
        <v>68</v>
      </c>
      <c r="G283">
        <v>28927.67</v>
      </c>
      <c r="H283">
        <v>0</v>
      </c>
      <c r="I283">
        <v>28927.67</v>
      </c>
      <c r="J283">
        <v>2</v>
      </c>
      <c r="K283">
        <v>57855.34</v>
      </c>
      <c r="L283">
        <v>14463.83</v>
      </c>
      <c r="M283" s="2">
        <v>45822</v>
      </c>
      <c r="N283" s="2">
        <v>45832</v>
      </c>
    </row>
    <row r="284" spans="1:14" x14ac:dyDescent="0.3">
      <c r="A284" t="s">
        <v>30</v>
      </c>
      <c r="B284" t="s">
        <v>33</v>
      </c>
      <c r="C284" t="s">
        <v>53</v>
      </c>
      <c r="D284" t="s">
        <v>58</v>
      </c>
      <c r="E284" t="s">
        <v>62</v>
      </c>
      <c r="F284" t="s">
        <v>66</v>
      </c>
      <c r="G284">
        <v>15376.6</v>
      </c>
      <c r="H284">
        <v>20</v>
      </c>
      <c r="I284">
        <v>12301.28</v>
      </c>
      <c r="J284">
        <v>1</v>
      </c>
      <c r="K284">
        <v>12301.28</v>
      </c>
      <c r="L284">
        <v>3075.32</v>
      </c>
      <c r="M284" s="2">
        <v>45740</v>
      </c>
      <c r="N284" s="2">
        <v>45745</v>
      </c>
    </row>
    <row r="285" spans="1:14" x14ac:dyDescent="0.3">
      <c r="A285" t="s">
        <v>17</v>
      </c>
      <c r="B285" t="s">
        <v>32</v>
      </c>
      <c r="C285" t="s">
        <v>40</v>
      </c>
      <c r="D285" t="s">
        <v>59</v>
      </c>
      <c r="E285" t="s">
        <v>61</v>
      </c>
      <c r="F285" t="s">
        <v>65</v>
      </c>
      <c r="G285">
        <v>9085.09</v>
      </c>
      <c r="H285">
        <v>0</v>
      </c>
      <c r="I285">
        <v>9085.09</v>
      </c>
      <c r="J285">
        <v>4</v>
      </c>
      <c r="K285">
        <v>36340.36</v>
      </c>
      <c r="L285">
        <v>12719.13</v>
      </c>
      <c r="M285" s="2">
        <v>45663</v>
      </c>
      <c r="N285" s="2">
        <v>45671</v>
      </c>
    </row>
    <row r="286" spans="1:14" x14ac:dyDescent="0.3">
      <c r="A286" t="s">
        <v>22</v>
      </c>
      <c r="B286" t="s">
        <v>31</v>
      </c>
      <c r="C286" t="s">
        <v>47</v>
      </c>
      <c r="D286" t="s">
        <v>59</v>
      </c>
      <c r="E286" t="s">
        <v>63</v>
      </c>
      <c r="F286" t="s">
        <v>73</v>
      </c>
      <c r="G286">
        <v>3980.67</v>
      </c>
      <c r="H286">
        <v>10</v>
      </c>
      <c r="I286">
        <v>3582.6030000000001</v>
      </c>
      <c r="J286">
        <v>3</v>
      </c>
      <c r="K286">
        <v>10747.81</v>
      </c>
      <c r="L286">
        <v>3761.73</v>
      </c>
      <c r="M286" s="2">
        <v>45523</v>
      </c>
      <c r="N286" s="2">
        <v>45530</v>
      </c>
    </row>
    <row r="287" spans="1:14" x14ac:dyDescent="0.3">
      <c r="A287" t="s">
        <v>21</v>
      </c>
      <c r="B287" t="s">
        <v>34</v>
      </c>
      <c r="C287" t="s">
        <v>49</v>
      </c>
      <c r="D287" t="s">
        <v>59</v>
      </c>
      <c r="E287" t="s">
        <v>62</v>
      </c>
      <c r="F287" t="s">
        <v>66</v>
      </c>
      <c r="G287">
        <v>3835.61</v>
      </c>
      <c r="H287">
        <v>25</v>
      </c>
      <c r="I287">
        <v>2876.7075</v>
      </c>
      <c r="J287">
        <v>4</v>
      </c>
      <c r="K287">
        <v>11506.83</v>
      </c>
      <c r="L287">
        <v>4027.39</v>
      </c>
      <c r="M287" s="2">
        <v>45379</v>
      </c>
      <c r="N287" s="2">
        <v>45387</v>
      </c>
    </row>
    <row r="288" spans="1:14" x14ac:dyDescent="0.3">
      <c r="A288" t="s">
        <v>30</v>
      </c>
      <c r="B288" t="s">
        <v>33</v>
      </c>
      <c r="C288" t="s">
        <v>38</v>
      </c>
      <c r="D288" t="s">
        <v>59</v>
      </c>
      <c r="E288" t="s">
        <v>63</v>
      </c>
      <c r="F288" t="s">
        <v>73</v>
      </c>
      <c r="G288">
        <v>16478.43</v>
      </c>
      <c r="H288">
        <v>20</v>
      </c>
      <c r="I288">
        <v>13182.744000000001</v>
      </c>
      <c r="J288">
        <v>2</v>
      </c>
      <c r="K288">
        <v>26365.49</v>
      </c>
      <c r="L288">
        <v>9227.92</v>
      </c>
      <c r="M288" s="2">
        <v>45561</v>
      </c>
      <c r="N288" s="2">
        <v>45571</v>
      </c>
    </row>
    <row r="289" spans="1:14" x14ac:dyDescent="0.3">
      <c r="A289" t="s">
        <v>21</v>
      </c>
      <c r="B289" t="s">
        <v>34</v>
      </c>
      <c r="C289" t="s">
        <v>49</v>
      </c>
      <c r="D289" t="s">
        <v>59</v>
      </c>
      <c r="E289" t="s">
        <v>62</v>
      </c>
      <c r="F289" t="s">
        <v>67</v>
      </c>
      <c r="G289">
        <v>3764.99</v>
      </c>
      <c r="H289">
        <v>30</v>
      </c>
      <c r="I289">
        <v>2635.492999999999</v>
      </c>
      <c r="J289">
        <v>2</v>
      </c>
      <c r="K289">
        <v>5270.99</v>
      </c>
      <c r="L289">
        <v>1844.85</v>
      </c>
      <c r="M289" s="2">
        <v>45798</v>
      </c>
      <c r="N289" s="2">
        <v>45806</v>
      </c>
    </row>
    <row r="290" spans="1:14" x14ac:dyDescent="0.3">
      <c r="A290" t="s">
        <v>29</v>
      </c>
      <c r="B290" t="s">
        <v>35</v>
      </c>
      <c r="C290" t="s">
        <v>44</v>
      </c>
      <c r="D290" t="s">
        <v>60</v>
      </c>
      <c r="E290" t="s">
        <v>62</v>
      </c>
      <c r="F290" t="s">
        <v>66</v>
      </c>
      <c r="G290">
        <v>15429.88</v>
      </c>
      <c r="H290">
        <v>10</v>
      </c>
      <c r="I290">
        <v>13886.892</v>
      </c>
      <c r="J290">
        <v>4</v>
      </c>
      <c r="K290">
        <v>55547.57</v>
      </c>
      <c r="L290">
        <v>8332.14</v>
      </c>
      <c r="M290" s="2">
        <v>45472</v>
      </c>
      <c r="N290" s="2">
        <v>45478</v>
      </c>
    </row>
    <row r="291" spans="1:14" x14ac:dyDescent="0.3">
      <c r="A291" t="s">
        <v>16</v>
      </c>
      <c r="B291" t="s">
        <v>31</v>
      </c>
      <c r="C291" t="s">
        <v>42</v>
      </c>
      <c r="D291" t="s">
        <v>60</v>
      </c>
      <c r="E291" t="s">
        <v>62</v>
      </c>
      <c r="F291" t="s">
        <v>66</v>
      </c>
      <c r="G291">
        <v>2288.29</v>
      </c>
      <c r="H291">
        <v>5</v>
      </c>
      <c r="I291">
        <v>2173.8755000000001</v>
      </c>
      <c r="J291">
        <v>4</v>
      </c>
      <c r="K291">
        <v>8695.5</v>
      </c>
      <c r="L291">
        <v>1304.33</v>
      </c>
      <c r="M291" s="2">
        <v>45382</v>
      </c>
      <c r="N291" s="2">
        <v>45384</v>
      </c>
    </row>
    <row r="292" spans="1:14" x14ac:dyDescent="0.3">
      <c r="A292" t="s">
        <v>17</v>
      </c>
      <c r="B292" t="s">
        <v>32</v>
      </c>
      <c r="C292" t="s">
        <v>40</v>
      </c>
      <c r="D292" t="s">
        <v>59</v>
      </c>
      <c r="E292" t="s">
        <v>63</v>
      </c>
      <c r="F292" t="s">
        <v>68</v>
      </c>
      <c r="G292">
        <v>8953.66</v>
      </c>
      <c r="H292">
        <v>0</v>
      </c>
      <c r="I292">
        <v>8953.66</v>
      </c>
      <c r="J292">
        <v>3</v>
      </c>
      <c r="K292">
        <v>26860.98</v>
      </c>
      <c r="L292">
        <v>9401.34</v>
      </c>
      <c r="M292" s="2">
        <v>45738</v>
      </c>
      <c r="N292" s="2">
        <v>45740</v>
      </c>
    </row>
    <row r="293" spans="1:14" x14ac:dyDescent="0.3">
      <c r="A293" t="s">
        <v>29</v>
      </c>
      <c r="B293" t="s">
        <v>35</v>
      </c>
      <c r="C293" t="s">
        <v>48</v>
      </c>
      <c r="D293" t="s">
        <v>58</v>
      </c>
      <c r="E293" t="s">
        <v>63</v>
      </c>
      <c r="F293" t="s">
        <v>75</v>
      </c>
      <c r="G293">
        <v>17449.080000000002</v>
      </c>
      <c r="H293">
        <v>0</v>
      </c>
      <c r="I293">
        <v>17449.080000000002</v>
      </c>
      <c r="J293">
        <v>3</v>
      </c>
      <c r="K293">
        <v>52347.24</v>
      </c>
      <c r="L293">
        <v>13086.81</v>
      </c>
      <c r="M293" s="2">
        <v>45799</v>
      </c>
      <c r="N293" s="2">
        <v>45803</v>
      </c>
    </row>
    <row r="294" spans="1:14" x14ac:dyDescent="0.3">
      <c r="A294" t="s">
        <v>20</v>
      </c>
      <c r="B294" t="s">
        <v>32</v>
      </c>
      <c r="C294" t="s">
        <v>54</v>
      </c>
      <c r="D294" t="s">
        <v>60</v>
      </c>
      <c r="E294" t="s">
        <v>64</v>
      </c>
      <c r="F294" t="s">
        <v>74</v>
      </c>
      <c r="G294">
        <v>27268.080000000002</v>
      </c>
      <c r="H294">
        <v>20</v>
      </c>
      <c r="I294">
        <v>21814.464</v>
      </c>
      <c r="J294">
        <v>4</v>
      </c>
      <c r="K294">
        <v>87257.86</v>
      </c>
      <c r="L294">
        <v>13088.68</v>
      </c>
      <c r="M294" s="2">
        <v>45569</v>
      </c>
      <c r="N294" s="2">
        <v>45579</v>
      </c>
    </row>
    <row r="295" spans="1:14" x14ac:dyDescent="0.3">
      <c r="A295" t="s">
        <v>24</v>
      </c>
      <c r="B295" t="s">
        <v>32</v>
      </c>
      <c r="C295" t="s">
        <v>43</v>
      </c>
      <c r="D295" t="s">
        <v>58</v>
      </c>
      <c r="E295" t="s">
        <v>64</v>
      </c>
      <c r="F295" t="s">
        <v>74</v>
      </c>
      <c r="G295">
        <v>25970.86</v>
      </c>
      <c r="H295">
        <v>15</v>
      </c>
      <c r="I295">
        <v>22075.231</v>
      </c>
      <c r="J295">
        <v>3</v>
      </c>
      <c r="K295">
        <v>66225.69</v>
      </c>
      <c r="L295">
        <v>16556.419999999998</v>
      </c>
      <c r="M295" s="2">
        <v>45405</v>
      </c>
      <c r="N295" s="2">
        <v>45411</v>
      </c>
    </row>
    <row r="296" spans="1:14" x14ac:dyDescent="0.3">
      <c r="A296" t="s">
        <v>28</v>
      </c>
      <c r="B296" t="s">
        <v>34</v>
      </c>
      <c r="C296" t="s">
        <v>45</v>
      </c>
      <c r="D296" t="s">
        <v>59</v>
      </c>
      <c r="E296" t="s">
        <v>63</v>
      </c>
      <c r="F296" t="s">
        <v>68</v>
      </c>
      <c r="G296">
        <v>1688.53</v>
      </c>
      <c r="H296">
        <v>5</v>
      </c>
      <c r="I296">
        <v>1604.1034999999999</v>
      </c>
      <c r="J296">
        <v>3</v>
      </c>
      <c r="K296">
        <v>4812.3100000000004</v>
      </c>
      <c r="L296">
        <v>1684.31</v>
      </c>
      <c r="M296" s="2">
        <v>45755</v>
      </c>
      <c r="N296" s="2">
        <v>45762</v>
      </c>
    </row>
    <row r="297" spans="1:14" x14ac:dyDescent="0.3">
      <c r="A297" t="s">
        <v>18</v>
      </c>
      <c r="B297" t="s">
        <v>33</v>
      </c>
      <c r="C297" t="s">
        <v>50</v>
      </c>
      <c r="D297" t="s">
        <v>59</v>
      </c>
      <c r="E297" t="s">
        <v>61</v>
      </c>
      <c r="F297" t="s">
        <v>71</v>
      </c>
      <c r="G297">
        <v>60686.06</v>
      </c>
      <c r="H297">
        <v>20</v>
      </c>
      <c r="I297">
        <v>48548.847999999998</v>
      </c>
      <c r="J297">
        <v>3</v>
      </c>
      <c r="K297">
        <v>145646.54</v>
      </c>
      <c r="L297">
        <v>50976.29</v>
      </c>
      <c r="M297" s="2">
        <v>45581</v>
      </c>
      <c r="N297" s="2">
        <v>45583</v>
      </c>
    </row>
    <row r="298" spans="1:14" x14ac:dyDescent="0.3">
      <c r="A298" t="s">
        <v>26</v>
      </c>
      <c r="B298" t="s">
        <v>32</v>
      </c>
      <c r="C298" t="s">
        <v>37</v>
      </c>
      <c r="D298" t="s">
        <v>59</v>
      </c>
      <c r="E298" t="s">
        <v>61</v>
      </c>
      <c r="F298" t="s">
        <v>71</v>
      </c>
      <c r="G298">
        <v>41388.1</v>
      </c>
      <c r="H298">
        <v>25</v>
      </c>
      <c r="I298">
        <v>31041.075000000001</v>
      </c>
      <c r="J298">
        <v>1</v>
      </c>
      <c r="K298">
        <v>31041.07</v>
      </c>
      <c r="L298">
        <v>10864.37</v>
      </c>
      <c r="M298" s="2">
        <v>45669</v>
      </c>
      <c r="N298" s="2">
        <v>45676</v>
      </c>
    </row>
    <row r="299" spans="1:14" x14ac:dyDescent="0.3">
      <c r="A299" t="s">
        <v>23</v>
      </c>
      <c r="B299" t="s">
        <v>35</v>
      </c>
      <c r="C299" t="s">
        <v>38</v>
      </c>
      <c r="D299" t="s">
        <v>59</v>
      </c>
      <c r="E299" t="s">
        <v>62</v>
      </c>
      <c r="F299" t="s">
        <v>66</v>
      </c>
      <c r="G299">
        <v>31200.560000000001</v>
      </c>
      <c r="H299">
        <v>10</v>
      </c>
      <c r="I299">
        <v>28080.504000000001</v>
      </c>
      <c r="J299">
        <v>3</v>
      </c>
      <c r="K299">
        <v>84241.51</v>
      </c>
      <c r="L299">
        <v>29484.53</v>
      </c>
      <c r="M299" s="2">
        <v>45595</v>
      </c>
      <c r="N299" s="2">
        <v>45599</v>
      </c>
    </row>
    <row r="300" spans="1:14" x14ac:dyDescent="0.3">
      <c r="A300" t="s">
        <v>28</v>
      </c>
      <c r="B300" t="s">
        <v>34</v>
      </c>
      <c r="C300" t="s">
        <v>41</v>
      </c>
      <c r="D300" t="s">
        <v>60</v>
      </c>
      <c r="E300" t="s">
        <v>62</v>
      </c>
      <c r="F300" t="s">
        <v>66</v>
      </c>
      <c r="G300">
        <v>1375.91</v>
      </c>
      <c r="H300">
        <v>5</v>
      </c>
      <c r="I300">
        <v>1307.1144999999999</v>
      </c>
      <c r="J300">
        <v>3</v>
      </c>
      <c r="K300">
        <v>3921.34</v>
      </c>
      <c r="L300">
        <v>588.20000000000005</v>
      </c>
      <c r="M300" s="2">
        <v>45805</v>
      </c>
      <c r="N300" s="2">
        <v>45812</v>
      </c>
    </row>
    <row r="301" spans="1:14" x14ac:dyDescent="0.3">
      <c r="A301" t="s">
        <v>21</v>
      </c>
      <c r="B301" t="s">
        <v>34</v>
      </c>
      <c r="C301" t="s">
        <v>41</v>
      </c>
      <c r="D301" t="s">
        <v>60</v>
      </c>
      <c r="E301" t="s">
        <v>61</v>
      </c>
      <c r="F301" t="s">
        <v>70</v>
      </c>
      <c r="G301">
        <v>2421.87</v>
      </c>
      <c r="H301">
        <v>25</v>
      </c>
      <c r="I301">
        <v>1816.4024999999999</v>
      </c>
      <c r="J301">
        <v>1</v>
      </c>
      <c r="K301">
        <v>1816.4</v>
      </c>
      <c r="L301">
        <v>272.45999999999998</v>
      </c>
      <c r="M301" s="2">
        <v>45513</v>
      </c>
      <c r="N301" s="2">
        <v>45523</v>
      </c>
    </row>
    <row r="302" spans="1:14" x14ac:dyDescent="0.3">
      <c r="A302" t="s">
        <v>24</v>
      </c>
      <c r="B302" t="s">
        <v>32</v>
      </c>
      <c r="C302" t="s">
        <v>54</v>
      </c>
      <c r="D302" t="s">
        <v>60</v>
      </c>
      <c r="E302" t="s">
        <v>62</v>
      </c>
      <c r="F302" t="s">
        <v>67</v>
      </c>
      <c r="G302">
        <v>22942.240000000002</v>
      </c>
      <c r="H302">
        <v>20</v>
      </c>
      <c r="I302">
        <v>18353.792000000001</v>
      </c>
      <c r="J302">
        <v>3</v>
      </c>
      <c r="K302">
        <v>55061.38</v>
      </c>
      <c r="L302">
        <v>8259.2099999999991</v>
      </c>
      <c r="M302" s="2">
        <v>45704</v>
      </c>
      <c r="N302" s="2">
        <v>45712</v>
      </c>
    </row>
    <row r="303" spans="1:14" x14ac:dyDescent="0.3">
      <c r="A303" t="s">
        <v>26</v>
      </c>
      <c r="B303" t="s">
        <v>32</v>
      </c>
      <c r="C303" t="s">
        <v>40</v>
      </c>
      <c r="D303" t="s">
        <v>59</v>
      </c>
      <c r="E303" t="s">
        <v>64</v>
      </c>
      <c r="F303" t="s">
        <v>76</v>
      </c>
      <c r="G303">
        <v>46549.51</v>
      </c>
      <c r="H303">
        <v>0</v>
      </c>
      <c r="I303">
        <v>46549.51</v>
      </c>
      <c r="J303">
        <v>4</v>
      </c>
      <c r="K303">
        <v>186198.04</v>
      </c>
      <c r="L303">
        <v>65169.31</v>
      </c>
      <c r="M303" s="2">
        <v>45847</v>
      </c>
      <c r="N303" s="2">
        <v>45849</v>
      </c>
    </row>
    <row r="304" spans="1:14" x14ac:dyDescent="0.3">
      <c r="A304" t="s">
        <v>29</v>
      </c>
      <c r="B304" t="s">
        <v>35</v>
      </c>
      <c r="C304" t="s">
        <v>44</v>
      </c>
      <c r="D304" t="s">
        <v>60</v>
      </c>
      <c r="E304" t="s">
        <v>61</v>
      </c>
      <c r="F304" t="s">
        <v>71</v>
      </c>
      <c r="G304">
        <v>14893.94</v>
      </c>
      <c r="H304">
        <v>5</v>
      </c>
      <c r="I304">
        <v>14149.243</v>
      </c>
      <c r="J304">
        <v>5</v>
      </c>
      <c r="K304">
        <v>70746.210000000006</v>
      </c>
      <c r="L304">
        <v>10611.93</v>
      </c>
      <c r="M304" s="2">
        <v>45740</v>
      </c>
      <c r="N304" s="2">
        <v>45743</v>
      </c>
    </row>
    <row r="305" spans="1:14" x14ac:dyDescent="0.3">
      <c r="A305" t="s">
        <v>19</v>
      </c>
      <c r="B305" t="s">
        <v>33</v>
      </c>
      <c r="C305" t="s">
        <v>39</v>
      </c>
      <c r="D305" t="s">
        <v>58</v>
      </c>
      <c r="E305" t="s">
        <v>64</v>
      </c>
      <c r="F305" t="s">
        <v>72</v>
      </c>
      <c r="G305">
        <v>2105.71</v>
      </c>
      <c r="H305">
        <v>5</v>
      </c>
      <c r="I305">
        <v>2000.4245000000001</v>
      </c>
      <c r="J305">
        <v>1</v>
      </c>
      <c r="K305">
        <v>2000.42</v>
      </c>
      <c r="L305">
        <v>500.11</v>
      </c>
      <c r="M305" s="2">
        <v>45815</v>
      </c>
      <c r="N305" s="2">
        <v>45824</v>
      </c>
    </row>
    <row r="306" spans="1:14" x14ac:dyDescent="0.3">
      <c r="A306" t="s">
        <v>18</v>
      </c>
      <c r="B306" t="s">
        <v>33</v>
      </c>
      <c r="C306" t="s">
        <v>53</v>
      </c>
      <c r="D306" t="s">
        <v>58</v>
      </c>
      <c r="E306" t="s">
        <v>63</v>
      </c>
      <c r="F306" t="s">
        <v>73</v>
      </c>
      <c r="G306">
        <v>47220.59</v>
      </c>
      <c r="H306">
        <v>30</v>
      </c>
      <c r="I306">
        <v>33054.412999999993</v>
      </c>
      <c r="J306">
        <v>4</v>
      </c>
      <c r="K306">
        <v>132217.65</v>
      </c>
      <c r="L306">
        <v>33054.410000000003</v>
      </c>
      <c r="M306" s="2">
        <v>45309</v>
      </c>
      <c r="N306" s="2">
        <v>45311</v>
      </c>
    </row>
    <row r="307" spans="1:14" x14ac:dyDescent="0.3">
      <c r="A307" t="s">
        <v>19</v>
      </c>
      <c r="B307" t="s">
        <v>33</v>
      </c>
      <c r="C307" t="s">
        <v>56</v>
      </c>
      <c r="D307" t="s">
        <v>60</v>
      </c>
      <c r="E307" t="s">
        <v>61</v>
      </c>
      <c r="F307" t="s">
        <v>71</v>
      </c>
      <c r="G307">
        <v>1587.47</v>
      </c>
      <c r="H307">
        <v>5</v>
      </c>
      <c r="I307">
        <v>1508.0965000000001</v>
      </c>
      <c r="J307">
        <v>1</v>
      </c>
      <c r="K307">
        <v>1508.1</v>
      </c>
      <c r="L307">
        <v>226.21</v>
      </c>
      <c r="M307" s="2">
        <v>45844</v>
      </c>
      <c r="N307" s="2">
        <v>45846</v>
      </c>
    </row>
    <row r="308" spans="1:14" x14ac:dyDescent="0.3">
      <c r="A308" t="s">
        <v>19</v>
      </c>
      <c r="B308" t="s">
        <v>33</v>
      </c>
      <c r="C308" t="s">
        <v>50</v>
      </c>
      <c r="D308" t="s">
        <v>59</v>
      </c>
      <c r="E308" t="s">
        <v>63</v>
      </c>
      <c r="F308" t="s">
        <v>75</v>
      </c>
      <c r="G308">
        <v>2296.5500000000002</v>
      </c>
      <c r="H308">
        <v>15</v>
      </c>
      <c r="I308">
        <v>1952.0675000000001</v>
      </c>
      <c r="J308">
        <v>4</v>
      </c>
      <c r="K308">
        <v>7808.27</v>
      </c>
      <c r="L308">
        <v>2732.89</v>
      </c>
      <c r="M308" s="2">
        <v>45530</v>
      </c>
      <c r="N308" s="2">
        <v>45536</v>
      </c>
    </row>
    <row r="309" spans="1:14" x14ac:dyDescent="0.3">
      <c r="A309" t="s">
        <v>23</v>
      </c>
      <c r="B309" t="s">
        <v>35</v>
      </c>
      <c r="C309" t="s">
        <v>44</v>
      </c>
      <c r="D309" t="s">
        <v>60</v>
      </c>
      <c r="E309" t="s">
        <v>64</v>
      </c>
      <c r="F309" t="s">
        <v>76</v>
      </c>
      <c r="G309">
        <v>23182.3</v>
      </c>
      <c r="H309">
        <v>10</v>
      </c>
      <c r="I309">
        <v>20864.07</v>
      </c>
      <c r="J309">
        <v>1</v>
      </c>
      <c r="K309">
        <v>20864.07</v>
      </c>
      <c r="L309">
        <v>3129.61</v>
      </c>
      <c r="M309" s="2">
        <v>45507</v>
      </c>
      <c r="N309" s="2">
        <v>45516</v>
      </c>
    </row>
    <row r="310" spans="1:14" x14ac:dyDescent="0.3">
      <c r="A310" t="s">
        <v>24</v>
      </c>
      <c r="B310" t="s">
        <v>32</v>
      </c>
      <c r="C310" t="s">
        <v>54</v>
      </c>
      <c r="D310" t="s">
        <v>60</v>
      </c>
      <c r="E310" t="s">
        <v>61</v>
      </c>
      <c r="F310" t="s">
        <v>71</v>
      </c>
      <c r="G310">
        <v>20384.439999999999</v>
      </c>
      <c r="H310">
        <v>20</v>
      </c>
      <c r="I310">
        <v>16307.552</v>
      </c>
      <c r="J310">
        <v>5</v>
      </c>
      <c r="K310">
        <v>81537.759999999995</v>
      </c>
      <c r="L310">
        <v>12230.66</v>
      </c>
      <c r="M310" s="2">
        <v>45703</v>
      </c>
      <c r="N310" s="2">
        <v>45705</v>
      </c>
    </row>
    <row r="311" spans="1:14" x14ac:dyDescent="0.3">
      <c r="A311" t="s">
        <v>21</v>
      </c>
      <c r="B311" t="s">
        <v>34</v>
      </c>
      <c r="C311" t="s">
        <v>41</v>
      </c>
      <c r="D311" t="s">
        <v>60</v>
      </c>
      <c r="E311" t="s">
        <v>62</v>
      </c>
      <c r="F311" t="s">
        <v>66</v>
      </c>
      <c r="G311">
        <v>2671.48</v>
      </c>
      <c r="H311">
        <v>5</v>
      </c>
      <c r="I311">
        <v>2537.9059999999999</v>
      </c>
      <c r="J311">
        <v>2</v>
      </c>
      <c r="K311">
        <v>5075.8100000000004</v>
      </c>
      <c r="L311">
        <v>761.37</v>
      </c>
      <c r="M311" s="2">
        <v>45782</v>
      </c>
      <c r="N311" s="2">
        <v>45789</v>
      </c>
    </row>
    <row r="312" spans="1:14" x14ac:dyDescent="0.3">
      <c r="A312" t="s">
        <v>16</v>
      </c>
      <c r="B312" t="s">
        <v>31</v>
      </c>
      <c r="C312" t="s">
        <v>42</v>
      </c>
      <c r="D312" t="s">
        <v>60</v>
      </c>
      <c r="E312" t="s">
        <v>64</v>
      </c>
      <c r="F312" t="s">
        <v>74</v>
      </c>
      <c r="G312">
        <v>2367.77</v>
      </c>
      <c r="H312">
        <v>25</v>
      </c>
      <c r="I312">
        <v>1775.8275000000001</v>
      </c>
      <c r="J312">
        <v>2</v>
      </c>
      <c r="K312">
        <v>3551.65</v>
      </c>
      <c r="L312">
        <v>532.75</v>
      </c>
      <c r="M312" s="2">
        <v>45462</v>
      </c>
      <c r="N312" s="2">
        <v>45467</v>
      </c>
    </row>
    <row r="313" spans="1:14" x14ac:dyDescent="0.3">
      <c r="A313" t="s">
        <v>27</v>
      </c>
      <c r="B313" t="s">
        <v>35</v>
      </c>
      <c r="C313" t="s">
        <v>44</v>
      </c>
      <c r="D313" t="s">
        <v>60</v>
      </c>
      <c r="E313" t="s">
        <v>62</v>
      </c>
      <c r="F313" t="s">
        <v>67</v>
      </c>
      <c r="G313">
        <v>7028.47</v>
      </c>
      <c r="H313">
        <v>25</v>
      </c>
      <c r="I313">
        <v>5271.3525</v>
      </c>
      <c r="J313">
        <v>1</v>
      </c>
      <c r="K313">
        <v>5271.35</v>
      </c>
      <c r="L313">
        <v>790.7</v>
      </c>
      <c r="M313" s="2">
        <v>45656</v>
      </c>
      <c r="N313" s="2">
        <v>45661</v>
      </c>
    </row>
    <row r="314" spans="1:14" x14ac:dyDescent="0.3">
      <c r="A314" t="s">
        <v>16</v>
      </c>
      <c r="B314" t="s">
        <v>31</v>
      </c>
      <c r="C314" t="s">
        <v>47</v>
      </c>
      <c r="D314" t="s">
        <v>59</v>
      </c>
      <c r="E314" t="s">
        <v>64</v>
      </c>
      <c r="F314" t="s">
        <v>74</v>
      </c>
      <c r="G314">
        <v>3317.34</v>
      </c>
      <c r="H314">
        <v>20</v>
      </c>
      <c r="I314">
        <v>2653.8719999999998</v>
      </c>
      <c r="J314">
        <v>2</v>
      </c>
      <c r="K314">
        <v>5307.74</v>
      </c>
      <c r="L314">
        <v>1857.71</v>
      </c>
      <c r="M314" s="2">
        <v>45358</v>
      </c>
      <c r="N314" s="2">
        <v>45361</v>
      </c>
    </row>
    <row r="315" spans="1:14" x14ac:dyDescent="0.3">
      <c r="A315" t="s">
        <v>26</v>
      </c>
      <c r="B315" t="s">
        <v>32</v>
      </c>
      <c r="C315" t="s">
        <v>40</v>
      </c>
      <c r="D315" t="s">
        <v>59</v>
      </c>
      <c r="E315" t="s">
        <v>61</v>
      </c>
      <c r="F315" t="s">
        <v>70</v>
      </c>
      <c r="G315">
        <v>41692.14</v>
      </c>
      <c r="H315">
        <v>30</v>
      </c>
      <c r="I315">
        <v>29184.498</v>
      </c>
      <c r="J315">
        <v>2</v>
      </c>
      <c r="K315">
        <v>58369</v>
      </c>
      <c r="L315">
        <v>20429.150000000001</v>
      </c>
      <c r="M315" s="2">
        <v>45397</v>
      </c>
      <c r="N315" s="2">
        <v>45401</v>
      </c>
    </row>
    <row r="316" spans="1:14" x14ac:dyDescent="0.3">
      <c r="A316" t="s">
        <v>28</v>
      </c>
      <c r="B316" t="s">
        <v>34</v>
      </c>
      <c r="C316" t="s">
        <v>52</v>
      </c>
      <c r="D316" t="s">
        <v>60</v>
      </c>
      <c r="E316" t="s">
        <v>61</v>
      </c>
      <c r="F316" t="s">
        <v>65</v>
      </c>
      <c r="G316">
        <v>1235.08</v>
      </c>
      <c r="H316">
        <v>10</v>
      </c>
      <c r="I316">
        <v>1111.5719999999999</v>
      </c>
      <c r="J316">
        <v>1</v>
      </c>
      <c r="K316">
        <v>1111.57</v>
      </c>
      <c r="L316">
        <v>166.74</v>
      </c>
      <c r="M316" s="2">
        <v>45701</v>
      </c>
      <c r="N316" s="2">
        <v>45707</v>
      </c>
    </row>
    <row r="317" spans="1:14" x14ac:dyDescent="0.3">
      <c r="A317" t="s">
        <v>24</v>
      </c>
      <c r="B317" t="s">
        <v>32</v>
      </c>
      <c r="C317" t="s">
        <v>54</v>
      </c>
      <c r="D317" t="s">
        <v>60</v>
      </c>
      <c r="E317" t="s">
        <v>63</v>
      </c>
      <c r="F317" t="s">
        <v>75</v>
      </c>
      <c r="G317">
        <v>19473.990000000002</v>
      </c>
      <c r="H317">
        <v>5</v>
      </c>
      <c r="I317">
        <v>18500.290499999999</v>
      </c>
      <c r="J317">
        <v>2</v>
      </c>
      <c r="K317">
        <v>37000.58</v>
      </c>
      <c r="L317">
        <v>5550.09</v>
      </c>
      <c r="M317" s="2">
        <v>45709</v>
      </c>
      <c r="N317" s="2">
        <v>45715</v>
      </c>
    </row>
    <row r="318" spans="1:14" x14ac:dyDescent="0.3">
      <c r="A318" t="s">
        <v>23</v>
      </c>
      <c r="B318" t="s">
        <v>35</v>
      </c>
      <c r="C318" t="s">
        <v>38</v>
      </c>
      <c r="D318" t="s">
        <v>59</v>
      </c>
      <c r="E318" t="s">
        <v>64</v>
      </c>
      <c r="F318" t="s">
        <v>74</v>
      </c>
      <c r="G318">
        <v>32229.45</v>
      </c>
      <c r="H318">
        <v>10</v>
      </c>
      <c r="I318">
        <v>29006.505000000001</v>
      </c>
      <c r="J318">
        <v>3</v>
      </c>
      <c r="K318">
        <v>87019.51</v>
      </c>
      <c r="L318">
        <v>30456.83</v>
      </c>
      <c r="M318" s="2">
        <v>45579</v>
      </c>
      <c r="N318" s="2">
        <v>45587</v>
      </c>
    </row>
    <row r="319" spans="1:14" x14ac:dyDescent="0.3">
      <c r="A319" t="s">
        <v>27</v>
      </c>
      <c r="B319" t="s">
        <v>35</v>
      </c>
      <c r="C319" t="s">
        <v>44</v>
      </c>
      <c r="D319" t="s">
        <v>60</v>
      </c>
      <c r="E319" t="s">
        <v>61</v>
      </c>
      <c r="F319" t="s">
        <v>70</v>
      </c>
      <c r="G319">
        <v>6472.25</v>
      </c>
      <c r="H319">
        <v>20</v>
      </c>
      <c r="I319">
        <v>5177.8</v>
      </c>
      <c r="J319">
        <v>4</v>
      </c>
      <c r="K319">
        <v>20711.2</v>
      </c>
      <c r="L319">
        <v>3106.68</v>
      </c>
      <c r="M319" s="2">
        <v>45415</v>
      </c>
      <c r="N319" s="2">
        <v>45425</v>
      </c>
    </row>
    <row r="320" spans="1:14" x14ac:dyDescent="0.3">
      <c r="A320" t="s">
        <v>26</v>
      </c>
      <c r="B320" t="s">
        <v>32</v>
      </c>
      <c r="C320" t="s">
        <v>43</v>
      </c>
      <c r="D320" t="s">
        <v>58</v>
      </c>
      <c r="E320" t="s">
        <v>63</v>
      </c>
      <c r="F320" t="s">
        <v>75</v>
      </c>
      <c r="G320">
        <v>34580.129999999997</v>
      </c>
      <c r="H320">
        <v>0</v>
      </c>
      <c r="I320">
        <v>34580.129999999997</v>
      </c>
      <c r="J320">
        <v>2</v>
      </c>
      <c r="K320">
        <v>69160.259999999995</v>
      </c>
      <c r="L320">
        <v>17290.060000000001</v>
      </c>
      <c r="M320" s="2">
        <v>45586</v>
      </c>
      <c r="N320" s="2">
        <v>45591</v>
      </c>
    </row>
    <row r="321" spans="1:14" x14ac:dyDescent="0.3">
      <c r="A321" t="s">
        <v>17</v>
      </c>
      <c r="B321" t="s">
        <v>32</v>
      </c>
      <c r="C321" t="s">
        <v>43</v>
      </c>
      <c r="D321" t="s">
        <v>58</v>
      </c>
      <c r="E321" t="s">
        <v>61</v>
      </c>
      <c r="F321" t="s">
        <v>65</v>
      </c>
      <c r="G321">
        <v>7575.31</v>
      </c>
      <c r="H321">
        <v>20</v>
      </c>
      <c r="I321">
        <v>6060.2480000000014</v>
      </c>
      <c r="J321">
        <v>3</v>
      </c>
      <c r="K321">
        <v>18180.740000000002</v>
      </c>
      <c r="L321">
        <v>4545.1899999999996</v>
      </c>
      <c r="M321" s="2">
        <v>45734</v>
      </c>
      <c r="N321" s="2">
        <v>45739</v>
      </c>
    </row>
    <row r="322" spans="1:14" x14ac:dyDescent="0.3">
      <c r="A322" t="s">
        <v>20</v>
      </c>
      <c r="B322" t="s">
        <v>32</v>
      </c>
      <c r="C322" t="s">
        <v>40</v>
      </c>
      <c r="D322" t="s">
        <v>59</v>
      </c>
      <c r="E322" t="s">
        <v>64</v>
      </c>
      <c r="F322" t="s">
        <v>76</v>
      </c>
      <c r="G322">
        <v>37528.31</v>
      </c>
      <c r="H322">
        <v>30</v>
      </c>
      <c r="I322">
        <v>26269.816999999999</v>
      </c>
      <c r="J322">
        <v>4</v>
      </c>
      <c r="K322">
        <v>105079.27</v>
      </c>
      <c r="L322">
        <v>36777.74</v>
      </c>
      <c r="M322" s="2">
        <v>45307</v>
      </c>
      <c r="N322" s="2">
        <v>45316</v>
      </c>
    </row>
    <row r="323" spans="1:14" x14ac:dyDescent="0.3">
      <c r="A323" t="s">
        <v>25</v>
      </c>
      <c r="B323" t="s">
        <v>34</v>
      </c>
      <c r="C323" t="s">
        <v>45</v>
      </c>
      <c r="D323" t="s">
        <v>59</v>
      </c>
      <c r="E323" t="s">
        <v>64</v>
      </c>
      <c r="F323" t="s">
        <v>76</v>
      </c>
      <c r="G323">
        <v>1064.52</v>
      </c>
      <c r="H323">
        <v>0</v>
      </c>
      <c r="I323">
        <v>1064.52</v>
      </c>
      <c r="J323">
        <v>5</v>
      </c>
      <c r="K323">
        <v>5322.6</v>
      </c>
      <c r="L323">
        <v>1862.91</v>
      </c>
      <c r="M323" s="2">
        <v>45521</v>
      </c>
      <c r="N323" s="2">
        <v>45526</v>
      </c>
    </row>
    <row r="324" spans="1:14" x14ac:dyDescent="0.3">
      <c r="A324" t="s">
        <v>24</v>
      </c>
      <c r="B324" t="s">
        <v>32</v>
      </c>
      <c r="C324" t="s">
        <v>54</v>
      </c>
      <c r="D324" t="s">
        <v>60</v>
      </c>
      <c r="E324" t="s">
        <v>61</v>
      </c>
      <c r="F324" t="s">
        <v>71</v>
      </c>
      <c r="G324">
        <v>20114.689999999999</v>
      </c>
      <c r="H324">
        <v>5</v>
      </c>
      <c r="I324">
        <v>19108.9555</v>
      </c>
      <c r="J324">
        <v>4</v>
      </c>
      <c r="K324">
        <v>76435.820000000007</v>
      </c>
      <c r="L324">
        <v>11465.37</v>
      </c>
      <c r="M324" s="2">
        <v>45508</v>
      </c>
      <c r="N324" s="2">
        <v>45514</v>
      </c>
    </row>
    <row r="325" spans="1:14" x14ac:dyDescent="0.3">
      <c r="A325" t="s">
        <v>28</v>
      </c>
      <c r="B325" t="s">
        <v>34</v>
      </c>
      <c r="C325" t="s">
        <v>52</v>
      </c>
      <c r="D325" t="s">
        <v>60</v>
      </c>
      <c r="E325" t="s">
        <v>61</v>
      </c>
      <c r="F325" t="s">
        <v>65</v>
      </c>
      <c r="G325">
        <v>1287.6199999999999</v>
      </c>
      <c r="H325">
        <v>15</v>
      </c>
      <c r="I325">
        <v>1094.4770000000001</v>
      </c>
      <c r="J325">
        <v>5</v>
      </c>
      <c r="K325">
        <v>5472.38</v>
      </c>
      <c r="L325">
        <v>820.86</v>
      </c>
      <c r="M325" s="2">
        <v>45627</v>
      </c>
      <c r="N325" s="2">
        <v>45632</v>
      </c>
    </row>
    <row r="326" spans="1:14" x14ac:dyDescent="0.3">
      <c r="A326" t="s">
        <v>25</v>
      </c>
      <c r="B326" t="s">
        <v>34</v>
      </c>
      <c r="C326" t="s">
        <v>51</v>
      </c>
      <c r="D326" t="s">
        <v>59</v>
      </c>
      <c r="E326" t="s">
        <v>64</v>
      </c>
      <c r="F326" t="s">
        <v>72</v>
      </c>
      <c r="G326">
        <v>1053.3</v>
      </c>
      <c r="H326">
        <v>30</v>
      </c>
      <c r="I326">
        <v>737.31</v>
      </c>
      <c r="J326">
        <v>4</v>
      </c>
      <c r="K326">
        <v>2949.24</v>
      </c>
      <c r="L326">
        <v>1032.23</v>
      </c>
      <c r="M326" s="2">
        <v>45789</v>
      </c>
      <c r="N326" s="2">
        <v>45791</v>
      </c>
    </row>
    <row r="327" spans="1:14" x14ac:dyDescent="0.3">
      <c r="A327" t="s">
        <v>24</v>
      </c>
      <c r="B327" t="s">
        <v>32</v>
      </c>
      <c r="C327" t="s">
        <v>40</v>
      </c>
      <c r="D327" t="s">
        <v>59</v>
      </c>
      <c r="E327" t="s">
        <v>61</v>
      </c>
      <c r="F327" t="s">
        <v>65</v>
      </c>
      <c r="G327">
        <v>28222.09</v>
      </c>
      <c r="H327">
        <v>10</v>
      </c>
      <c r="I327">
        <v>25399.881000000001</v>
      </c>
      <c r="J327">
        <v>4</v>
      </c>
      <c r="K327">
        <v>101599.52</v>
      </c>
      <c r="L327">
        <v>35559.83</v>
      </c>
      <c r="M327" s="2">
        <v>45536</v>
      </c>
      <c r="N327" s="2">
        <v>45545</v>
      </c>
    </row>
    <row r="328" spans="1:14" x14ac:dyDescent="0.3">
      <c r="A328" t="s">
        <v>18</v>
      </c>
      <c r="B328" t="s">
        <v>33</v>
      </c>
      <c r="C328" t="s">
        <v>38</v>
      </c>
      <c r="D328" t="s">
        <v>59</v>
      </c>
      <c r="E328" t="s">
        <v>62</v>
      </c>
      <c r="F328" t="s">
        <v>66</v>
      </c>
      <c r="G328">
        <v>61921.86</v>
      </c>
      <c r="H328">
        <v>30</v>
      </c>
      <c r="I328">
        <v>43345.302000000003</v>
      </c>
      <c r="J328">
        <v>2</v>
      </c>
      <c r="K328">
        <v>86690.6</v>
      </c>
      <c r="L328">
        <v>30341.71</v>
      </c>
      <c r="M328" s="2">
        <v>45594</v>
      </c>
      <c r="N328" s="2">
        <v>45604</v>
      </c>
    </row>
    <row r="329" spans="1:14" x14ac:dyDescent="0.3">
      <c r="A329" t="s">
        <v>30</v>
      </c>
      <c r="B329" t="s">
        <v>33</v>
      </c>
      <c r="C329" t="s">
        <v>57</v>
      </c>
      <c r="D329" t="s">
        <v>60</v>
      </c>
      <c r="E329" t="s">
        <v>62</v>
      </c>
      <c r="F329" t="s">
        <v>66</v>
      </c>
      <c r="G329">
        <v>13070.69</v>
      </c>
      <c r="H329">
        <v>0</v>
      </c>
      <c r="I329">
        <v>13070.69</v>
      </c>
      <c r="J329">
        <v>2</v>
      </c>
      <c r="K329">
        <v>26141.38</v>
      </c>
      <c r="L329">
        <v>3921.21</v>
      </c>
      <c r="M329" s="2">
        <v>45853</v>
      </c>
      <c r="N329" s="2">
        <v>45863</v>
      </c>
    </row>
    <row r="330" spans="1:14" x14ac:dyDescent="0.3">
      <c r="A330" t="s">
        <v>25</v>
      </c>
      <c r="B330" t="s">
        <v>34</v>
      </c>
      <c r="C330" t="s">
        <v>49</v>
      </c>
      <c r="D330" t="s">
        <v>59</v>
      </c>
      <c r="E330" t="s">
        <v>62</v>
      </c>
      <c r="F330" t="s">
        <v>67</v>
      </c>
      <c r="G330">
        <v>1027.6500000000001</v>
      </c>
      <c r="H330">
        <v>0</v>
      </c>
      <c r="I330">
        <v>1027.6500000000001</v>
      </c>
      <c r="J330">
        <v>4</v>
      </c>
      <c r="K330">
        <v>4110.6000000000004</v>
      </c>
      <c r="L330">
        <v>1438.71</v>
      </c>
      <c r="M330" s="2">
        <v>45720</v>
      </c>
      <c r="N330" s="2">
        <v>45722</v>
      </c>
    </row>
    <row r="331" spans="1:14" x14ac:dyDescent="0.3">
      <c r="A331" t="s">
        <v>23</v>
      </c>
      <c r="B331" t="s">
        <v>35</v>
      </c>
      <c r="C331" t="s">
        <v>44</v>
      </c>
      <c r="D331" t="s">
        <v>60</v>
      </c>
      <c r="E331" t="s">
        <v>64</v>
      </c>
      <c r="F331" t="s">
        <v>72</v>
      </c>
      <c r="G331">
        <v>23463.03</v>
      </c>
      <c r="H331">
        <v>10</v>
      </c>
      <c r="I331">
        <v>21116.726999999999</v>
      </c>
      <c r="J331">
        <v>5</v>
      </c>
      <c r="K331">
        <v>105583.63</v>
      </c>
      <c r="L331">
        <v>15837.54</v>
      </c>
      <c r="M331" s="2">
        <v>45514</v>
      </c>
      <c r="N331" s="2">
        <v>45518</v>
      </c>
    </row>
    <row r="332" spans="1:14" x14ac:dyDescent="0.3">
      <c r="A332" t="s">
        <v>29</v>
      </c>
      <c r="B332" t="s">
        <v>35</v>
      </c>
      <c r="C332" t="s">
        <v>46</v>
      </c>
      <c r="D332" t="s">
        <v>59</v>
      </c>
      <c r="E332" t="s">
        <v>61</v>
      </c>
      <c r="F332" t="s">
        <v>71</v>
      </c>
      <c r="G332">
        <v>21442.28</v>
      </c>
      <c r="H332">
        <v>5</v>
      </c>
      <c r="I332">
        <v>20370.166000000001</v>
      </c>
      <c r="J332">
        <v>3</v>
      </c>
      <c r="K332">
        <v>61110.5</v>
      </c>
      <c r="L332">
        <v>21388.67</v>
      </c>
      <c r="M332" s="2">
        <v>45516</v>
      </c>
      <c r="N332" s="2">
        <v>45524</v>
      </c>
    </row>
    <row r="333" spans="1:14" x14ac:dyDescent="0.3">
      <c r="A333" t="s">
        <v>24</v>
      </c>
      <c r="B333" t="s">
        <v>32</v>
      </c>
      <c r="C333" t="s">
        <v>40</v>
      </c>
      <c r="D333" t="s">
        <v>59</v>
      </c>
      <c r="E333" t="s">
        <v>62</v>
      </c>
      <c r="F333" t="s">
        <v>69</v>
      </c>
      <c r="G333">
        <v>31380.94</v>
      </c>
      <c r="H333">
        <v>30</v>
      </c>
      <c r="I333">
        <v>21966.657999999999</v>
      </c>
      <c r="J333">
        <v>3</v>
      </c>
      <c r="K333">
        <v>65899.97</v>
      </c>
      <c r="L333">
        <v>23064.99</v>
      </c>
      <c r="M333" s="2">
        <v>45805</v>
      </c>
      <c r="N333" s="2">
        <v>45812</v>
      </c>
    </row>
    <row r="334" spans="1:14" x14ac:dyDescent="0.3">
      <c r="A334" t="s">
        <v>16</v>
      </c>
      <c r="B334" t="s">
        <v>31</v>
      </c>
      <c r="C334" t="s">
        <v>42</v>
      </c>
      <c r="D334" t="s">
        <v>60</v>
      </c>
      <c r="E334" t="s">
        <v>62</v>
      </c>
      <c r="F334" t="s">
        <v>66</v>
      </c>
      <c r="G334">
        <v>2201.1799999999998</v>
      </c>
      <c r="H334">
        <v>25</v>
      </c>
      <c r="I334">
        <v>1650.885</v>
      </c>
      <c r="J334">
        <v>2</v>
      </c>
      <c r="K334">
        <v>3301.77</v>
      </c>
      <c r="L334">
        <v>495.27</v>
      </c>
      <c r="M334" s="2">
        <v>45534</v>
      </c>
      <c r="N334" s="2">
        <v>45539</v>
      </c>
    </row>
    <row r="335" spans="1:14" x14ac:dyDescent="0.3">
      <c r="A335" t="s">
        <v>16</v>
      </c>
      <c r="B335" t="s">
        <v>31</v>
      </c>
      <c r="C335" t="s">
        <v>36</v>
      </c>
      <c r="D335" t="s">
        <v>58</v>
      </c>
      <c r="E335" t="s">
        <v>64</v>
      </c>
      <c r="F335" t="s">
        <v>76</v>
      </c>
      <c r="G335">
        <v>2722.04</v>
      </c>
      <c r="H335">
        <v>15</v>
      </c>
      <c r="I335">
        <v>2313.7339999999999</v>
      </c>
      <c r="J335">
        <v>5</v>
      </c>
      <c r="K335">
        <v>11568.67</v>
      </c>
      <c r="L335">
        <v>2892.17</v>
      </c>
      <c r="M335" s="2">
        <v>45547</v>
      </c>
      <c r="N335" s="2">
        <v>45550</v>
      </c>
    </row>
    <row r="336" spans="1:14" x14ac:dyDescent="0.3">
      <c r="A336" t="s">
        <v>19</v>
      </c>
      <c r="B336" t="s">
        <v>33</v>
      </c>
      <c r="C336" t="s">
        <v>39</v>
      </c>
      <c r="D336" t="s">
        <v>58</v>
      </c>
      <c r="E336" t="s">
        <v>61</v>
      </c>
      <c r="F336" t="s">
        <v>71</v>
      </c>
      <c r="G336">
        <v>1971.6</v>
      </c>
      <c r="H336">
        <v>20</v>
      </c>
      <c r="I336">
        <v>1577.28</v>
      </c>
      <c r="J336">
        <v>4</v>
      </c>
      <c r="K336">
        <v>6309.12</v>
      </c>
      <c r="L336">
        <v>1577.28</v>
      </c>
      <c r="M336" s="2">
        <v>45493</v>
      </c>
      <c r="N336" s="2">
        <v>45495</v>
      </c>
    </row>
    <row r="337" spans="1:14" x14ac:dyDescent="0.3">
      <c r="A337" t="s">
        <v>18</v>
      </c>
      <c r="B337" t="s">
        <v>33</v>
      </c>
      <c r="C337" t="s">
        <v>50</v>
      </c>
      <c r="D337" t="s">
        <v>59</v>
      </c>
      <c r="E337" t="s">
        <v>63</v>
      </c>
      <c r="F337" t="s">
        <v>75</v>
      </c>
      <c r="G337">
        <v>58786.26</v>
      </c>
      <c r="H337">
        <v>20</v>
      </c>
      <c r="I337">
        <v>47029.008000000002</v>
      </c>
      <c r="J337">
        <v>4</v>
      </c>
      <c r="K337">
        <v>188116.03</v>
      </c>
      <c r="L337">
        <v>65840.61</v>
      </c>
      <c r="M337" s="2">
        <v>45334</v>
      </c>
      <c r="N337" s="2">
        <v>45342</v>
      </c>
    </row>
    <row r="338" spans="1:14" x14ac:dyDescent="0.3">
      <c r="A338" t="s">
        <v>20</v>
      </c>
      <c r="B338" t="s">
        <v>32</v>
      </c>
      <c r="C338" t="s">
        <v>54</v>
      </c>
      <c r="D338" t="s">
        <v>60</v>
      </c>
      <c r="E338" t="s">
        <v>64</v>
      </c>
      <c r="F338" t="s">
        <v>74</v>
      </c>
      <c r="G338">
        <v>28439.64</v>
      </c>
      <c r="H338">
        <v>30</v>
      </c>
      <c r="I338">
        <v>19907.748</v>
      </c>
      <c r="J338">
        <v>2</v>
      </c>
      <c r="K338">
        <v>39815.5</v>
      </c>
      <c r="L338">
        <v>5972.32</v>
      </c>
      <c r="M338" s="2">
        <v>45345</v>
      </c>
      <c r="N338" s="2">
        <v>45354</v>
      </c>
    </row>
    <row r="339" spans="1:14" x14ac:dyDescent="0.3">
      <c r="A339" t="s">
        <v>22</v>
      </c>
      <c r="B339" t="s">
        <v>31</v>
      </c>
      <c r="C339" t="s">
        <v>36</v>
      </c>
      <c r="D339" t="s">
        <v>58</v>
      </c>
      <c r="E339" t="s">
        <v>62</v>
      </c>
      <c r="F339" t="s">
        <v>66</v>
      </c>
      <c r="G339">
        <v>3596.24</v>
      </c>
      <c r="H339">
        <v>5</v>
      </c>
      <c r="I339">
        <v>3416.427999999999</v>
      </c>
      <c r="J339">
        <v>1</v>
      </c>
      <c r="K339">
        <v>3416.43</v>
      </c>
      <c r="L339">
        <v>854.11</v>
      </c>
      <c r="M339" s="2">
        <v>45469</v>
      </c>
      <c r="N339" s="2">
        <v>45477</v>
      </c>
    </row>
    <row r="340" spans="1:14" x14ac:dyDescent="0.3">
      <c r="A340" t="s">
        <v>17</v>
      </c>
      <c r="B340" t="s">
        <v>32</v>
      </c>
      <c r="C340" t="s">
        <v>40</v>
      </c>
      <c r="D340" t="s">
        <v>59</v>
      </c>
      <c r="E340" t="s">
        <v>61</v>
      </c>
      <c r="F340" t="s">
        <v>65</v>
      </c>
      <c r="G340">
        <v>9771.65</v>
      </c>
      <c r="H340">
        <v>5</v>
      </c>
      <c r="I340">
        <v>9283.0674999999992</v>
      </c>
      <c r="J340">
        <v>5</v>
      </c>
      <c r="K340">
        <v>46415.34</v>
      </c>
      <c r="L340">
        <v>16245.37</v>
      </c>
      <c r="M340" s="2">
        <v>45863</v>
      </c>
      <c r="N340" s="2">
        <v>45872</v>
      </c>
    </row>
    <row r="341" spans="1:14" x14ac:dyDescent="0.3">
      <c r="A341" t="s">
        <v>28</v>
      </c>
      <c r="B341" t="s">
        <v>34</v>
      </c>
      <c r="C341" t="s">
        <v>49</v>
      </c>
      <c r="D341" t="s">
        <v>59</v>
      </c>
      <c r="E341" t="s">
        <v>64</v>
      </c>
      <c r="F341" t="s">
        <v>74</v>
      </c>
      <c r="G341">
        <v>1960.5</v>
      </c>
      <c r="H341">
        <v>5</v>
      </c>
      <c r="I341">
        <v>1862.4749999999999</v>
      </c>
      <c r="J341">
        <v>2</v>
      </c>
      <c r="K341">
        <v>3724.95</v>
      </c>
      <c r="L341">
        <v>1303.73</v>
      </c>
      <c r="M341" s="2">
        <v>45450</v>
      </c>
      <c r="N341" s="2">
        <v>45456</v>
      </c>
    </row>
    <row r="342" spans="1:14" x14ac:dyDescent="0.3">
      <c r="A342" t="s">
        <v>17</v>
      </c>
      <c r="B342" t="s">
        <v>32</v>
      </c>
      <c r="C342" t="s">
        <v>54</v>
      </c>
      <c r="D342" t="s">
        <v>60</v>
      </c>
      <c r="E342" t="s">
        <v>62</v>
      </c>
      <c r="F342" t="s">
        <v>69</v>
      </c>
      <c r="G342">
        <v>6739.88</v>
      </c>
      <c r="H342">
        <v>5</v>
      </c>
      <c r="I342">
        <v>6402.8860000000004</v>
      </c>
      <c r="J342">
        <v>5</v>
      </c>
      <c r="K342">
        <v>32014.43</v>
      </c>
      <c r="L342">
        <v>4802.16</v>
      </c>
      <c r="M342" s="2">
        <v>45429</v>
      </c>
      <c r="N342" s="2">
        <v>45438</v>
      </c>
    </row>
    <row r="343" spans="1:14" x14ac:dyDescent="0.3">
      <c r="A343" t="s">
        <v>18</v>
      </c>
      <c r="B343" t="s">
        <v>33</v>
      </c>
      <c r="C343" t="s">
        <v>50</v>
      </c>
      <c r="D343" t="s">
        <v>59</v>
      </c>
      <c r="E343" t="s">
        <v>62</v>
      </c>
      <c r="F343" t="s">
        <v>66</v>
      </c>
      <c r="G343">
        <v>65342.91</v>
      </c>
      <c r="H343">
        <v>20</v>
      </c>
      <c r="I343">
        <v>52274.328000000009</v>
      </c>
      <c r="J343">
        <v>3</v>
      </c>
      <c r="K343">
        <v>156822.98000000001</v>
      </c>
      <c r="L343">
        <v>54888.04</v>
      </c>
      <c r="M343" s="2">
        <v>45541</v>
      </c>
      <c r="N343" s="2">
        <v>45544</v>
      </c>
    </row>
    <row r="344" spans="1:14" x14ac:dyDescent="0.3">
      <c r="A344" t="s">
        <v>24</v>
      </c>
      <c r="B344" t="s">
        <v>32</v>
      </c>
      <c r="C344" t="s">
        <v>54</v>
      </c>
      <c r="D344" t="s">
        <v>60</v>
      </c>
      <c r="E344" t="s">
        <v>63</v>
      </c>
      <c r="F344" t="s">
        <v>68</v>
      </c>
      <c r="G344">
        <v>19757.13</v>
      </c>
      <c r="H344">
        <v>25</v>
      </c>
      <c r="I344">
        <v>14817.8475</v>
      </c>
      <c r="J344">
        <v>2</v>
      </c>
      <c r="K344">
        <v>29635.69</v>
      </c>
      <c r="L344">
        <v>4445.3500000000004</v>
      </c>
      <c r="M344" s="2">
        <v>45608</v>
      </c>
      <c r="N344" s="2">
        <v>45615</v>
      </c>
    </row>
    <row r="345" spans="1:14" x14ac:dyDescent="0.3">
      <c r="A345" t="s">
        <v>21</v>
      </c>
      <c r="B345" t="s">
        <v>34</v>
      </c>
      <c r="C345" t="s">
        <v>55</v>
      </c>
      <c r="D345" t="s">
        <v>58</v>
      </c>
      <c r="E345" t="s">
        <v>61</v>
      </c>
      <c r="F345" t="s">
        <v>71</v>
      </c>
      <c r="G345">
        <v>2877.5</v>
      </c>
      <c r="H345">
        <v>20</v>
      </c>
      <c r="I345">
        <v>2302</v>
      </c>
      <c r="J345">
        <v>3</v>
      </c>
      <c r="K345">
        <v>6906</v>
      </c>
      <c r="L345">
        <v>1726.5</v>
      </c>
      <c r="M345" s="2">
        <v>45483</v>
      </c>
      <c r="N345" s="2">
        <v>45486</v>
      </c>
    </row>
    <row r="346" spans="1:14" x14ac:dyDescent="0.3">
      <c r="A346" t="s">
        <v>23</v>
      </c>
      <c r="B346" t="s">
        <v>35</v>
      </c>
      <c r="C346" t="s">
        <v>48</v>
      </c>
      <c r="D346" t="s">
        <v>58</v>
      </c>
      <c r="E346" t="s">
        <v>62</v>
      </c>
      <c r="F346" t="s">
        <v>69</v>
      </c>
      <c r="G346">
        <v>25744.63</v>
      </c>
      <c r="H346">
        <v>10</v>
      </c>
      <c r="I346">
        <v>23170.167000000001</v>
      </c>
      <c r="J346">
        <v>3</v>
      </c>
      <c r="K346">
        <v>69510.5</v>
      </c>
      <c r="L346">
        <v>17377.62</v>
      </c>
      <c r="M346" s="2">
        <v>45333</v>
      </c>
      <c r="N346" s="2">
        <v>45335</v>
      </c>
    </row>
    <row r="347" spans="1:14" x14ac:dyDescent="0.3">
      <c r="A347" t="s">
        <v>24</v>
      </c>
      <c r="B347" t="s">
        <v>32</v>
      </c>
      <c r="C347" t="s">
        <v>43</v>
      </c>
      <c r="D347" t="s">
        <v>58</v>
      </c>
      <c r="E347" t="s">
        <v>62</v>
      </c>
      <c r="F347" t="s">
        <v>66</v>
      </c>
      <c r="G347">
        <v>26995.3</v>
      </c>
      <c r="H347">
        <v>15</v>
      </c>
      <c r="I347">
        <v>22946.005000000001</v>
      </c>
      <c r="J347">
        <v>1</v>
      </c>
      <c r="K347">
        <v>22946</v>
      </c>
      <c r="L347">
        <v>5736.5</v>
      </c>
      <c r="M347" s="2">
        <v>45466</v>
      </c>
      <c r="N347" s="2">
        <v>45471</v>
      </c>
    </row>
    <row r="348" spans="1:14" x14ac:dyDescent="0.3">
      <c r="A348" t="s">
        <v>25</v>
      </c>
      <c r="B348" t="s">
        <v>34</v>
      </c>
      <c r="C348" t="s">
        <v>52</v>
      </c>
      <c r="D348" t="s">
        <v>60</v>
      </c>
      <c r="E348" t="s">
        <v>61</v>
      </c>
      <c r="F348" t="s">
        <v>70</v>
      </c>
      <c r="G348">
        <v>696.53</v>
      </c>
      <c r="H348">
        <v>30</v>
      </c>
      <c r="I348">
        <v>487.57100000000003</v>
      </c>
      <c r="J348">
        <v>3</v>
      </c>
      <c r="K348">
        <v>1462.71</v>
      </c>
      <c r="L348">
        <v>219.41</v>
      </c>
      <c r="M348" s="2">
        <v>45500</v>
      </c>
      <c r="N348" s="2">
        <v>45508</v>
      </c>
    </row>
    <row r="349" spans="1:14" x14ac:dyDescent="0.3">
      <c r="A349" t="s">
        <v>22</v>
      </c>
      <c r="B349" t="s">
        <v>31</v>
      </c>
      <c r="C349" t="s">
        <v>36</v>
      </c>
      <c r="D349" t="s">
        <v>58</v>
      </c>
      <c r="E349" t="s">
        <v>62</v>
      </c>
      <c r="F349" t="s">
        <v>66</v>
      </c>
      <c r="G349">
        <v>3578.46</v>
      </c>
      <c r="H349">
        <v>25</v>
      </c>
      <c r="I349">
        <v>2683.8449999999998</v>
      </c>
      <c r="J349">
        <v>4</v>
      </c>
      <c r="K349">
        <v>10735.38</v>
      </c>
      <c r="L349">
        <v>2683.84</v>
      </c>
      <c r="M349" s="2">
        <v>45812</v>
      </c>
      <c r="N349" s="2">
        <v>45818</v>
      </c>
    </row>
    <row r="350" spans="1:14" x14ac:dyDescent="0.3">
      <c r="A350" t="s">
        <v>20</v>
      </c>
      <c r="B350" t="s">
        <v>32</v>
      </c>
      <c r="C350" t="s">
        <v>43</v>
      </c>
      <c r="D350" t="s">
        <v>58</v>
      </c>
      <c r="E350" t="s">
        <v>63</v>
      </c>
      <c r="F350" t="s">
        <v>73</v>
      </c>
      <c r="G350">
        <v>27593.08</v>
      </c>
      <c r="H350">
        <v>15</v>
      </c>
      <c r="I350">
        <v>23454.117999999999</v>
      </c>
      <c r="J350">
        <v>1</v>
      </c>
      <c r="K350">
        <v>23454.12</v>
      </c>
      <c r="L350">
        <v>5863.53</v>
      </c>
      <c r="M350" s="2">
        <v>45338</v>
      </c>
      <c r="N350" s="2">
        <v>45345</v>
      </c>
    </row>
    <row r="351" spans="1:14" x14ac:dyDescent="0.3">
      <c r="A351" t="s">
        <v>16</v>
      </c>
      <c r="B351" t="s">
        <v>31</v>
      </c>
      <c r="C351" t="s">
        <v>42</v>
      </c>
      <c r="D351" t="s">
        <v>60</v>
      </c>
      <c r="E351" t="s">
        <v>64</v>
      </c>
      <c r="F351" t="s">
        <v>74</v>
      </c>
      <c r="G351">
        <v>2247.89</v>
      </c>
      <c r="H351">
        <v>0</v>
      </c>
      <c r="I351">
        <v>2247.89</v>
      </c>
      <c r="J351">
        <v>1</v>
      </c>
      <c r="K351">
        <v>2247.89</v>
      </c>
      <c r="L351">
        <v>337.18</v>
      </c>
      <c r="M351" s="2">
        <v>45324</v>
      </c>
      <c r="N351" s="2">
        <v>45330</v>
      </c>
    </row>
    <row r="352" spans="1:14" x14ac:dyDescent="0.3">
      <c r="A352" t="s">
        <v>17</v>
      </c>
      <c r="B352" t="s">
        <v>32</v>
      </c>
      <c r="C352" t="s">
        <v>43</v>
      </c>
      <c r="D352" t="s">
        <v>58</v>
      </c>
      <c r="E352" t="s">
        <v>62</v>
      </c>
      <c r="F352" t="s">
        <v>69</v>
      </c>
      <c r="G352">
        <v>8509.64</v>
      </c>
      <c r="H352">
        <v>25</v>
      </c>
      <c r="I352">
        <v>6382.23</v>
      </c>
      <c r="J352">
        <v>5</v>
      </c>
      <c r="K352">
        <v>31911.15</v>
      </c>
      <c r="L352">
        <v>7977.79</v>
      </c>
      <c r="M352" s="2">
        <v>45644</v>
      </c>
      <c r="N352" s="2">
        <v>45649</v>
      </c>
    </row>
    <row r="353" spans="1:14" x14ac:dyDescent="0.3">
      <c r="A353" t="s">
        <v>18</v>
      </c>
      <c r="B353" t="s">
        <v>33</v>
      </c>
      <c r="C353" t="s">
        <v>53</v>
      </c>
      <c r="D353" t="s">
        <v>58</v>
      </c>
      <c r="E353" t="s">
        <v>61</v>
      </c>
      <c r="F353" t="s">
        <v>70</v>
      </c>
      <c r="G353">
        <v>49991.3</v>
      </c>
      <c r="H353">
        <v>0</v>
      </c>
      <c r="I353">
        <v>49991.3</v>
      </c>
      <c r="J353">
        <v>3</v>
      </c>
      <c r="K353">
        <v>149973.9</v>
      </c>
      <c r="L353">
        <v>37493.47</v>
      </c>
      <c r="M353" s="2">
        <v>45357</v>
      </c>
      <c r="N353" s="2">
        <v>45361</v>
      </c>
    </row>
    <row r="354" spans="1:14" x14ac:dyDescent="0.3">
      <c r="A354" t="s">
        <v>20</v>
      </c>
      <c r="B354" t="s">
        <v>32</v>
      </c>
      <c r="C354" t="s">
        <v>40</v>
      </c>
      <c r="D354" t="s">
        <v>59</v>
      </c>
      <c r="E354" t="s">
        <v>61</v>
      </c>
      <c r="F354" t="s">
        <v>71</v>
      </c>
      <c r="G354">
        <v>34601.96</v>
      </c>
      <c r="H354">
        <v>5</v>
      </c>
      <c r="I354">
        <v>32871.862000000001</v>
      </c>
      <c r="J354">
        <v>1</v>
      </c>
      <c r="K354">
        <v>32871.86</v>
      </c>
      <c r="L354">
        <v>11505.15</v>
      </c>
      <c r="M354" s="2">
        <v>45851</v>
      </c>
      <c r="N354" s="2">
        <v>45860</v>
      </c>
    </row>
    <row r="355" spans="1:14" x14ac:dyDescent="0.3">
      <c r="A355" t="s">
        <v>28</v>
      </c>
      <c r="B355" t="s">
        <v>34</v>
      </c>
      <c r="C355" t="s">
        <v>45</v>
      </c>
      <c r="D355" t="s">
        <v>59</v>
      </c>
      <c r="E355" t="s">
        <v>61</v>
      </c>
      <c r="F355" t="s">
        <v>70</v>
      </c>
      <c r="G355">
        <v>1801.8</v>
      </c>
      <c r="H355">
        <v>30</v>
      </c>
      <c r="I355">
        <v>1261.26</v>
      </c>
      <c r="J355">
        <v>5</v>
      </c>
      <c r="K355">
        <v>6306.3</v>
      </c>
      <c r="L355">
        <v>2207.1999999999998</v>
      </c>
      <c r="M355" s="2">
        <v>45605</v>
      </c>
      <c r="N355" s="2">
        <v>45613</v>
      </c>
    </row>
    <row r="356" spans="1:14" x14ac:dyDescent="0.3">
      <c r="A356" t="s">
        <v>23</v>
      </c>
      <c r="B356" t="s">
        <v>35</v>
      </c>
      <c r="C356" t="s">
        <v>46</v>
      </c>
      <c r="D356" t="s">
        <v>59</v>
      </c>
      <c r="E356" t="s">
        <v>61</v>
      </c>
      <c r="F356" t="s">
        <v>71</v>
      </c>
      <c r="G356">
        <v>30132.67</v>
      </c>
      <c r="H356">
        <v>5</v>
      </c>
      <c r="I356">
        <v>28626.036499999998</v>
      </c>
      <c r="J356">
        <v>4</v>
      </c>
      <c r="K356">
        <v>114504.15</v>
      </c>
      <c r="L356">
        <v>40076.449999999997</v>
      </c>
      <c r="M356" s="2">
        <v>45651</v>
      </c>
      <c r="N356" s="2">
        <v>45654</v>
      </c>
    </row>
    <row r="357" spans="1:14" x14ac:dyDescent="0.3">
      <c r="A357" t="s">
        <v>22</v>
      </c>
      <c r="B357" t="s">
        <v>31</v>
      </c>
      <c r="C357" t="s">
        <v>36</v>
      </c>
      <c r="D357" t="s">
        <v>58</v>
      </c>
      <c r="E357" t="s">
        <v>63</v>
      </c>
      <c r="F357" t="s">
        <v>73</v>
      </c>
      <c r="G357">
        <v>3393.91</v>
      </c>
      <c r="H357">
        <v>10</v>
      </c>
      <c r="I357">
        <v>3054.5189999999998</v>
      </c>
      <c r="J357">
        <v>2</v>
      </c>
      <c r="K357">
        <v>6109.04</v>
      </c>
      <c r="L357">
        <v>1527.26</v>
      </c>
      <c r="M357" s="2">
        <v>45552</v>
      </c>
      <c r="N357" s="2">
        <v>45560</v>
      </c>
    </row>
    <row r="358" spans="1:14" x14ac:dyDescent="0.3">
      <c r="A358" t="s">
        <v>24</v>
      </c>
      <c r="B358" t="s">
        <v>32</v>
      </c>
      <c r="C358" t="s">
        <v>40</v>
      </c>
      <c r="D358" t="s">
        <v>59</v>
      </c>
      <c r="E358" t="s">
        <v>64</v>
      </c>
      <c r="F358" t="s">
        <v>72</v>
      </c>
      <c r="G358">
        <v>33234.199999999997</v>
      </c>
      <c r="H358">
        <v>5</v>
      </c>
      <c r="I358">
        <v>31572.489999999991</v>
      </c>
      <c r="J358">
        <v>1</v>
      </c>
      <c r="K358">
        <v>31572.49</v>
      </c>
      <c r="L358">
        <v>11050.37</v>
      </c>
      <c r="M358" s="2">
        <v>45836</v>
      </c>
      <c r="N358" s="2">
        <v>45845</v>
      </c>
    </row>
    <row r="359" spans="1:14" x14ac:dyDescent="0.3">
      <c r="A359" t="s">
        <v>27</v>
      </c>
      <c r="B359" t="s">
        <v>35</v>
      </c>
      <c r="C359" t="s">
        <v>46</v>
      </c>
      <c r="D359" t="s">
        <v>59</v>
      </c>
      <c r="E359" t="s">
        <v>62</v>
      </c>
      <c r="F359" t="s">
        <v>67</v>
      </c>
      <c r="G359">
        <v>10474.129999999999</v>
      </c>
      <c r="H359">
        <v>10</v>
      </c>
      <c r="I359">
        <v>9426.7169999999987</v>
      </c>
      <c r="J359">
        <v>3</v>
      </c>
      <c r="K359">
        <v>28280.15</v>
      </c>
      <c r="L359">
        <v>9898.0499999999993</v>
      </c>
      <c r="M359" s="2">
        <v>45596</v>
      </c>
      <c r="N359" s="2">
        <v>45605</v>
      </c>
    </row>
    <row r="360" spans="1:14" x14ac:dyDescent="0.3">
      <c r="A360" t="s">
        <v>21</v>
      </c>
      <c r="B360" t="s">
        <v>34</v>
      </c>
      <c r="C360" t="s">
        <v>45</v>
      </c>
      <c r="D360" t="s">
        <v>59</v>
      </c>
      <c r="E360" t="s">
        <v>61</v>
      </c>
      <c r="F360" t="s">
        <v>70</v>
      </c>
      <c r="G360">
        <v>3426.87</v>
      </c>
      <c r="H360">
        <v>30</v>
      </c>
      <c r="I360">
        <v>2398.8090000000002</v>
      </c>
      <c r="J360">
        <v>4</v>
      </c>
      <c r="K360">
        <v>9595.24</v>
      </c>
      <c r="L360">
        <v>3358.33</v>
      </c>
      <c r="M360" s="2">
        <v>45421</v>
      </c>
      <c r="N360" s="2">
        <v>45428</v>
      </c>
    </row>
    <row r="361" spans="1:14" x14ac:dyDescent="0.3">
      <c r="A361" t="s">
        <v>26</v>
      </c>
      <c r="B361" t="s">
        <v>32</v>
      </c>
      <c r="C361" t="s">
        <v>37</v>
      </c>
      <c r="D361" t="s">
        <v>59</v>
      </c>
      <c r="E361" t="s">
        <v>62</v>
      </c>
      <c r="F361" t="s">
        <v>67</v>
      </c>
      <c r="G361">
        <v>42641.4</v>
      </c>
      <c r="H361">
        <v>5</v>
      </c>
      <c r="I361">
        <v>40509.33</v>
      </c>
      <c r="J361">
        <v>1</v>
      </c>
      <c r="K361">
        <v>40509.33</v>
      </c>
      <c r="L361">
        <v>14178.27</v>
      </c>
      <c r="M361" s="2">
        <v>45723</v>
      </c>
      <c r="N361" s="2">
        <v>45728</v>
      </c>
    </row>
    <row r="362" spans="1:14" x14ac:dyDescent="0.3">
      <c r="A362" t="s">
        <v>18</v>
      </c>
      <c r="B362" t="s">
        <v>33</v>
      </c>
      <c r="C362" t="s">
        <v>50</v>
      </c>
      <c r="D362" t="s">
        <v>59</v>
      </c>
      <c r="E362" t="s">
        <v>61</v>
      </c>
      <c r="F362" t="s">
        <v>70</v>
      </c>
      <c r="G362">
        <v>58271.28</v>
      </c>
      <c r="H362">
        <v>20</v>
      </c>
      <c r="I362">
        <v>46617.023999999998</v>
      </c>
      <c r="J362">
        <v>3</v>
      </c>
      <c r="K362">
        <v>139851.07</v>
      </c>
      <c r="L362">
        <v>48947.87</v>
      </c>
      <c r="M362" s="2">
        <v>45473</v>
      </c>
      <c r="N362" s="2">
        <v>45480</v>
      </c>
    </row>
    <row r="363" spans="1:14" x14ac:dyDescent="0.3">
      <c r="A363" t="s">
        <v>16</v>
      </c>
      <c r="B363" t="s">
        <v>31</v>
      </c>
      <c r="C363" t="s">
        <v>42</v>
      </c>
      <c r="D363" t="s">
        <v>60</v>
      </c>
      <c r="E363" t="s">
        <v>63</v>
      </c>
      <c r="F363" t="s">
        <v>75</v>
      </c>
      <c r="G363">
        <v>2071.25</v>
      </c>
      <c r="H363">
        <v>15</v>
      </c>
      <c r="I363">
        <v>1760.5625</v>
      </c>
      <c r="J363">
        <v>4</v>
      </c>
      <c r="K363">
        <v>7042.25</v>
      </c>
      <c r="L363">
        <v>1056.3399999999999</v>
      </c>
      <c r="M363" s="2">
        <v>45853</v>
      </c>
      <c r="N363" s="2">
        <v>45856</v>
      </c>
    </row>
    <row r="364" spans="1:14" x14ac:dyDescent="0.3">
      <c r="A364" t="s">
        <v>19</v>
      </c>
      <c r="B364" t="s">
        <v>33</v>
      </c>
      <c r="C364" t="s">
        <v>39</v>
      </c>
      <c r="D364" t="s">
        <v>58</v>
      </c>
      <c r="E364" t="s">
        <v>61</v>
      </c>
      <c r="F364" t="s">
        <v>65</v>
      </c>
      <c r="G364">
        <v>2000.2</v>
      </c>
      <c r="H364">
        <v>5</v>
      </c>
      <c r="I364">
        <v>1900.19</v>
      </c>
      <c r="J364">
        <v>3</v>
      </c>
      <c r="K364">
        <v>5700.57</v>
      </c>
      <c r="L364">
        <v>1425.14</v>
      </c>
      <c r="M364" s="2">
        <v>45447</v>
      </c>
      <c r="N364" s="2">
        <v>45451</v>
      </c>
    </row>
    <row r="365" spans="1:14" x14ac:dyDescent="0.3">
      <c r="A365" t="s">
        <v>25</v>
      </c>
      <c r="B365" t="s">
        <v>34</v>
      </c>
      <c r="C365" t="s">
        <v>41</v>
      </c>
      <c r="D365" t="s">
        <v>60</v>
      </c>
      <c r="E365" t="s">
        <v>63</v>
      </c>
      <c r="F365" t="s">
        <v>73</v>
      </c>
      <c r="G365">
        <v>663.35</v>
      </c>
      <c r="H365">
        <v>30</v>
      </c>
      <c r="I365">
        <v>464.34500000000003</v>
      </c>
      <c r="J365">
        <v>3</v>
      </c>
      <c r="K365">
        <v>1393.03</v>
      </c>
      <c r="L365">
        <v>208.95</v>
      </c>
      <c r="M365" s="2">
        <v>45496</v>
      </c>
      <c r="N365" s="2">
        <v>45499</v>
      </c>
    </row>
    <row r="366" spans="1:14" x14ac:dyDescent="0.3">
      <c r="A366" t="s">
        <v>26</v>
      </c>
      <c r="B366" t="s">
        <v>32</v>
      </c>
      <c r="C366" t="s">
        <v>54</v>
      </c>
      <c r="D366" t="s">
        <v>60</v>
      </c>
      <c r="E366" t="s">
        <v>61</v>
      </c>
      <c r="F366" t="s">
        <v>70</v>
      </c>
      <c r="G366">
        <v>29487.84</v>
      </c>
      <c r="H366">
        <v>10</v>
      </c>
      <c r="I366">
        <v>26539.056</v>
      </c>
      <c r="J366">
        <v>4</v>
      </c>
      <c r="K366">
        <v>106156.22</v>
      </c>
      <c r="L366">
        <v>15923.43</v>
      </c>
      <c r="M366" s="2">
        <v>45696</v>
      </c>
      <c r="N366" s="2">
        <v>45706</v>
      </c>
    </row>
    <row r="367" spans="1:14" x14ac:dyDescent="0.3">
      <c r="A367" t="s">
        <v>21</v>
      </c>
      <c r="B367" t="s">
        <v>34</v>
      </c>
      <c r="C367" t="s">
        <v>45</v>
      </c>
      <c r="D367" t="s">
        <v>59</v>
      </c>
      <c r="E367" t="s">
        <v>61</v>
      </c>
      <c r="F367" t="s">
        <v>70</v>
      </c>
      <c r="G367">
        <v>3378.62</v>
      </c>
      <c r="H367">
        <v>0</v>
      </c>
      <c r="I367">
        <v>3378.62</v>
      </c>
      <c r="J367">
        <v>4</v>
      </c>
      <c r="K367">
        <v>13514.48</v>
      </c>
      <c r="L367">
        <v>4730.07</v>
      </c>
      <c r="M367" s="2">
        <v>45685</v>
      </c>
      <c r="N367" s="2">
        <v>45690</v>
      </c>
    </row>
    <row r="368" spans="1:14" x14ac:dyDescent="0.3">
      <c r="A368" t="s">
        <v>25</v>
      </c>
      <c r="B368" t="s">
        <v>34</v>
      </c>
      <c r="C368" t="s">
        <v>41</v>
      </c>
      <c r="D368" t="s">
        <v>60</v>
      </c>
      <c r="E368" t="s">
        <v>61</v>
      </c>
      <c r="F368" t="s">
        <v>71</v>
      </c>
      <c r="G368">
        <v>656.01</v>
      </c>
      <c r="H368">
        <v>5</v>
      </c>
      <c r="I368">
        <v>623.20949999999993</v>
      </c>
      <c r="J368">
        <v>5</v>
      </c>
      <c r="K368">
        <v>3116.05</v>
      </c>
      <c r="L368">
        <v>467.41</v>
      </c>
      <c r="M368" s="2">
        <v>45592</v>
      </c>
      <c r="N368" s="2">
        <v>45598</v>
      </c>
    </row>
    <row r="369" spans="1:14" x14ac:dyDescent="0.3">
      <c r="A369" t="s">
        <v>29</v>
      </c>
      <c r="B369" t="s">
        <v>35</v>
      </c>
      <c r="C369" t="s">
        <v>44</v>
      </c>
      <c r="D369" t="s">
        <v>60</v>
      </c>
      <c r="E369" t="s">
        <v>63</v>
      </c>
      <c r="F369" t="s">
        <v>68</v>
      </c>
      <c r="G369">
        <v>15042.24</v>
      </c>
      <c r="H369">
        <v>25</v>
      </c>
      <c r="I369">
        <v>11281.68</v>
      </c>
      <c r="J369">
        <v>3</v>
      </c>
      <c r="K369">
        <v>33845.040000000001</v>
      </c>
      <c r="L369">
        <v>5076.76</v>
      </c>
      <c r="M369" s="2">
        <v>45504</v>
      </c>
      <c r="N369" s="2">
        <v>45507</v>
      </c>
    </row>
    <row r="370" spans="1:14" x14ac:dyDescent="0.3">
      <c r="A370" t="s">
        <v>23</v>
      </c>
      <c r="B370" t="s">
        <v>35</v>
      </c>
      <c r="C370" t="s">
        <v>48</v>
      </c>
      <c r="D370" t="s">
        <v>58</v>
      </c>
      <c r="E370" t="s">
        <v>62</v>
      </c>
      <c r="F370" t="s">
        <v>69</v>
      </c>
      <c r="G370">
        <v>25206.84</v>
      </c>
      <c r="H370">
        <v>25</v>
      </c>
      <c r="I370">
        <v>18905.13</v>
      </c>
      <c r="J370">
        <v>3</v>
      </c>
      <c r="K370">
        <v>56715.39</v>
      </c>
      <c r="L370">
        <v>14178.85</v>
      </c>
      <c r="M370" s="2">
        <v>45624</v>
      </c>
      <c r="N370" s="2">
        <v>45628</v>
      </c>
    </row>
    <row r="371" spans="1:14" x14ac:dyDescent="0.3">
      <c r="A371" t="s">
        <v>30</v>
      </c>
      <c r="B371" t="s">
        <v>33</v>
      </c>
      <c r="C371" t="s">
        <v>56</v>
      </c>
      <c r="D371" t="s">
        <v>60</v>
      </c>
      <c r="E371" t="s">
        <v>62</v>
      </c>
      <c r="F371" t="s">
        <v>69</v>
      </c>
      <c r="G371">
        <v>12883.35</v>
      </c>
      <c r="H371">
        <v>5</v>
      </c>
      <c r="I371">
        <v>12239.182500000001</v>
      </c>
      <c r="J371">
        <v>4</v>
      </c>
      <c r="K371">
        <v>48956.73</v>
      </c>
      <c r="L371">
        <v>7343.51</v>
      </c>
      <c r="M371" s="2">
        <v>45328</v>
      </c>
      <c r="N371" s="2">
        <v>45334</v>
      </c>
    </row>
    <row r="372" spans="1:14" x14ac:dyDescent="0.3">
      <c r="A372" t="s">
        <v>23</v>
      </c>
      <c r="B372" t="s">
        <v>35</v>
      </c>
      <c r="C372" t="s">
        <v>48</v>
      </c>
      <c r="D372" t="s">
        <v>58</v>
      </c>
      <c r="E372" t="s">
        <v>62</v>
      </c>
      <c r="F372" t="s">
        <v>69</v>
      </c>
      <c r="G372">
        <v>27159.95</v>
      </c>
      <c r="H372">
        <v>15</v>
      </c>
      <c r="I372">
        <v>23085.9575</v>
      </c>
      <c r="J372">
        <v>5</v>
      </c>
      <c r="K372">
        <v>115429.79</v>
      </c>
      <c r="L372">
        <v>28857.45</v>
      </c>
      <c r="M372" s="2">
        <v>45747</v>
      </c>
      <c r="N372" s="2">
        <v>45750</v>
      </c>
    </row>
    <row r="373" spans="1:14" x14ac:dyDescent="0.3">
      <c r="A373" t="s">
        <v>25</v>
      </c>
      <c r="B373" t="s">
        <v>34</v>
      </c>
      <c r="C373" t="s">
        <v>41</v>
      </c>
      <c r="D373" t="s">
        <v>60</v>
      </c>
      <c r="E373" t="s">
        <v>62</v>
      </c>
      <c r="F373" t="s">
        <v>66</v>
      </c>
      <c r="G373">
        <v>684.05</v>
      </c>
      <c r="H373">
        <v>25</v>
      </c>
      <c r="I373">
        <v>513.03749999999991</v>
      </c>
      <c r="J373">
        <v>3</v>
      </c>
      <c r="K373">
        <v>1539.11</v>
      </c>
      <c r="L373">
        <v>230.87</v>
      </c>
      <c r="M373" s="2">
        <v>45372</v>
      </c>
      <c r="N373" s="2">
        <v>45381</v>
      </c>
    </row>
    <row r="374" spans="1:14" x14ac:dyDescent="0.3">
      <c r="A374" t="s">
        <v>26</v>
      </c>
      <c r="B374" t="s">
        <v>32</v>
      </c>
      <c r="C374" t="s">
        <v>40</v>
      </c>
      <c r="D374" t="s">
        <v>59</v>
      </c>
      <c r="E374" t="s">
        <v>62</v>
      </c>
      <c r="F374" t="s">
        <v>67</v>
      </c>
      <c r="G374">
        <v>44585.33</v>
      </c>
      <c r="H374">
        <v>15</v>
      </c>
      <c r="I374">
        <v>37897.530500000001</v>
      </c>
      <c r="J374">
        <v>1</v>
      </c>
      <c r="K374">
        <v>37897.53</v>
      </c>
      <c r="L374">
        <v>13264.14</v>
      </c>
      <c r="M374" s="2">
        <v>45551</v>
      </c>
      <c r="N374" s="2">
        <v>45556</v>
      </c>
    </row>
    <row r="375" spans="1:14" x14ac:dyDescent="0.3">
      <c r="A375" t="s">
        <v>29</v>
      </c>
      <c r="B375" t="s">
        <v>35</v>
      </c>
      <c r="C375" t="s">
        <v>44</v>
      </c>
      <c r="D375" t="s">
        <v>60</v>
      </c>
      <c r="E375" t="s">
        <v>62</v>
      </c>
      <c r="F375" t="s">
        <v>69</v>
      </c>
      <c r="G375">
        <v>15711.9</v>
      </c>
      <c r="H375">
        <v>15</v>
      </c>
      <c r="I375">
        <v>13355.115</v>
      </c>
      <c r="J375">
        <v>4</v>
      </c>
      <c r="K375">
        <v>53420.46</v>
      </c>
      <c r="L375">
        <v>8013.07</v>
      </c>
      <c r="M375" s="2">
        <v>45476</v>
      </c>
      <c r="N375" s="2">
        <v>45486</v>
      </c>
    </row>
    <row r="376" spans="1:14" x14ac:dyDescent="0.3">
      <c r="A376" t="s">
        <v>16</v>
      </c>
      <c r="B376" t="s">
        <v>31</v>
      </c>
      <c r="C376" t="s">
        <v>47</v>
      </c>
      <c r="D376" t="s">
        <v>59</v>
      </c>
      <c r="E376" t="s">
        <v>62</v>
      </c>
      <c r="F376" t="s">
        <v>67</v>
      </c>
      <c r="G376">
        <v>3096.11</v>
      </c>
      <c r="H376">
        <v>5</v>
      </c>
      <c r="I376">
        <v>2941.3045000000002</v>
      </c>
      <c r="J376">
        <v>4</v>
      </c>
      <c r="K376">
        <v>11765.22</v>
      </c>
      <c r="L376">
        <v>4117.83</v>
      </c>
      <c r="M376" s="2">
        <v>45638</v>
      </c>
      <c r="N376" s="2">
        <v>45643</v>
      </c>
    </row>
    <row r="377" spans="1:14" x14ac:dyDescent="0.3">
      <c r="A377" t="s">
        <v>23</v>
      </c>
      <c r="B377" t="s">
        <v>35</v>
      </c>
      <c r="C377" t="s">
        <v>46</v>
      </c>
      <c r="D377" t="s">
        <v>59</v>
      </c>
      <c r="E377" t="s">
        <v>62</v>
      </c>
      <c r="F377" t="s">
        <v>67</v>
      </c>
      <c r="G377">
        <v>31196.42</v>
      </c>
      <c r="H377">
        <v>30</v>
      </c>
      <c r="I377">
        <v>21837.493999999999</v>
      </c>
      <c r="J377">
        <v>4</v>
      </c>
      <c r="K377">
        <v>87349.98</v>
      </c>
      <c r="L377">
        <v>30572.49</v>
      </c>
      <c r="M377" s="2">
        <v>45720</v>
      </c>
      <c r="N377" s="2">
        <v>45726</v>
      </c>
    </row>
    <row r="378" spans="1:14" x14ac:dyDescent="0.3">
      <c r="A378" t="s">
        <v>16</v>
      </c>
      <c r="B378" t="s">
        <v>31</v>
      </c>
      <c r="C378" t="s">
        <v>36</v>
      </c>
      <c r="D378" t="s">
        <v>58</v>
      </c>
      <c r="E378" t="s">
        <v>61</v>
      </c>
      <c r="F378" t="s">
        <v>71</v>
      </c>
      <c r="G378">
        <v>2414.25</v>
      </c>
      <c r="H378">
        <v>10</v>
      </c>
      <c r="I378">
        <v>2172.8249999999998</v>
      </c>
      <c r="J378">
        <v>5</v>
      </c>
      <c r="K378">
        <v>10864.13</v>
      </c>
      <c r="L378">
        <v>2716.03</v>
      </c>
      <c r="M378" s="2">
        <v>45404</v>
      </c>
      <c r="N378" s="2">
        <v>45406</v>
      </c>
    </row>
    <row r="379" spans="1:14" x14ac:dyDescent="0.3">
      <c r="A379" t="s">
        <v>28</v>
      </c>
      <c r="B379" t="s">
        <v>34</v>
      </c>
      <c r="C379" t="s">
        <v>49</v>
      </c>
      <c r="D379" t="s">
        <v>59</v>
      </c>
      <c r="E379" t="s">
        <v>61</v>
      </c>
      <c r="F379" t="s">
        <v>71</v>
      </c>
      <c r="G379">
        <v>1710.75</v>
      </c>
      <c r="H379">
        <v>15</v>
      </c>
      <c r="I379">
        <v>1454.1375</v>
      </c>
      <c r="J379">
        <v>1</v>
      </c>
      <c r="K379">
        <v>1454.14</v>
      </c>
      <c r="L379">
        <v>508.95</v>
      </c>
      <c r="M379" s="2">
        <v>45858</v>
      </c>
      <c r="N379" s="2">
        <v>45868</v>
      </c>
    </row>
    <row r="380" spans="1:14" x14ac:dyDescent="0.3">
      <c r="A380" t="s">
        <v>21</v>
      </c>
      <c r="B380" t="s">
        <v>34</v>
      </c>
      <c r="C380" t="s">
        <v>51</v>
      </c>
      <c r="D380" t="s">
        <v>59</v>
      </c>
      <c r="E380" t="s">
        <v>61</v>
      </c>
      <c r="F380" t="s">
        <v>71</v>
      </c>
      <c r="G380">
        <v>3420.79</v>
      </c>
      <c r="H380">
        <v>25</v>
      </c>
      <c r="I380">
        <v>2565.5925000000002</v>
      </c>
      <c r="J380">
        <v>3</v>
      </c>
      <c r="K380">
        <v>7696.78</v>
      </c>
      <c r="L380">
        <v>2693.87</v>
      </c>
      <c r="M380" s="2">
        <v>45757</v>
      </c>
      <c r="N380" s="2">
        <v>45764</v>
      </c>
    </row>
    <row r="381" spans="1:14" x14ac:dyDescent="0.3">
      <c r="A381" t="s">
        <v>22</v>
      </c>
      <c r="B381" t="s">
        <v>31</v>
      </c>
      <c r="C381" t="s">
        <v>36</v>
      </c>
      <c r="D381" t="s">
        <v>58</v>
      </c>
      <c r="E381" t="s">
        <v>63</v>
      </c>
      <c r="F381" t="s">
        <v>68</v>
      </c>
      <c r="G381">
        <v>3248.61</v>
      </c>
      <c r="H381">
        <v>15</v>
      </c>
      <c r="I381">
        <v>2761.3184999999999</v>
      </c>
      <c r="J381">
        <v>4</v>
      </c>
      <c r="K381">
        <v>11045.27</v>
      </c>
      <c r="L381">
        <v>2761.32</v>
      </c>
      <c r="M381" s="2">
        <v>45554</v>
      </c>
      <c r="N381" s="2">
        <v>45560</v>
      </c>
    </row>
    <row r="382" spans="1:14" x14ac:dyDescent="0.3">
      <c r="A382" t="s">
        <v>24</v>
      </c>
      <c r="B382" t="s">
        <v>32</v>
      </c>
      <c r="C382" t="s">
        <v>43</v>
      </c>
      <c r="D382" t="s">
        <v>58</v>
      </c>
      <c r="E382" t="s">
        <v>64</v>
      </c>
      <c r="F382" t="s">
        <v>76</v>
      </c>
      <c r="G382">
        <v>26010.89</v>
      </c>
      <c r="H382">
        <v>20</v>
      </c>
      <c r="I382">
        <v>20808.712</v>
      </c>
      <c r="J382">
        <v>1</v>
      </c>
      <c r="K382">
        <v>20808.71</v>
      </c>
      <c r="L382">
        <v>5202.18</v>
      </c>
      <c r="M382" s="2">
        <v>45817</v>
      </c>
      <c r="N382" s="2">
        <v>45821</v>
      </c>
    </row>
    <row r="383" spans="1:14" x14ac:dyDescent="0.3">
      <c r="A383" t="s">
        <v>30</v>
      </c>
      <c r="B383" t="s">
        <v>33</v>
      </c>
      <c r="C383" t="s">
        <v>38</v>
      </c>
      <c r="D383" t="s">
        <v>59</v>
      </c>
      <c r="E383" t="s">
        <v>63</v>
      </c>
      <c r="F383" t="s">
        <v>68</v>
      </c>
      <c r="G383">
        <v>16566.79</v>
      </c>
      <c r="H383">
        <v>10</v>
      </c>
      <c r="I383">
        <v>14910.111000000001</v>
      </c>
      <c r="J383">
        <v>5</v>
      </c>
      <c r="K383">
        <v>74550.559999999998</v>
      </c>
      <c r="L383">
        <v>26092.7</v>
      </c>
      <c r="M383" s="2">
        <v>45630</v>
      </c>
      <c r="N383" s="2">
        <v>45635</v>
      </c>
    </row>
    <row r="384" spans="1:14" x14ac:dyDescent="0.3">
      <c r="A384" t="s">
        <v>17</v>
      </c>
      <c r="B384" t="s">
        <v>32</v>
      </c>
      <c r="C384" t="s">
        <v>43</v>
      </c>
      <c r="D384" t="s">
        <v>58</v>
      </c>
      <c r="E384" t="s">
        <v>61</v>
      </c>
      <c r="F384" t="s">
        <v>71</v>
      </c>
      <c r="G384">
        <v>7677.76</v>
      </c>
      <c r="H384">
        <v>30</v>
      </c>
      <c r="I384">
        <v>5374.4319999999998</v>
      </c>
      <c r="J384">
        <v>2</v>
      </c>
      <c r="K384">
        <v>10748.86</v>
      </c>
      <c r="L384">
        <v>2687.22</v>
      </c>
      <c r="M384" s="2">
        <v>45571</v>
      </c>
      <c r="N384" s="2">
        <v>45578</v>
      </c>
    </row>
    <row r="385" spans="1:14" x14ac:dyDescent="0.3">
      <c r="A385" t="s">
        <v>28</v>
      </c>
      <c r="B385" t="s">
        <v>34</v>
      </c>
      <c r="C385" t="s">
        <v>49</v>
      </c>
      <c r="D385" t="s">
        <v>59</v>
      </c>
      <c r="E385" t="s">
        <v>63</v>
      </c>
      <c r="F385" t="s">
        <v>68</v>
      </c>
      <c r="G385">
        <v>1661.9</v>
      </c>
      <c r="H385">
        <v>30</v>
      </c>
      <c r="I385">
        <v>1163.33</v>
      </c>
      <c r="J385">
        <v>4</v>
      </c>
      <c r="K385">
        <v>4653.32</v>
      </c>
      <c r="L385">
        <v>1628.66</v>
      </c>
      <c r="M385" s="2">
        <v>45507</v>
      </c>
      <c r="N385" s="2">
        <v>45517</v>
      </c>
    </row>
    <row r="386" spans="1:14" x14ac:dyDescent="0.3">
      <c r="A386" t="s">
        <v>30</v>
      </c>
      <c r="B386" t="s">
        <v>33</v>
      </c>
      <c r="C386" t="s">
        <v>53</v>
      </c>
      <c r="D386" t="s">
        <v>58</v>
      </c>
      <c r="E386" t="s">
        <v>61</v>
      </c>
      <c r="F386" t="s">
        <v>71</v>
      </c>
      <c r="G386">
        <v>14742.02</v>
      </c>
      <c r="H386">
        <v>0</v>
      </c>
      <c r="I386">
        <v>14742.02</v>
      </c>
      <c r="J386">
        <v>4</v>
      </c>
      <c r="K386">
        <v>58968.08</v>
      </c>
      <c r="L386">
        <v>14742.02</v>
      </c>
      <c r="M386" s="2">
        <v>45730</v>
      </c>
      <c r="N386" s="2">
        <v>45740</v>
      </c>
    </row>
    <row r="387" spans="1:14" x14ac:dyDescent="0.3">
      <c r="A387" t="s">
        <v>23</v>
      </c>
      <c r="B387" t="s">
        <v>35</v>
      </c>
      <c r="C387" t="s">
        <v>38</v>
      </c>
      <c r="D387" t="s">
        <v>59</v>
      </c>
      <c r="E387" t="s">
        <v>61</v>
      </c>
      <c r="F387" t="s">
        <v>70</v>
      </c>
      <c r="G387">
        <v>29234.79</v>
      </c>
      <c r="H387">
        <v>10</v>
      </c>
      <c r="I387">
        <v>26311.311000000002</v>
      </c>
      <c r="J387">
        <v>5</v>
      </c>
      <c r="K387">
        <v>131556.54999999999</v>
      </c>
      <c r="L387">
        <v>46044.79</v>
      </c>
      <c r="M387" s="2">
        <v>45438</v>
      </c>
      <c r="N387" s="2">
        <v>45448</v>
      </c>
    </row>
    <row r="388" spans="1:14" x14ac:dyDescent="0.3">
      <c r="A388" t="s">
        <v>21</v>
      </c>
      <c r="B388" t="s">
        <v>34</v>
      </c>
      <c r="C388" t="s">
        <v>41</v>
      </c>
      <c r="D388" t="s">
        <v>60</v>
      </c>
      <c r="E388" t="s">
        <v>61</v>
      </c>
      <c r="F388" t="s">
        <v>71</v>
      </c>
      <c r="G388">
        <v>2440.06</v>
      </c>
      <c r="H388">
        <v>15</v>
      </c>
      <c r="I388">
        <v>2074.0509999999999</v>
      </c>
      <c r="J388">
        <v>4</v>
      </c>
      <c r="K388">
        <v>8296.2000000000007</v>
      </c>
      <c r="L388">
        <v>1244.43</v>
      </c>
      <c r="M388" s="2">
        <v>45489</v>
      </c>
      <c r="N388" s="2">
        <v>45496</v>
      </c>
    </row>
    <row r="389" spans="1:14" x14ac:dyDescent="0.3">
      <c r="A389" t="s">
        <v>26</v>
      </c>
      <c r="B389" t="s">
        <v>32</v>
      </c>
      <c r="C389" t="s">
        <v>43</v>
      </c>
      <c r="D389" t="s">
        <v>58</v>
      </c>
      <c r="E389" t="s">
        <v>63</v>
      </c>
      <c r="F389" t="s">
        <v>73</v>
      </c>
      <c r="G389">
        <v>34527.980000000003</v>
      </c>
      <c r="H389">
        <v>15</v>
      </c>
      <c r="I389">
        <v>29348.782999999999</v>
      </c>
      <c r="J389">
        <v>5</v>
      </c>
      <c r="K389">
        <v>146743.92000000001</v>
      </c>
      <c r="L389">
        <v>36685.980000000003</v>
      </c>
      <c r="M389" s="2">
        <v>45499</v>
      </c>
      <c r="N389" s="2">
        <v>45507</v>
      </c>
    </row>
    <row r="390" spans="1:14" x14ac:dyDescent="0.3">
      <c r="A390" t="s">
        <v>24</v>
      </c>
      <c r="B390" t="s">
        <v>32</v>
      </c>
      <c r="C390" t="s">
        <v>40</v>
      </c>
      <c r="D390" t="s">
        <v>59</v>
      </c>
      <c r="E390" t="s">
        <v>63</v>
      </c>
      <c r="F390" t="s">
        <v>68</v>
      </c>
      <c r="G390">
        <v>28417.51</v>
      </c>
      <c r="H390">
        <v>25</v>
      </c>
      <c r="I390">
        <v>21313.1325</v>
      </c>
      <c r="J390">
        <v>4</v>
      </c>
      <c r="K390">
        <v>85252.53</v>
      </c>
      <c r="L390">
        <v>29838.39</v>
      </c>
      <c r="M390" s="2">
        <v>45612</v>
      </c>
      <c r="N390" s="2">
        <v>45622</v>
      </c>
    </row>
    <row r="391" spans="1:14" x14ac:dyDescent="0.3">
      <c r="A391" t="s">
        <v>27</v>
      </c>
      <c r="B391" t="s">
        <v>35</v>
      </c>
      <c r="C391" t="s">
        <v>46</v>
      </c>
      <c r="D391" t="s">
        <v>59</v>
      </c>
      <c r="E391" t="s">
        <v>62</v>
      </c>
      <c r="F391" t="s">
        <v>67</v>
      </c>
      <c r="G391">
        <v>10003.879999999999</v>
      </c>
      <c r="H391">
        <v>20</v>
      </c>
      <c r="I391">
        <v>8003.1039999999994</v>
      </c>
      <c r="J391">
        <v>4</v>
      </c>
      <c r="K391">
        <v>32012.42</v>
      </c>
      <c r="L391">
        <v>11204.35</v>
      </c>
      <c r="M391" s="2">
        <v>45321</v>
      </c>
      <c r="N391" s="2">
        <v>45325</v>
      </c>
    </row>
    <row r="392" spans="1:14" x14ac:dyDescent="0.3">
      <c r="A392" t="s">
        <v>18</v>
      </c>
      <c r="B392" t="s">
        <v>33</v>
      </c>
      <c r="C392" t="s">
        <v>50</v>
      </c>
      <c r="D392" t="s">
        <v>59</v>
      </c>
      <c r="E392" t="s">
        <v>63</v>
      </c>
      <c r="F392" t="s">
        <v>75</v>
      </c>
      <c r="G392">
        <v>55751.03</v>
      </c>
      <c r="H392">
        <v>10</v>
      </c>
      <c r="I392">
        <v>50175.927000000003</v>
      </c>
      <c r="J392">
        <v>1</v>
      </c>
      <c r="K392">
        <v>50175.93</v>
      </c>
      <c r="L392">
        <v>17561.580000000002</v>
      </c>
      <c r="M392" s="2">
        <v>45385</v>
      </c>
      <c r="N392" s="2">
        <v>45389</v>
      </c>
    </row>
    <row r="393" spans="1:14" x14ac:dyDescent="0.3">
      <c r="A393" t="s">
        <v>22</v>
      </c>
      <c r="B393" t="s">
        <v>31</v>
      </c>
      <c r="C393" t="s">
        <v>47</v>
      </c>
      <c r="D393" t="s">
        <v>59</v>
      </c>
      <c r="E393" t="s">
        <v>64</v>
      </c>
      <c r="F393" t="s">
        <v>74</v>
      </c>
      <c r="G393">
        <v>4569.83</v>
      </c>
      <c r="H393">
        <v>30</v>
      </c>
      <c r="I393">
        <v>3198.8809999999999</v>
      </c>
      <c r="J393">
        <v>5</v>
      </c>
      <c r="K393">
        <v>15994.4</v>
      </c>
      <c r="L393">
        <v>5598.04</v>
      </c>
      <c r="M393" s="2">
        <v>45810</v>
      </c>
      <c r="N393" s="2">
        <v>45816</v>
      </c>
    </row>
    <row r="394" spans="1:14" x14ac:dyDescent="0.3">
      <c r="A394" t="s">
        <v>23</v>
      </c>
      <c r="B394" t="s">
        <v>35</v>
      </c>
      <c r="C394" t="s">
        <v>44</v>
      </c>
      <c r="D394" t="s">
        <v>60</v>
      </c>
      <c r="E394" t="s">
        <v>61</v>
      </c>
      <c r="F394" t="s">
        <v>65</v>
      </c>
      <c r="G394">
        <v>20612.810000000001</v>
      </c>
      <c r="H394">
        <v>15</v>
      </c>
      <c r="I394">
        <v>17520.888500000001</v>
      </c>
      <c r="J394">
        <v>1</v>
      </c>
      <c r="K394">
        <v>17520.89</v>
      </c>
      <c r="L394">
        <v>2628.13</v>
      </c>
      <c r="M394" s="2">
        <v>45342</v>
      </c>
      <c r="N394" s="2">
        <v>45346</v>
      </c>
    </row>
    <row r="395" spans="1:14" x14ac:dyDescent="0.3">
      <c r="A395" t="s">
        <v>21</v>
      </c>
      <c r="B395" t="s">
        <v>34</v>
      </c>
      <c r="C395" t="s">
        <v>49</v>
      </c>
      <c r="D395" t="s">
        <v>59</v>
      </c>
      <c r="E395" t="s">
        <v>64</v>
      </c>
      <c r="F395" t="s">
        <v>74</v>
      </c>
      <c r="G395">
        <v>4024.85</v>
      </c>
      <c r="H395">
        <v>25</v>
      </c>
      <c r="I395">
        <v>3018.6374999999998</v>
      </c>
      <c r="J395">
        <v>1</v>
      </c>
      <c r="K395">
        <v>3018.64</v>
      </c>
      <c r="L395">
        <v>1056.52</v>
      </c>
      <c r="M395" s="2">
        <v>45700</v>
      </c>
      <c r="N395" s="2">
        <v>45708</v>
      </c>
    </row>
    <row r="396" spans="1:14" x14ac:dyDescent="0.3">
      <c r="A396" t="s">
        <v>23</v>
      </c>
      <c r="B396" t="s">
        <v>35</v>
      </c>
      <c r="C396" t="s">
        <v>48</v>
      </c>
      <c r="D396" t="s">
        <v>58</v>
      </c>
      <c r="E396" t="s">
        <v>61</v>
      </c>
      <c r="F396" t="s">
        <v>70</v>
      </c>
      <c r="G396">
        <v>24958.41</v>
      </c>
      <c r="H396">
        <v>0</v>
      </c>
      <c r="I396">
        <v>24958.41</v>
      </c>
      <c r="J396">
        <v>5</v>
      </c>
      <c r="K396">
        <v>124792.05</v>
      </c>
      <c r="L396">
        <v>31198.01</v>
      </c>
      <c r="M396" s="2">
        <v>45618</v>
      </c>
      <c r="N396" s="2">
        <v>45627</v>
      </c>
    </row>
    <row r="397" spans="1:14" x14ac:dyDescent="0.3">
      <c r="A397" t="s">
        <v>24</v>
      </c>
      <c r="B397" t="s">
        <v>32</v>
      </c>
      <c r="C397" t="s">
        <v>43</v>
      </c>
      <c r="D397" t="s">
        <v>58</v>
      </c>
      <c r="E397" t="s">
        <v>64</v>
      </c>
      <c r="F397" t="s">
        <v>74</v>
      </c>
      <c r="G397">
        <v>28298.86</v>
      </c>
      <c r="H397">
        <v>10</v>
      </c>
      <c r="I397">
        <v>25468.973999999998</v>
      </c>
      <c r="J397">
        <v>5</v>
      </c>
      <c r="K397">
        <v>127344.87</v>
      </c>
      <c r="L397">
        <v>31836.22</v>
      </c>
      <c r="M397" s="2">
        <v>45502</v>
      </c>
      <c r="N397" s="2">
        <v>45506</v>
      </c>
    </row>
    <row r="398" spans="1:14" x14ac:dyDescent="0.3">
      <c r="A398" t="s">
        <v>20</v>
      </c>
      <c r="B398" t="s">
        <v>32</v>
      </c>
      <c r="C398" t="s">
        <v>43</v>
      </c>
      <c r="D398" t="s">
        <v>58</v>
      </c>
      <c r="E398" t="s">
        <v>63</v>
      </c>
      <c r="F398" t="s">
        <v>75</v>
      </c>
      <c r="G398">
        <v>27594.57</v>
      </c>
      <c r="H398">
        <v>20</v>
      </c>
      <c r="I398">
        <v>22075.655999999999</v>
      </c>
      <c r="J398">
        <v>1</v>
      </c>
      <c r="K398">
        <v>22075.66</v>
      </c>
      <c r="L398">
        <v>5518.91</v>
      </c>
      <c r="M398" s="2">
        <v>45682</v>
      </c>
      <c r="N398" s="2">
        <v>45686</v>
      </c>
    </row>
    <row r="399" spans="1:14" x14ac:dyDescent="0.3">
      <c r="A399" t="s">
        <v>18</v>
      </c>
      <c r="B399" t="s">
        <v>33</v>
      </c>
      <c r="C399" t="s">
        <v>53</v>
      </c>
      <c r="D399" t="s">
        <v>58</v>
      </c>
      <c r="E399" t="s">
        <v>64</v>
      </c>
      <c r="F399" t="s">
        <v>76</v>
      </c>
      <c r="G399">
        <v>51839.08</v>
      </c>
      <c r="H399">
        <v>0</v>
      </c>
      <c r="I399">
        <v>51839.08</v>
      </c>
      <c r="J399">
        <v>1</v>
      </c>
      <c r="K399">
        <v>51839.08</v>
      </c>
      <c r="L399">
        <v>12959.77</v>
      </c>
      <c r="M399" s="2">
        <v>45413</v>
      </c>
      <c r="N399" s="2">
        <v>45416</v>
      </c>
    </row>
    <row r="400" spans="1:14" x14ac:dyDescent="0.3">
      <c r="A400" t="s">
        <v>20</v>
      </c>
      <c r="B400" t="s">
        <v>32</v>
      </c>
      <c r="C400" t="s">
        <v>54</v>
      </c>
      <c r="D400" t="s">
        <v>60</v>
      </c>
      <c r="E400" t="s">
        <v>61</v>
      </c>
      <c r="F400" t="s">
        <v>70</v>
      </c>
      <c r="G400">
        <v>25930.92</v>
      </c>
      <c r="H400">
        <v>0</v>
      </c>
      <c r="I400">
        <v>25930.92</v>
      </c>
      <c r="J400">
        <v>2</v>
      </c>
      <c r="K400">
        <v>51861.84</v>
      </c>
      <c r="L400">
        <v>7779.28</v>
      </c>
      <c r="M400" s="2">
        <v>45355</v>
      </c>
      <c r="N400" s="2">
        <v>45362</v>
      </c>
    </row>
    <row r="401" spans="1:14" x14ac:dyDescent="0.3">
      <c r="A401" t="s">
        <v>17</v>
      </c>
      <c r="B401" t="s">
        <v>32</v>
      </c>
      <c r="C401" t="s">
        <v>54</v>
      </c>
      <c r="D401" t="s">
        <v>60</v>
      </c>
      <c r="E401" t="s">
        <v>62</v>
      </c>
      <c r="F401" t="s">
        <v>69</v>
      </c>
      <c r="G401">
        <v>7254.33</v>
      </c>
      <c r="H401">
        <v>10</v>
      </c>
      <c r="I401">
        <v>6528.8969999999999</v>
      </c>
      <c r="J401">
        <v>2</v>
      </c>
      <c r="K401">
        <v>13057.79</v>
      </c>
      <c r="L401">
        <v>1958.67</v>
      </c>
      <c r="M401" s="2">
        <v>45640</v>
      </c>
      <c r="N401" s="2">
        <v>45642</v>
      </c>
    </row>
    <row r="402" spans="1:14" x14ac:dyDescent="0.3">
      <c r="A402" t="s">
        <v>18</v>
      </c>
      <c r="B402" t="s">
        <v>33</v>
      </c>
      <c r="C402" t="s">
        <v>50</v>
      </c>
      <c r="D402" t="s">
        <v>59</v>
      </c>
      <c r="E402" t="s">
        <v>63</v>
      </c>
      <c r="F402" t="s">
        <v>68</v>
      </c>
      <c r="G402">
        <v>58300.52</v>
      </c>
      <c r="H402">
        <v>20</v>
      </c>
      <c r="I402">
        <v>46640.415999999997</v>
      </c>
      <c r="J402">
        <v>5</v>
      </c>
      <c r="K402">
        <v>233202.08</v>
      </c>
      <c r="L402">
        <v>81620.73</v>
      </c>
      <c r="M402" s="2">
        <v>45447</v>
      </c>
      <c r="N402" s="2">
        <v>45457</v>
      </c>
    </row>
    <row r="403" spans="1:14" x14ac:dyDescent="0.3">
      <c r="A403" t="s">
        <v>25</v>
      </c>
      <c r="B403" t="s">
        <v>34</v>
      </c>
      <c r="C403" t="s">
        <v>49</v>
      </c>
      <c r="D403" t="s">
        <v>59</v>
      </c>
      <c r="E403" t="s">
        <v>61</v>
      </c>
      <c r="F403" t="s">
        <v>70</v>
      </c>
      <c r="G403">
        <v>903.04</v>
      </c>
      <c r="H403">
        <v>5</v>
      </c>
      <c r="I403">
        <v>857.88799999999992</v>
      </c>
      <c r="J403">
        <v>2</v>
      </c>
      <c r="K403">
        <v>1715.78</v>
      </c>
      <c r="L403">
        <v>600.52</v>
      </c>
      <c r="M403" s="2">
        <v>45747</v>
      </c>
      <c r="N403" s="2">
        <v>45751</v>
      </c>
    </row>
    <row r="404" spans="1:14" x14ac:dyDescent="0.3">
      <c r="A404" t="s">
        <v>21</v>
      </c>
      <c r="B404" t="s">
        <v>34</v>
      </c>
      <c r="C404" t="s">
        <v>41</v>
      </c>
      <c r="D404" t="s">
        <v>60</v>
      </c>
      <c r="E404" t="s">
        <v>61</v>
      </c>
      <c r="F404" t="s">
        <v>65</v>
      </c>
      <c r="G404">
        <v>2571.54</v>
      </c>
      <c r="H404">
        <v>25</v>
      </c>
      <c r="I404">
        <v>1928.655</v>
      </c>
      <c r="J404">
        <v>5</v>
      </c>
      <c r="K404">
        <v>9643.27</v>
      </c>
      <c r="L404">
        <v>1446.49</v>
      </c>
      <c r="M404" s="2">
        <v>45296</v>
      </c>
      <c r="N404" s="2">
        <v>45304</v>
      </c>
    </row>
    <row r="405" spans="1:14" x14ac:dyDescent="0.3">
      <c r="A405" t="s">
        <v>23</v>
      </c>
      <c r="B405" t="s">
        <v>35</v>
      </c>
      <c r="C405" t="s">
        <v>48</v>
      </c>
      <c r="D405" t="s">
        <v>58</v>
      </c>
      <c r="E405" t="s">
        <v>61</v>
      </c>
      <c r="F405" t="s">
        <v>65</v>
      </c>
      <c r="G405">
        <v>25617.46</v>
      </c>
      <c r="H405">
        <v>5</v>
      </c>
      <c r="I405">
        <v>24336.587</v>
      </c>
      <c r="J405">
        <v>5</v>
      </c>
      <c r="K405">
        <v>121682.93</v>
      </c>
      <c r="L405">
        <v>30420.73</v>
      </c>
      <c r="M405" s="2">
        <v>45666</v>
      </c>
      <c r="N405" s="2">
        <v>45669</v>
      </c>
    </row>
    <row r="406" spans="1:14" x14ac:dyDescent="0.3">
      <c r="A406" t="s">
        <v>24</v>
      </c>
      <c r="B406" t="s">
        <v>32</v>
      </c>
      <c r="C406" t="s">
        <v>40</v>
      </c>
      <c r="D406" t="s">
        <v>59</v>
      </c>
      <c r="E406" t="s">
        <v>62</v>
      </c>
      <c r="F406" t="s">
        <v>67</v>
      </c>
      <c r="G406">
        <v>31989.91</v>
      </c>
      <c r="H406">
        <v>20</v>
      </c>
      <c r="I406">
        <v>25591.928</v>
      </c>
      <c r="J406">
        <v>5</v>
      </c>
      <c r="K406">
        <v>127959.64</v>
      </c>
      <c r="L406">
        <v>44785.87</v>
      </c>
      <c r="M406" s="2">
        <v>45484</v>
      </c>
      <c r="N406" s="2">
        <v>45491</v>
      </c>
    </row>
    <row r="407" spans="1:14" x14ac:dyDescent="0.3">
      <c r="A407" t="s">
        <v>29</v>
      </c>
      <c r="B407" t="s">
        <v>35</v>
      </c>
      <c r="C407" t="s">
        <v>48</v>
      </c>
      <c r="D407" t="s">
        <v>58</v>
      </c>
      <c r="E407" t="s">
        <v>63</v>
      </c>
      <c r="F407" t="s">
        <v>75</v>
      </c>
      <c r="G407">
        <v>16620.009999999998</v>
      </c>
      <c r="H407">
        <v>25</v>
      </c>
      <c r="I407">
        <v>12465.0075</v>
      </c>
      <c r="J407">
        <v>5</v>
      </c>
      <c r="K407">
        <v>62325.04</v>
      </c>
      <c r="L407">
        <v>15581.26</v>
      </c>
      <c r="M407" s="2">
        <v>45357</v>
      </c>
      <c r="N407" s="2">
        <v>45364</v>
      </c>
    </row>
    <row r="408" spans="1:14" x14ac:dyDescent="0.3">
      <c r="A408" t="s">
        <v>25</v>
      </c>
      <c r="B408" t="s">
        <v>34</v>
      </c>
      <c r="C408" t="s">
        <v>52</v>
      </c>
      <c r="D408" t="s">
        <v>60</v>
      </c>
      <c r="E408" t="s">
        <v>62</v>
      </c>
      <c r="F408" t="s">
        <v>67</v>
      </c>
      <c r="G408">
        <v>683.09</v>
      </c>
      <c r="H408">
        <v>30</v>
      </c>
      <c r="I408">
        <v>478.16300000000001</v>
      </c>
      <c r="J408">
        <v>2</v>
      </c>
      <c r="K408">
        <v>956.33</v>
      </c>
      <c r="L408">
        <v>143.44999999999999</v>
      </c>
      <c r="M408" s="2">
        <v>45758</v>
      </c>
      <c r="N408" s="2">
        <v>45760</v>
      </c>
    </row>
    <row r="409" spans="1:14" x14ac:dyDescent="0.3">
      <c r="A409" t="s">
        <v>27</v>
      </c>
      <c r="B409" t="s">
        <v>35</v>
      </c>
      <c r="C409" t="s">
        <v>48</v>
      </c>
      <c r="D409" t="s">
        <v>58</v>
      </c>
      <c r="E409" t="s">
        <v>61</v>
      </c>
      <c r="F409" t="s">
        <v>70</v>
      </c>
      <c r="G409">
        <v>7707.83</v>
      </c>
      <c r="H409">
        <v>0</v>
      </c>
      <c r="I409">
        <v>7707.83</v>
      </c>
      <c r="J409">
        <v>5</v>
      </c>
      <c r="K409">
        <v>38539.15</v>
      </c>
      <c r="L409">
        <v>9634.7900000000009</v>
      </c>
      <c r="M409" s="2">
        <v>45678</v>
      </c>
      <c r="N409" s="2">
        <v>45680</v>
      </c>
    </row>
    <row r="410" spans="1:14" x14ac:dyDescent="0.3">
      <c r="A410" t="s">
        <v>29</v>
      </c>
      <c r="B410" t="s">
        <v>35</v>
      </c>
      <c r="C410" t="s">
        <v>48</v>
      </c>
      <c r="D410" t="s">
        <v>58</v>
      </c>
      <c r="E410" t="s">
        <v>64</v>
      </c>
      <c r="F410" t="s">
        <v>72</v>
      </c>
      <c r="G410">
        <v>19580.48</v>
      </c>
      <c r="H410">
        <v>25</v>
      </c>
      <c r="I410">
        <v>14685.36</v>
      </c>
      <c r="J410">
        <v>3</v>
      </c>
      <c r="K410">
        <v>44056.08</v>
      </c>
      <c r="L410">
        <v>11014.02</v>
      </c>
      <c r="M410" s="2">
        <v>45840</v>
      </c>
      <c r="N410" s="2">
        <v>45848</v>
      </c>
    </row>
    <row r="411" spans="1:14" x14ac:dyDescent="0.3">
      <c r="A411" t="s">
        <v>26</v>
      </c>
      <c r="B411" t="s">
        <v>32</v>
      </c>
      <c r="C411" t="s">
        <v>43</v>
      </c>
      <c r="D411" t="s">
        <v>58</v>
      </c>
      <c r="E411" t="s">
        <v>61</v>
      </c>
      <c r="F411" t="s">
        <v>70</v>
      </c>
      <c r="G411">
        <v>33462.239999999998</v>
      </c>
      <c r="H411">
        <v>20</v>
      </c>
      <c r="I411">
        <v>26769.792000000001</v>
      </c>
      <c r="J411">
        <v>3</v>
      </c>
      <c r="K411">
        <v>80309.38</v>
      </c>
      <c r="L411">
        <v>20077.349999999999</v>
      </c>
      <c r="M411" s="2">
        <v>45537</v>
      </c>
      <c r="N411" s="2">
        <v>45544</v>
      </c>
    </row>
    <row r="412" spans="1:14" x14ac:dyDescent="0.3">
      <c r="A412" t="s">
        <v>27</v>
      </c>
      <c r="B412" t="s">
        <v>35</v>
      </c>
      <c r="C412" t="s">
        <v>46</v>
      </c>
      <c r="D412" t="s">
        <v>59</v>
      </c>
      <c r="E412" t="s">
        <v>61</v>
      </c>
      <c r="F412" t="s">
        <v>70</v>
      </c>
      <c r="G412">
        <v>9619.52</v>
      </c>
      <c r="H412">
        <v>25</v>
      </c>
      <c r="I412">
        <v>7214.64</v>
      </c>
      <c r="J412">
        <v>3</v>
      </c>
      <c r="K412">
        <v>21643.919999999998</v>
      </c>
      <c r="L412">
        <v>7575.37</v>
      </c>
      <c r="M412" s="2">
        <v>45616</v>
      </c>
      <c r="N412" s="2">
        <v>45619</v>
      </c>
    </row>
    <row r="413" spans="1:14" x14ac:dyDescent="0.3">
      <c r="A413" t="s">
        <v>19</v>
      </c>
      <c r="B413" t="s">
        <v>33</v>
      </c>
      <c r="C413" t="s">
        <v>56</v>
      </c>
      <c r="D413" t="s">
        <v>60</v>
      </c>
      <c r="E413" t="s">
        <v>61</v>
      </c>
      <c r="F413" t="s">
        <v>71</v>
      </c>
      <c r="G413">
        <v>1673.01</v>
      </c>
      <c r="H413">
        <v>25</v>
      </c>
      <c r="I413">
        <v>1254.7574999999999</v>
      </c>
      <c r="J413">
        <v>5</v>
      </c>
      <c r="K413">
        <v>6273.79</v>
      </c>
      <c r="L413">
        <v>941.07</v>
      </c>
      <c r="M413" s="2">
        <v>45722</v>
      </c>
      <c r="N413" s="2">
        <v>45724</v>
      </c>
    </row>
    <row r="414" spans="1:14" x14ac:dyDescent="0.3">
      <c r="A414" t="s">
        <v>21</v>
      </c>
      <c r="B414" t="s">
        <v>34</v>
      </c>
      <c r="C414" t="s">
        <v>52</v>
      </c>
      <c r="D414" t="s">
        <v>60</v>
      </c>
      <c r="E414" t="s">
        <v>63</v>
      </c>
      <c r="F414" t="s">
        <v>73</v>
      </c>
      <c r="G414">
        <v>2403.9</v>
      </c>
      <c r="H414">
        <v>0</v>
      </c>
      <c r="I414">
        <v>2403.9</v>
      </c>
      <c r="J414">
        <v>4</v>
      </c>
      <c r="K414">
        <v>9615.6</v>
      </c>
      <c r="L414">
        <v>1442.34</v>
      </c>
      <c r="M414" s="2">
        <v>45668</v>
      </c>
      <c r="N414" s="2">
        <v>45671</v>
      </c>
    </row>
    <row r="415" spans="1:14" x14ac:dyDescent="0.3">
      <c r="A415" t="s">
        <v>26</v>
      </c>
      <c r="B415" t="s">
        <v>32</v>
      </c>
      <c r="C415" t="s">
        <v>40</v>
      </c>
      <c r="D415" t="s">
        <v>59</v>
      </c>
      <c r="E415" t="s">
        <v>63</v>
      </c>
      <c r="F415" t="s">
        <v>73</v>
      </c>
      <c r="G415">
        <v>39872.9</v>
      </c>
      <c r="H415">
        <v>15</v>
      </c>
      <c r="I415">
        <v>33891.964999999997</v>
      </c>
      <c r="J415">
        <v>3</v>
      </c>
      <c r="K415">
        <v>101675.9</v>
      </c>
      <c r="L415">
        <v>35586.559999999998</v>
      </c>
      <c r="M415" s="2">
        <v>45298</v>
      </c>
      <c r="N415" s="2">
        <v>45306</v>
      </c>
    </row>
    <row r="416" spans="1:14" x14ac:dyDescent="0.3">
      <c r="A416" t="s">
        <v>17</v>
      </c>
      <c r="B416" t="s">
        <v>32</v>
      </c>
      <c r="C416" t="s">
        <v>37</v>
      </c>
      <c r="D416" t="s">
        <v>59</v>
      </c>
      <c r="E416" t="s">
        <v>64</v>
      </c>
      <c r="F416" t="s">
        <v>74</v>
      </c>
      <c r="G416">
        <v>10507.04</v>
      </c>
      <c r="H416">
        <v>5</v>
      </c>
      <c r="I416">
        <v>9981.6880000000001</v>
      </c>
      <c r="J416">
        <v>5</v>
      </c>
      <c r="K416">
        <v>49908.44</v>
      </c>
      <c r="L416">
        <v>17467.95</v>
      </c>
      <c r="M416" s="2">
        <v>45610</v>
      </c>
      <c r="N416" s="2">
        <v>45615</v>
      </c>
    </row>
    <row r="417" spans="1:14" x14ac:dyDescent="0.3">
      <c r="A417" t="s">
        <v>27</v>
      </c>
      <c r="B417" t="s">
        <v>35</v>
      </c>
      <c r="C417" t="s">
        <v>46</v>
      </c>
      <c r="D417" t="s">
        <v>59</v>
      </c>
      <c r="E417" t="s">
        <v>63</v>
      </c>
      <c r="F417" t="s">
        <v>73</v>
      </c>
      <c r="G417">
        <v>8816.58</v>
      </c>
      <c r="H417">
        <v>10</v>
      </c>
      <c r="I417">
        <v>7934.9219999999996</v>
      </c>
      <c r="J417">
        <v>5</v>
      </c>
      <c r="K417">
        <v>39674.61</v>
      </c>
      <c r="L417">
        <v>13886.11</v>
      </c>
      <c r="M417" s="2">
        <v>45796</v>
      </c>
      <c r="N417" s="2">
        <v>45800</v>
      </c>
    </row>
    <row r="418" spans="1:14" x14ac:dyDescent="0.3">
      <c r="A418" t="s">
        <v>16</v>
      </c>
      <c r="B418" t="s">
        <v>31</v>
      </c>
      <c r="C418" t="s">
        <v>36</v>
      </c>
      <c r="D418" t="s">
        <v>58</v>
      </c>
      <c r="E418" t="s">
        <v>61</v>
      </c>
      <c r="F418" t="s">
        <v>70</v>
      </c>
      <c r="G418">
        <v>2391.31</v>
      </c>
      <c r="H418">
        <v>15</v>
      </c>
      <c r="I418">
        <v>2032.6134999999999</v>
      </c>
      <c r="J418">
        <v>5</v>
      </c>
      <c r="K418">
        <v>10163.07</v>
      </c>
      <c r="L418">
        <v>2540.77</v>
      </c>
      <c r="M418" s="2">
        <v>45682</v>
      </c>
      <c r="N418" s="2">
        <v>45692</v>
      </c>
    </row>
    <row r="419" spans="1:14" x14ac:dyDescent="0.3">
      <c r="A419" t="s">
        <v>17</v>
      </c>
      <c r="B419" t="s">
        <v>32</v>
      </c>
      <c r="C419" t="s">
        <v>40</v>
      </c>
      <c r="D419" t="s">
        <v>59</v>
      </c>
      <c r="E419" t="s">
        <v>62</v>
      </c>
      <c r="F419" t="s">
        <v>69</v>
      </c>
      <c r="G419">
        <v>10143.44</v>
      </c>
      <c r="H419">
        <v>0</v>
      </c>
      <c r="I419">
        <v>10143.44</v>
      </c>
      <c r="J419">
        <v>5</v>
      </c>
      <c r="K419">
        <v>50717.2</v>
      </c>
      <c r="L419">
        <v>17751.02</v>
      </c>
      <c r="M419" s="2">
        <v>45464</v>
      </c>
      <c r="N419" s="2">
        <v>45474</v>
      </c>
    </row>
    <row r="420" spans="1:14" x14ac:dyDescent="0.3">
      <c r="A420" t="s">
        <v>17</v>
      </c>
      <c r="B420" t="s">
        <v>32</v>
      </c>
      <c r="C420" t="s">
        <v>40</v>
      </c>
      <c r="D420" t="s">
        <v>59</v>
      </c>
      <c r="E420" t="s">
        <v>61</v>
      </c>
      <c r="F420" t="s">
        <v>71</v>
      </c>
      <c r="G420">
        <v>9754.89</v>
      </c>
      <c r="H420">
        <v>20</v>
      </c>
      <c r="I420">
        <v>7803.9120000000003</v>
      </c>
      <c r="J420">
        <v>2</v>
      </c>
      <c r="K420">
        <v>15607.82</v>
      </c>
      <c r="L420">
        <v>5462.74</v>
      </c>
      <c r="M420" s="2">
        <v>45601</v>
      </c>
      <c r="N420" s="2">
        <v>45607</v>
      </c>
    </row>
    <row r="421" spans="1:14" x14ac:dyDescent="0.3">
      <c r="A421" t="s">
        <v>27</v>
      </c>
      <c r="B421" t="s">
        <v>35</v>
      </c>
      <c r="C421" t="s">
        <v>44</v>
      </c>
      <c r="D421" t="s">
        <v>60</v>
      </c>
      <c r="E421" t="s">
        <v>63</v>
      </c>
      <c r="F421" t="s">
        <v>75</v>
      </c>
      <c r="G421">
        <v>6352.89</v>
      </c>
      <c r="H421">
        <v>5</v>
      </c>
      <c r="I421">
        <v>6035.2455</v>
      </c>
      <c r="J421">
        <v>2</v>
      </c>
      <c r="K421">
        <v>12070.49</v>
      </c>
      <c r="L421">
        <v>1810.57</v>
      </c>
      <c r="M421" s="2">
        <v>45474</v>
      </c>
      <c r="N421" s="2">
        <v>45480</v>
      </c>
    </row>
    <row r="422" spans="1:14" x14ac:dyDescent="0.3">
      <c r="A422" t="s">
        <v>20</v>
      </c>
      <c r="B422" t="s">
        <v>32</v>
      </c>
      <c r="C422" t="s">
        <v>40</v>
      </c>
      <c r="D422" t="s">
        <v>59</v>
      </c>
      <c r="E422" t="s">
        <v>62</v>
      </c>
      <c r="F422" t="s">
        <v>69</v>
      </c>
      <c r="G422">
        <v>38436.39</v>
      </c>
      <c r="H422">
        <v>25</v>
      </c>
      <c r="I422">
        <v>28827.2925</v>
      </c>
      <c r="J422">
        <v>5</v>
      </c>
      <c r="K422">
        <v>144136.46</v>
      </c>
      <c r="L422">
        <v>50447.76</v>
      </c>
      <c r="M422" s="2">
        <v>45717</v>
      </c>
      <c r="N422" s="2">
        <v>45724</v>
      </c>
    </row>
    <row r="423" spans="1:14" x14ac:dyDescent="0.3">
      <c r="A423" t="s">
        <v>19</v>
      </c>
      <c r="B423" t="s">
        <v>33</v>
      </c>
      <c r="C423" t="s">
        <v>56</v>
      </c>
      <c r="D423" t="s">
        <v>60</v>
      </c>
      <c r="E423" t="s">
        <v>62</v>
      </c>
      <c r="F423" t="s">
        <v>69</v>
      </c>
      <c r="G423">
        <v>1782.96</v>
      </c>
      <c r="H423">
        <v>20</v>
      </c>
      <c r="I423">
        <v>1426.3679999999999</v>
      </c>
      <c r="J423">
        <v>4</v>
      </c>
      <c r="K423">
        <v>5705.47</v>
      </c>
      <c r="L423">
        <v>855.82</v>
      </c>
      <c r="M423" s="2">
        <v>45708</v>
      </c>
      <c r="N423" s="2">
        <v>45713</v>
      </c>
    </row>
    <row r="424" spans="1:14" x14ac:dyDescent="0.3">
      <c r="A424" t="s">
        <v>16</v>
      </c>
      <c r="B424" t="s">
        <v>31</v>
      </c>
      <c r="C424" t="s">
        <v>36</v>
      </c>
      <c r="D424" t="s">
        <v>58</v>
      </c>
      <c r="E424" t="s">
        <v>62</v>
      </c>
      <c r="F424" t="s">
        <v>69</v>
      </c>
      <c r="G424">
        <v>2588.69</v>
      </c>
      <c r="H424">
        <v>10</v>
      </c>
      <c r="I424">
        <v>2329.8209999999999</v>
      </c>
      <c r="J424">
        <v>3</v>
      </c>
      <c r="K424">
        <v>6989.46</v>
      </c>
      <c r="L424">
        <v>1747.37</v>
      </c>
      <c r="M424" s="2">
        <v>45313</v>
      </c>
      <c r="N424" s="2">
        <v>45317</v>
      </c>
    </row>
    <row r="425" spans="1:14" x14ac:dyDescent="0.3">
      <c r="A425" t="s">
        <v>30</v>
      </c>
      <c r="B425" t="s">
        <v>33</v>
      </c>
      <c r="C425" t="s">
        <v>50</v>
      </c>
      <c r="D425" t="s">
        <v>59</v>
      </c>
      <c r="E425" t="s">
        <v>63</v>
      </c>
      <c r="F425" t="s">
        <v>73</v>
      </c>
      <c r="G425">
        <v>17766.900000000001</v>
      </c>
      <c r="H425">
        <v>0</v>
      </c>
      <c r="I425">
        <v>17766.900000000001</v>
      </c>
      <c r="J425">
        <v>1</v>
      </c>
      <c r="K425">
        <v>17766.900000000001</v>
      </c>
      <c r="L425">
        <v>6218.41</v>
      </c>
      <c r="M425" s="2">
        <v>45606</v>
      </c>
      <c r="N425" s="2">
        <v>45614</v>
      </c>
    </row>
    <row r="426" spans="1:14" x14ac:dyDescent="0.3">
      <c r="A426" t="s">
        <v>17</v>
      </c>
      <c r="B426" t="s">
        <v>32</v>
      </c>
      <c r="C426" t="s">
        <v>40</v>
      </c>
      <c r="D426" t="s">
        <v>59</v>
      </c>
      <c r="E426" t="s">
        <v>61</v>
      </c>
      <c r="F426" t="s">
        <v>65</v>
      </c>
      <c r="G426">
        <v>9465.81</v>
      </c>
      <c r="H426">
        <v>0</v>
      </c>
      <c r="I426">
        <v>9465.81</v>
      </c>
      <c r="J426">
        <v>5</v>
      </c>
      <c r="K426">
        <v>47329.05</v>
      </c>
      <c r="L426">
        <v>16565.169999999998</v>
      </c>
      <c r="M426" s="2">
        <v>45319</v>
      </c>
      <c r="N426" s="2">
        <v>45327</v>
      </c>
    </row>
    <row r="427" spans="1:14" x14ac:dyDescent="0.3">
      <c r="A427" t="s">
        <v>28</v>
      </c>
      <c r="B427" t="s">
        <v>34</v>
      </c>
      <c r="C427" t="s">
        <v>52</v>
      </c>
      <c r="D427" t="s">
        <v>60</v>
      </c>
      <c r="E427" t="s">
        <v>61</v>
      </c>
      <c r="F427" t="s">
        <v>71</v>
      </c>
      <c r="G427">
        <v>1221.76</v>
      </c>
      <c r="H427">
        <v>15</v>
      </c>
      <c r="I427">
        <v>1038.4960000000001</v>
      </c>
      <c r="J427">
        <v>4</v>
      </c>
      <c r="K427">
        <v>4153.9799999999996</v>
      </c>
      <c r="L427">
        <v>623.1</v>
      </c>
      <c r="M427" s="2">
        <v>45423</v>
      </c>
      <c r="N427" s="2">
        <v>45425</v>
      </c>
    </row>
    <row r="428" spans="1:14" x14ac:dyDescent="0.3">
      <c r="A428" t="s">
        <v>20</v>
      </c>
      <c r="B428" t="s">
        <v>32</v>
      </c>
      <c r="C428" t="s">
        <v>37</v>
      </c>
      <c r="D428" t="s">
        <v>59</v>
      </c>
      <c r="E428" t="s">
        <v>63</v>
      </c>
      <c r="F428" t="s">
        <v>75</v>
      </c>
      <c r="G428">
        <v>32940.31</v>
      </c>
      <c r="H428">
        <v>25</v>
      </c>
      <c r="I428">
        <v>24705.232499999998</v>
      </c>
      <c r="J428">
        <v>1</v>
      </c>
      <c r="K428">
        <v>24705.23</v>
      </c>
      <c r="L428">
        <v>8646.83</v>
      </c>
      <c r="M428" s="2">
        <v>45581</v>
      </c>
      <c r="N428" s="2">
        <v>45591</v>
      </c>
    </row>
    <row r="429" spans="1:14" x14ac:dyDescent="0.3">
      <c r="A429" t="s">
        <v>26</v>
      </c>
      <c r="B429" t="s">
        <v>32</v>
      </c>
      <c r="C429" t="s">
        <v>54</v>
      </c>
      <c r="D429" t="s">
        <v>60</v>
      </c>
      <c r="E429" t="s">
        <v>64</v>
      </c>
      <c r="F429" t="s">
        <v>76</v>
      </c>
      <c r="G429">
        <v>30598.02</v>
      </c>
      <c r="H429">
        <v>5</v>
      </c>
      <c r="I429">
        <v>29068.118999999999</v>
      </c>
      <c r="J429">
        <v>1</v>
      </c>
      <c r="K429">
        <v>29068.12</v>
      </c>
      <c r="L429">
        <v>4360.22</v>
      </c>
      <c r="M429" s="2">
        <v>45304</v>
      </c>
      <c r="N429" s="2">
        <v>45308</v>
      </c>
    </row>
    <row r="430" spans="1:14" x14ac:dyDescent="0.3">
      <c r="A430" t="s">
        <v>18</v>
      </c>
      <c r="B430" t="s">
        <v>33</v>
      </c>
      <c r="C430" t="s">
        <v>38</v>
      </c>
      <c r="D430" t="s">
        <v>59</v>
      </c>
      <c r="E430" t="s">
        <v>64</v>
      </c>
      <c r="F430" t="s">
        <v>76</v>
      </c>
      <c r="G430">
        <v>63177.04</v>
      </c>
      <c r="H430">
        <v>10</v>
      </c>
      <c r="I430">
        <v>56859.336000000003</v>
      </c>
      <c r="J430">
        <v>1</v>
      </c>
      <c r="K430">
        <v>56859.34</v>
      </c>
      <c r="L430">
        <v>19900.77</v>
      </c>
      <c r="M430" s="2">
        <v>45372</v>
      </c>
      <c r="N430" s="2">
        <v>45379</v>
      </c>
    </row>
    <row r="431" spans="1:14" x14ac:dyDescent="0.3">
      <c r="A431" t="s">
        <v>18</v>
      </c>
      <c r="B431" t="s">
        <v>33</v>
      </c>
      <c r="C431" t="s">
        <v>39</v>
      </c>
      <c r="D431" t="s">
        <v>58</v>
      </c>
      <c r="E431" t="s">
        <v>62</v>
      </c>
      <c r="F431" t="s">
        <v>67</v>
      </c>
      <c r="G431">
        <v>51881.59</v>
      </c>
      <c r="H431">
        <v>0</v>
      </c>
      <c r="I431">
        <v>51881.59</v>
      </c>
      <c r="J431">
        <v>1</v>
      </c>
      <c r="K431">
        <v>51881.59</v>
      </c>
      <c r="L431">
        <v>12970.4</v>
      </c>
      <c r="M431" s="2">
        <v>45733</v>
      </c>
      <c r="N431" s="2">
        <v>45740</v>
      </c>
    </row>
    <row r="432" spans="1:14" x14ac:dyDescent="0.3">
      <c r="A432" t="s">
        <v>29</v>
      </c>
      <c r="B432" t="s">
        <v>35</v>
      </c>
      <c r="C432" t="s">
        <v>46</v>
      </c>
      <c r="D432" t="s">
        <v>59</v>
      </c>
      <c r="E432" t="s">
        <v>61</v>
      </c>
      <c r="F432" t="s">
        <v>71</v>
      </c>
      <c r="G432">
        <v>20431.71</v>
      </c>
      <c r="H432">
        <v>5</v>
      </c>
      <c r="I432">
        <v>19410.124500000002</v>
      </c>
      <c r="J432">
        <v>3</v>
      </c>
      <c r="K432">
        <v>58230.37</v>
      </c>
      <c r="L432">
        <v>20380.63</v>
      </c>
      <c r="M432" s="2">
        <v>45609</v>
      </c>
      <c r="N432" s="2">
        <v>45614</v>
      </c>
    </row>
    <row r="433" spans="1:14" x14ac:dyDescent="0.3">
      <c r="A433" t="s">
        <v>22</v>
      </c>
      <c r="B433" t="s">
        <v>31</v>
      </c>
      <c r="C433" t="s">
        <v>47</v>
      </c>
      <c r="D433" t="s">
        <v>59</v>
      </c>
      <c r="E433" t="s">
        <v>63</v>
      </c>
      <c r="F433" t="s">
        <v>75</v>
      </c>
      <c r="G433">
        <v>3914.36</v>
      </c>
      <c r="H433">
        <v>5</v>
      </c>
      <c r="I433">
        <v>3718.6419999999998</v>
      </c>
      <c r="J433">
        <v>1</v>
      </c>
      <c r="K433">
        <v>3718.64</v>
      </c>
      <c r="L433">
        <v>1301.52</v>
      </c>
      <c r="M433" s="2">
        <v>45684</v>
      </c>
      <c r="N433" s="2">
        <v>45686</v>
      </c>
    </row>
    <row r="434" spans="1:14" x14ac:dyDescent="0.3">
      <c r="A434" t="s">
        <v>16</v>
      </c>
      <c r="B434" t="s">
        <v>31</v>
      </c>
      <c r="C434" t="s">
        <v>42</v>
      </c>
      <c r="D434" t="s">
        <v>60</v>
      </c>
      <c r="E434" t="s">
        <v>62</v>
      </c>
      <c r="F434" t="s">
        <v>69</v>
      </c>
      <c r="G434">
        <v>2315</v>
      </c>
      <c r="H434">
        <v>0</v>
      </c>
      <c r="I434">
        <v>2315</v>
      </c>
      <c r="J434">
        <v>1</v>
      </c>
      <c r="K434">
        <v>2315</v>
      </c>
      <c r="L434">
        <v>347.25</v>
      </c>
      <c r="M434" s="2">
        <v>45636</v>
      </c>
      <c r="N434" s="2">
        <v>45640</v>
      </c>
    </row>
    <row r="435" spans="1:14" x14ac:dyDescent="0.3">
      <c r="A435" t="s">
        <v>27</v>
      </c>
      <c r="B435" t="s">
        <v>35</v>
      </c>
      <c r="C435" t="s">
        <v>46</v>
      </c>
      <c r="D435" t="s">
        <v>59</v>
      </c>
      <c r="E435" t="s">
        <v>61</v>
      </c>
      <c r="F435" t="s">
        <v>70</v>
      </c>
      <c r="G435">
        <v>9150.51</v>
      </c>
      <c r="H435">
        <v>15</v>
      </c>
      <c r="I435">
        <v>7777.9335000000001</v>
      </c>
      <c r="J435">
        <v>2</v>
      </c>
      <c r="K435">
        <v>15555.87</v>
      </c>
      <c r="L435">
        <v>5444.55</v>
      </c>
      <c r="M435" s="2">
        <v>45812</v>
      </c>
      <c r="N435" s="2">
        <v>45822</v>
      </c>
    </row>
    <row r="436" spans="1:14" x14ac:dyDescent="0.3">
      <c r="A436" t="s">
        <v>17</v>
      </c>
      <c r="B436" t="s">
        <v>32</v>
      </c>
      <c r="C436" t="s">
        <v>37</v>
      </c>
      <c r="D436" t="s">
        <v>59</v>
      </c>
      <c r="E436" t="s">
        <v>63</v>
      </c>
      <c r="F436" t="s">
        <v>73</v>
      </c>
      <c r="G436">
        <v>8924.23</v>
      </c>
      <c r="H436">
        <v>15</v>
      </c>
      <c r="I436">
        <v>7585.5954999999994</v>
      </c>
      <c r="J436">
        <v>5</v>
      </c>
      <c r="K436">
        <v>37927.980000000003</v>
      </c>
      <c r="L436">
        <v>13274.79</v>
      </c>
      <c r="M436" s="2">
        <v>45410</v>
      </c>
      <c r="N436" s="2">
        <v>45415</v>
      </c>
    </row>
    <row r="437" spans="1:14" x14ac:dyDescent="0.3">
      <c r="A437" t="s">
        <v>21</v>
      </c>
      <c r="B437" t="s">
        <v>34</v>
      </c>
      <c r="C437" t="s">
        <v>41</v>
      </c>
      <c r="D437" t="s">
        <v>60</v>
      </c>
      <c r="E437" t="s">
        <v>63</v>
      </c>
      <c r="F437" t="s">
        <v>73</v>
      </c>
      <c r="G437">
        <v>2408.5</v>
      </c>
      <c r="H437">
        <v>0</v>
      </c>
      <c r="I437">
        <v>2408.5</v>
      </c>
      <c r="J437">
        <v>1</v>
      </c>
      <c r="K437">
        <v>2408.5</v>
      </c>
      <c r="L437">
        <v>361.27</v>
      </c>
      <c r="M437" s="2">
        <v>45534</v>
      </c>
      <c r="N437" s="2">
        <v>45543</v>
      </c>
    </row>
    <row r="438" spans="1:14" x14ac:dyDescent="0.3">
      <c r="A438" t="s">
        <v>23</v>
      </c>
      <c r="B438" t="s">
        <v>35</v>
      </c>
      <c r="C438" t="s">
        <v>38</v>
      </c>
      <c r="D438" t="s">
        <v>59</v>
      </c>
      <c r="E438" t="s">
        <v>64</v>
      </c>
      <c r="F438" t="s">
        <v>76</v>
      </c>
      <c r="G438">
        <v>30988.83</v>
      </c>
      <c r="H438">
        <v>30</v>
      </c>
      <c r="I438">
        <v>21692.181</v>
      </c>
      <c r="J438">
        <v>2</v>
      </c>
      <c r="K438">
        <v>43384.36</v>
      </c>
      <c r="L438">
        <v>15184.53</v>
      </c>
      <c r="M438" s="2">
        <v>45513</v>
      </c>
      <c r="N438" s="2">
        <v>45520</v>
      </c>
    </row>
    <row r="439" spans="1:14" x14ac:dyDescent="0.3">
      <c r="A439" t="s">
        <v>19</v>
      </c>
      <c r="B439" t="s">
        <v>33</v>
      </c>
      <c r="C439" t="s">
        <v>57</v>
      </c>
      <c r="D439" t="s">
        <v>60</v>
      </c>
      <c r="E439" t="s">
        <v>62</v>
      </c>
      <c r="F439" t="s">
        <v>66</v>
      </c>
      <c r="G439">
        <v>1728.43</v>
      </c>
      <c r="H439">
        <v>20</v>
      </c>
      <c r="I439">
        <v>1382.7439999999999</v>
      </c>
      <c r="J439">
        <v>4</v>
      </c>
      <c r="K439">
        <v>5530.98</v>
      </c>
      <c r="L439">
        <v>829.65</v>
      </c>
      <c r="M439" s="2">
        <v>45531</v>
      </c>
      <c r="N439" s="2">
        <v>45540</v>
      </c>
    </row>
    <row r="440" spans="1:14" x14ac:dyDescent="0.3">
      <c r="A440" t="s">
        <v>23</v>
      </c>
      <c r="B440" t="s">
        <v>35</v>
      </c>
      <c r="C440" t="s">
        <v>46</v>
      </c>
      <c r="D440" t="s">
        <v>59</v>
      </c>
      <c r="E440" t="s">
        <v>63</v>
      </c>
      <c r="F440" t="s">
        <v>68</v>
      </c>
      <c r="G440">
        <v>27928.91</v>
      </c>
      <c r="H440">
        <v>25</v>
      </c>
      <c r="I440">
        <v>20946.682499999999</v>
      </c>
      <c r="J440">
        <v>4</v>
      </c>
      <c r="K440">
        <v>83786.73</v>
      </c>
      <c r="L440">
        <v>29325.360000000001</v>
      </c>
      <c r="M440" s="2">
        <v>45584</v>
      </c>
      <c r="N440" s="2">
        <v>45590</v>
      </c>
    </row>
    <row r="441" spans="1:14" x14ac:dyDescent="0.3">
      <c r="A441" t="s">
        <v>18</v>
      </c>
      <c r="B441" t="s">
        <v>33</v>
      </c>
      <c r="C441" t="s">
        <v>39</v>
      </c>
      <c r="D441" t="s">
        <v>58</v>
      </c>
      <c r="E441" t="s">
        <v>61</v>
      </c>
      <c r="F441" t="s">
        <v>71</v>
      </c>
      <c r="G441">
        <v>51003.48</v>
      </c>
      <c r="H441">
        <v>20</v>
      </c>
      <c r="I441">
        <v>40802.784000000007</v>
      </c>
      <c r="J441">
        <v>2</v>
      </c>
      <c r="K441">
        <v>81605.570000000007</v>
      </c>
      <c r="L441">
        <v>20401.39</v>
      </c>
      <c r="M441" s="2">
        <v>45786</v>
      </c>
      <c r="N441" s="2">
        <v>45791</v>
      </c>
    </row>
    <row r="442" spans="1:14" x14ac:dyDescent="0.3">
      <c r="A442" t="s">
        <v>28</v>
      </c>
      <c r="B442" t="s">
        <v>34</v>
      </c>
      <c r="C442" t="s">
        <v>41</v>
      </c>
      <c r="D442" t="s">
        <v>60</v>
      </c>
      <c r="E442" t="s">
        <v>63</v>
      </c>
      <c r="F442" t="s">
        <v>68</v>
      </c>
      <c r="G442">
        <v>1199.3399999999999</v>
      </c>
      <c r="H442">
        <v>15</v>
      </c>
      <c r="I442">
        <v>1019.439</v>
      </c>
      <c r="J442">
        <v>1</v>
      </c>
      <c r="K442">
        <v>1019.44</v>
      </c>
      <c r="L442">
        <v>152.91999999999999</v>
      </c>
      <c r="M442" s="2">
        <v>45750</v>
      </c>
      <c r="N442" s="2">
        <v>45757</v>
      </c>
    </row>
    <row r="443" spans="1:14" x14ac:dyDescent="0.3">
      <c r="A443" t="s">
        <v>18</v>
      </c>
      <c r="B443" t="s">
        <v>33</v>
      </c>
      <c r="C443" t="s">
        <v>56</v>
      </c>
      <c r="D443" t="s">
        <v>60</v>
      </c>
      <c r="E443" t="s">
        <v>62</v>
      </c>
      <c r="F443" t="s">
        <v>67</v>
      </c>
      <c r="G443">
        <v>44754.879999999997</v>
      </c>
      <c r="H443">
        <v>10</v>
      </c>
      <c r="I443">
        <v>40279.392</v>
      </c>
      <c r="J443">
        <v>5</v>
      </c>
      <c r="K443">
        <v>201396.96</v>
      </c>
      <c r="L443">
        <v>30209.54</v>
      </c>
      <c r="M443" s="2">
        <v>45826</v>
      </c>
      <c r="N443" s="2">
        <v>45835</v>
      </c>
    </row>
    <row r="444" spans="1:14" x14ac:dyDescent="0.3">
      <c r="A444" t="s">
        <v>30</v>
      </c>
      <c r="B444" t="s">
        <v>33</v>
      </c>
      <c r="C444" t="s">
        <v>53</v>
      </c>
      <c r="D444" t="s">
        <v>58</v>
      </c>
      <c r="E444" t="s">
        <v>61</v>
      </c>
      <c r="F444" t="s">
        <v>71</v>
      </c>
      <c r="G444">
        <v>14958.38</v>
      </c>
      <c r="H444">
        <v>15</v>
      </c>
      <c r="I444">
        <v>12714.623</v>
      </c>
      <c r="J444">
        <v>1</v>
      </c>
      <c r="K444">
        <v>12714.62</v>
      </c>
      <c r="L444">
        <v>3178.66</v>
      </c>
      <c r="M444" s="2">
        <v>45455</v>
      </c>
      <c r="N444" s="2">
        <v>45460</v>
      </c>
    </row>
    <row r="445" spans="1:14" x14ac:dyDescent="0.3">
      <c r="A445" t="s">
        <v>23</v>
      </c>
      <c r="B445" t="s">
        <v>35</v>
      </c>
      <c r="C445" t="s">
        <v>48</v>
      </c>
      <c r="D445" t="s">
        <v>58</v>
      </c>
      <c r="E445" t="s">
        <v>63</v>
      </c>
      <c r="F445" t="s">
        <v>75</v>
      </c>
      <c r="G445">
        <v>23386.12</v>
      </c>
      <c r="H445">
        <v>15</v>
      </c>
      <c r="I445">
        <v>19878.202000000001</v>
      </c>
      <c r="J445">
        <v>2</v>
      </c>
      <c r="K445">
        <v>39756.400000000001</v>
      </c>
      <c r="L445">
        <v>9939.1</v>
      </c>
      <c r="M445" s="2">
        <v>45657</v>
      </c>
      <c r="N445" s="2">
        <v>45660</v>
      </c>
    </row>
    <row r="446" spans="1:14" x14ac:dyDescent="0.3">
      <c r="A446" t="s">
        <v>25</v>
      </c>
      <c r="B446" t="s">
        <v>34</v>
      </c>
      <c r="C446" t="s">
        <v>45</v>
      </c>
      <c r="D446" t="s">
        <v>59</v>
      </c>
      <c r="E446" t="s">
        <v>61</v>
      </c>
      <c r="F446" t="s">
        <v>65</v>
      </c>
      <c r="G446">
        <v>918.58</v>
      </c>
      <c r="H446">
        <v>30</v>
      </c>
      <c r="I446">
        <v>643.00599999999997</v>
      </c>
      <c r="J446">
        <v>5</v>
      </c>
      <c r="K446">
        <v>3215.03</v>
      </c>
      <c r="L446">
        <v>1125.26</v>
      </c>
      <c r="M446" s="2">
        <v>45378</v>
      </c>
      <c r="N446" s="2">
        <v>45387</v>
      </c>
    </row>
    <row r="447" spans="1:14" x14ac:dyDescent="0.3">
      <c r="A447" t="s">
        <v>18</v>
      </c>
      <c r="B447" t="s">
        <v>33</v>
      </c>
      <c r="C447" t="s">
        <v>56</v>
      </c>
      <c r="D447" t="s">
        <v>60</v>
      </c>
      <c r="E447" t="s">
        <v>62</v>
      </c>
      <c r="F447" t="s">
        <v>67</v>
      </c>
      <c r="G447">
        <v>45923.360000000001</v>
      </c>
      <c r="H447">
        <v>0</v>
      </c>
      <c r="I447">
        <v>45923.360000000001</v>
      </c>
      <c r="J447">
        <v>4</v>
      </c>
      <c r="K447">
        <v>183693.44</v>
      </c>
      <c r="L447">
        <v>27554.02</v>
      </c>
      <c r="M447" s="2">
        <v>45669</v>
      </c>
      <c r="N447" s="2">
        <v>45671</v>
      </c>
    </row>
    <row r="448" spans="1:14" x14ac:dyDescent="0.3">
      <c r="A448" t="s">
        <v>17</v>
      </c>
      <c r="B448" t="s">
        <v>32</v>
      </c>
      <c r="C448" t="s">
        <v>54</v>
      </c>
      <c r="D448" t="s">
        <v>60</v>
      </c>
      <c r="E448" t="s">
        <v>61</v>
      </c>
      <c r="F448" t="s">
        <v>70</v>
      </c>
      <c r="G448">
        <v>6696.38</v>
      </c>
      <c r="H448">
        <v>20</v>
      </c>
      <c r="I448">
        <v>5357.1040000000003</v>
      </c>
      <c r="J448">
        <v>3</v>
      </c>
      <c r="K448">
        <v>16071.31</v>
      </c>
      <c r="L448">
        <v>2410.6999999999998</v>
      </c>
      <c r="M448" s="2">
        <v>45677</v>
      </c>
      <c r="N448" s="2">
        <v>45686</v>
      </c>
    </row>
    <row r="449" spans="1:14" x14ac:dyDescent="0.3">
      <c r="A449" t="s">
        <v>23</v>
      </c>
      <c r="B449" t="s">
        <v>35</v>
      </c>
      <c r="C449" t="s">
        <v>48</v>
      </c>
      <c r="D449" t="s">
        <v>58</v>
      </c>
      <c r="E449" t="s">
        <v>61</v>
      </c>
      <c r="F449" t="s">
        <v>70</v>
      </c>
      <c r="G449">
        <v>24205.62</v>
      </c>
      <c r="H449">
        <v>20</v>
      </c>
      <c r="I449">
        <v>19364.495999999999</v>
      </c>
      <c r="J449">
        <v>2</v>
      </c>
      <c r="K449">
        <v>38728.99</v>
      </c>
      <c r="L449">
        <v>9682.25</v>
      </c>
      <c r="M449" s="2">
        <v>45324</v>
      </c>
      <c r="N449" s="2">
        <v>45328</v>
      </c>
    </row>
    <row r="450" spans="1:14" x14ac:dyDescent="0.3">
      <c r="A450" t="s">
        <v>20</v>
      </c>
      <c r="B450" t="s">
        <v>32</v>
      </c>
      <c r="C450" t="s">
        <v>43</v>
      </c>
      <c r="D450" t="s">
        <v>58</v>
      </c>
      <c r="E450" t="s">
        <v>63</v>
      </c>
      <c r="F450" t="s">
        <v>75</v>
      </c>
      <c r="G450">
        <v>27086.32</v>
      </c>
      <c r="H450">
        <v>30</v>
      </c>
      <c r="I450">
        <v>18960.423999999999</v>
      </c>
      <c r="J450">
        <v>3</v>
      </c>
      <c r="K450">
        <v>56881.27</v>
      </c>
      <c r="L450">
        <v>14220.32</v>
      </c>
      <c r="M450" s="2">
        <v>45490</v>
      </c>
      <c r="N450" s="2">
        <v>45494</v>
      </c>
    </row>
    <row r="451" spans="1:14" x14ac:dyDescent="0.3">
      <c r="A451" t="s">
        <v>16</v>
      </c>
      <c r="B451" t="s">
        <v>31</v>
      </c>
      <c r="C451" t="s">
        <v>36</v>
      </c>
      <c r="D451" t="s">
        <v>58</v>
      </c>
      <c r="E451" t="s">
        <v>61</v>
      </c>
      <c r="F451" t="s">
        <v>70</v>
      </c>
      <c r="G451">
        <v>2380.6999999999998</v>
      </c>
      <c r="H451">
        <v>15</v>
      </c>
      <c r="I451">
        <v>2023.595</v>
      </c>
      <c r="J451">
        <v>2</v>
      </c>
      <c r="K451">
        <v>4047.19</v>
      </c>
      <c r="L451">
        <v>1011.8</v>
      </c>
      <c r="M451" s="2">
        <v>45784</v>
      </c>
      <c r="N451" s="2">
        <v>45789</v>
      </c>
    </row>
    <row r="452" spans="1:14" x14ac:dyDescent="0.3">
      <c r="A452" t="s">
        <v>17</v>
      </c>
      <c r="B452" t="s">
        <v>32</v>
      </c>
      <c r="C452" t="s">
        <v>43</v>
      </c>
      <c r="D452" t="s">
        <v>58</v>
      </c>
      <c r="E452" t="s">
        <v>62</v>
      </c>
      <c r="F452" t="s">
        <v>69</v>
      </c>
      <c r="G452">
        <v>8243.2900000000009</v>
      </c>
      <c r="H452">
        <v>5</v>
      </c>
      <c r="I452">
        <v>7831.1255000000001</v>
      </c>
      <c r="J452">
        <v>2</v>
      </c>
      <c r="K452">
        <v>15662.25</v>
      </c>
      <c r="L452">
        <v>3915.56</v>
      </c>
      <c r="M452" s="2">
        <v>45458</v>
      </c>
      <c r="N452" s="2">
        <v>45462</v>
      </c>
    </row>
    <row r="453" spans="1:14" x14ac:dyDescent="0.3">
      <c r="A453" t="s">
        <v>21</v>
      </c>
      <c r="B453" t="s">
        <v>34</v>
      </c>
      <c r="C453" t="s">
        <v>41</v>
      </c>
      <c r="D453" t="s">
        <v>60</v>
      </c>
      <c r="E453" t="s">
        <v>61</v>
      </c>
      <c r="F453" t="s">
        <v>71</v>
      </c>
      <c r="G453">
        <v>2443.23</v>
      </c>
      <c r="H453">
        <v>20</v>
      </c>
      <c r="I453">
        <v>1954.5840000000001</v>
      </c>
      <c r="J453">
        <v>4</v>
      </c>
      <c r="K453">
        <v>7818.34</v>
      </c>
      <c r="L453">
        <v>1172.75</v>
      </c>
      <c r="M453" s="2">
        <v>45702</v>
      </c>
      <c r="N453" s="2">
        <v>45708</v>
      </c>
    </row>
    <row r="454" spans="1:14" x14ac:dyDescent="0.3">
      <c r="A454" t="s">
        <v>17</v>
      </c>
      <c r="B454" t="s">
        <v>32</v>
      </c>
      <c r="C454" t="s">
        <v>40</v>
      </c>
      <c r="D454" t="s">
        <v>59</v>
      </c>
      <c r="E454" t="s">
        <v>64</v>
      </c>
      <c r="F454" t="s">
        <v>74</v>
      </c>
      <c r="G454">
        <v>9951.23</v>
      </c>
      <c r="H454">
        <v>10</v>
      </c>
      <c r="I454">
        <v>8956.107</v>
      </c>
      <c r="J454">
        <v>2</v>
      </c>
      <c r="K454">
        <v>17912.21</v>
      </c>
      <c r="L454">
        <v>6269.27</v>
      </c>
      <c r="M454" s="2">
        <v>45401</v>
      </c>
      <c r="N454" s="2">
        <v>45403</v>
      </c>
    </row>
    <row r="455" spans="1:14" x14ac:dyDescent="0.3">
      <c r="A455" t="s">
        <v>27</v>
      </c>
      <c r="B455" t="s">
        <v>35</v>
      </c>
      <c r="C455" t="s">
        <v>38</v>
      </c>
      <c r="D455" t="s">
        <v>59</v>
      </c>
      <c r="E455" t="s">
        <v>64</v>
      </c>
      <c r="F455" t="s">
        <v>72</v>
      </c>
      <c r="G455">
        <v>10416.67</v>
      </c>
      <c r="H455">
        <v>0</v>
      </c>
      <c r="I455">
        <v>10416.67</v>
      </c>
      <c r="J455">
        <v>3</v>
      </c>
      <c r="K455">
        <v>31250.01</v>
      </c>
      <c r="L455">
        <v>10937.5</v>
      </c>
      <c r="M455" s="2">
        <v>45300</v>
      </c>
      <c r="N455" s="2">
        <v>45307</v>
      </c>
    </row>
    <row r="456" spans="1:14" x14ac:dyDescent="0.3">
      <c r="A456" t="s">
        <v>29</v>
      </c>
      <c r="B456" t="s">
        <v>35</v>
      </c>
      <c r="C456" t="s">
        <v>46</v>
      </c>
      <c r="D456" t="s">
        <v>59</v>
      </c>
      <c r="E456" t="s">
        <v>61</v>
      </c>
      <c r="F456" t="s">
        <v>71</v>
      </c>
      <c r="G456">
        <v>20591.95</v>
      </c>
      <c r="H456">
        <v>0</v>
      </c>
      <c r="I456">
        <v>20591.95</v>
      </c>
      <c r="J456">
        <v>5</v>
      </c>
      <c r="K456">
        <v>102959.75</v>
      </c>
      <c r="L456">
        <v>36035.910000000003</v>
      </c>
      <c r="M456" s="2">
        <v>45589</v>
      </c>
      <c r="N456" s="2">
        <v>45591</v>
      </c>
    </row>
    <row r="457" spans="1:14" x14ac:dyDescent="0.3">
      <c r="A457" t="s">
        <v>16</v>
      </c>
      <c r="B457" t="s">
        <v>31</v>
      </c>
      <c r="C457" t="s">
        <v>47</v>
      </c>
      <c r="D457" t="s">
        <v>59</v>
      </c>
      <c r="E457" t="s">
        <v>63</v>
      </c>
      <c r="F457" t="s">
        <v>73</v>
      </c>
      <c r="G457">
        <v>2738.11</v>
      </c>
      <c r="H457">
        <v>25</v>
      </c>
      <c r="I457">
        <v>2053.5825</v>
      </c>
      <c r="J457">
        <v>1</v>
      </c>
      <c r="K457">
        <v>2053.58</v>
      </c>
      <c r="L457">
        <v>718.75</v>
      </c>
      <c r="M457" s="2">
        <v>45411</v>
      </c>
      <c r="N457" s="2">
        <v>45413</v>
      </c>
    </row>
    <row r="458" spans="1:14" x14ac:dyDescent="0.3">
      <c r="A458" t="s">
        <v>28</v>
      </c>
      <c r="B458" t="s">
        <v>34</v>
      </c>
      <c r="C458" t="s">
        <v>45</v>
      </c>
      <c r="D458" t="s">
        <v>59</v>
      </c>
      <c r="E458" t="s">
        <v>61</v>
      </c>
      <c r="F458" t="s">
        <v>70</v>
      </c>
      <c r="G458">
        <v>1763.42</v>
      </c>
      <c r="H458">
        <v>10</v>
      </c>
      <c r="I458">
        <v>1587.078</v>
      </c>
      <c r="J458">
        <v>5</v>
      </c>
      <c r="K458">
        <v>7935.39</v>
      </c>
      <c r="L458">
        <v>2777.39</v>
      </c>
      <c r="M458" s="2">
        <v>45295</v>
      </c>
      <c r="N458" s="2">
        <v>45304</v>
      </c>
    </row>
    <row r="459" spans="1:14" x14ac:dyDescent="0.3">
      <c r="A459" t="s">
        <v>20</v>
      </c>
      <c r="B459" t="s">
        <v>32</v>
      </c>
      <c r="C459" t="s">
        <v>43</v>
      </c>
      <c r="D459" t="s">
        <v>58</v>
      </c>
      <c r="E459" t="s">
        <v>63</v>
      </c>
      <c r="F459" t="s">
        <v>75</v>
      </c>
      <c r="G459">
        <v>28950.2</v>
      </c>
      <c r="H459">
        <v>15</v>
      </c>
      <c r="I459">
        <v>24607.67</v>
      </c>
      <c r="J459">
        <v>2</v>
      </c>
      <c r="K459">
        <v>49215.34</v>
      </c>
      <c r="L459">
        <v>12303.83</v>
      </c>
      <c r="M459" s="2">
        <v>45298</v>
      </c>
      <c r="N459" s="2">
        <v>45300</v>
      </c>
    </row>
    <row r="460" spans="1:14" x14ac:dyDescent="0.3">
      <c r="A460" t="s">
        <v>26</v>
      </c>
      <c r="B460" t="s">
        <v>32</v>
      </c>
      <c r="C460" t="s">
        <v>54</v>
      </c>
      <c r="D460" t="s">
        <v>60</v>
      </c>
      <c r="E460" t="s">
        <v>62</v>
      </c>
      <c r="F460" t="s">
        <v>66</v>
      </c>
      <c r="G460">
        <v>29850.18</v>
      </c>
      <c r="H460">
        <v>25</v>
      </c>
      <c r="I460">
        <v>22387.634999999998</v>
      </c>
      <c r="J460">
        <v>3</v>
      </c>
      <c r="K460">
        <v>67162.899999999994</v>
      </c>
      <c r="L460">
        <v>10074.43</v>
      </c>
      <c r="M460" s="2">
        <v>45432</v>
      </c>
      <c r="N460" s="2">
        <v>45435</v>
      </c>
    </row>
    <row r="461" spans="1:14" x14ac:dyDescent="0.3">
      <c r="A461" t="s">
        <v>30</v>
      </c>
      <c r="B461" t="s">
        <v>33</v>
      </c>
      <c r="C461" t="s">
        <v>38</v>
      </c>
      <c r="D461" t="s">
        <v>59</v>
      </c>
      <c r="E461" t="s">
        <v>62</v>
      </c>
      <c r="F461" t="s">
        <v>69</v>
      </c>
      <c r="G461">
        <v>19152.419999999998</v>
      </c>
      <c r="H461">
        <v>0</v>
      </c>
      <c r="I461">
        <v>19152.419999999998</v>
      </c>
      <c r="J461">
        <v>4</v>
      </c>
      <c r="K461">
        <v>76609.679999999993</v>
      </c>
      <c r="L461">
        <v>26813.39</v>
      </c>
      <c r="M461" s="2">
        <v>45385</v>
      </c>
      <c r="N461" s="2">
        <v>45387</v>
      </c>
    </row>
    <row r="462" spans="1:14" x14ac:dyDescent="0.3">
      <c r="A462" t="s">
        <v>17</v>
      </c>
      <c r="B462" t="s">
        <v>32</v>
      </c>
      <c r="C462" t="s">
        <v>37</v>
      </c>
      <c r="D462" t="s">
        <v>59</v>
      </c>
      <c r="E462" t="s">
        <v>64</v>
      </c>
      <c r="F462" t="s">
        <v>76</v>
      </c>
      <c r="G462">
        <v>10756.58</v>
      </c>
      <c r="H462">
        <v>25</v>
      </c>
      <c r="I462">
        <v>8067.4349999999986</v>
      </c>
      <c r="J462">
        <v>2</v>
      </c>
      <c r="K462">
        <v>16134.87</v>
      </c>
      <c r="L462">
        <v>5647.2</v>
      </c>
      <c r="M462" s="2">
        <v>45553</v>
      </c>
      <c r="N462" s="2">
        <v>45557</v>
      </c>
    </row>
    <row r="463" spans="1:14" x14ac:dyDescent="0.3">
      <c r="A463" t="s">
        <v>18</v>
      </c>
      <c r="B463" t="s">
        <v>33</v>
      </c>
      <c r="C463" t="s">
        <v>38</v>
      </c>
      <c r="D463" t="s">
        <v>59</v>
      </c>
      <c r="E463" t="s">
        <v>62</v>
      </c>
      <c r="F463" t="s">
        <v>69</v>
      </c>
      <c r="G463">
        <v>62349.61</v>
      </c>
      <c r="H463">
        <v>5</v>
      </c>
      <c r="I463">
        <v>59232.129500000003</v>
      </c>
      <c r="J463">
        <v>4</v>
      </c>
      <c r="K463">
        <v>236928.52</v>
      </c>
      <c r="L463">
        <v>82924.98</v>
      </c>
      <c r="M463" s="2">
        <v>45689</v>
      </c>
      <c r="N463" s="2">
        <v>45694</v>
      </c>
    </row>
    <row r="464" spans="1:14" x14ac:dyDescent="0.3">
      <c r="A464" t="s">
        <v>28</v>
      </c>
      <c r="B464" t="s">
        <v>34</v>
      </c>
      <c r="C464" t="s">
        <v>51</v>
      </c>
      <c r="D464" t="s">
        <v>59</v>
      </c>
      <c r="E464" t="s">
        <v>62</v>
      </c>
      <c r="F464" t="s">
        <v>69</v>
      </c>
      <c r="G464">
        <v>1961.47</v>
      </c>
      <c r="H464">
        <v>10</v>
      </c>
      <c r="I464">
        <v>1765.3230000000001</v>
      </c>
      <c r="J464">
        <v>2</v>
      </c>
      <c r="K464">
        <v>3530.65</v>
      </c>
      <c r="L464">
        <v>1235.73</v>
      </c>
      <c r="M464" s="2">
        <v>45714</v>
      </c>
      <c r="N464" s="2">
        <v>45724</v>
      </c>
    </row>
    <row r="465" spans="1:14" x14ac:dyDescent="0.3">
      <c r="A465" t="s">
        <v>24</v>
      </c>
      <c r="B465" t="s">
        <v>32</v>
      </c>
      <c r="C465" t="s">
        <v>40</v>
      </c>
      <c r="D465" t="s">
        <v>59</v>
      </c>
      <c r="E465" t="s">
        <v>61</v>
      </c>
      <c r="F465" t="s">
        <v>65</v>
      </c>
      <c r="G465">
        <v>29602.71</v>
      </c>
      <c r="H465">
        <v>15</v>
      </c>
      <c r="I465">
        <v>25162.303500000002</v>
      </c>
      <c r="J465">
        <v>2</v>
      </c>
      <c r="K465">
        <v>50324.61</v>
      </c>
      <c r="L465">
        <v>17613.61</v>
      </c>
      <c r="M465" s="2">
        <v>45648</v>
      </c>
      <c r="N465" s="2">
        <v>45655</v>
      </c>
    </row>
    <row r="466" spans="1:14" x14ac:dyDescent="0.3">
      <c r="A466" t="s">
        <v>21</v>
      </c>
      <c r="B466" t="s">
        <v>34</v>
      </c>
      <c r="C466" t="s">
        <v>45</v>
      </c>
      <c r="D466" t="s">
        <v>59</v>
      </c>
      <c r="E466" t="s">
        <v>61</v>
      </c>
      <c r="F466" t="s">
        <v>70</v>
      </c>
      <c r="G466">
        <v>3645.69</v>
      </c>
      <c r="H466">
        <v>20</v>
      </c>
      <c r="I466">
        <v>2916.5520000000001</v>
      </c>
      <c r="J466">
        <v>1</v>
      </c>
      <c r="K466">
        <v>2916.55</v>
      </c>
      <c r="L466">
        <v>1020.79</v>
      </c>
      <c r="M466" s="2">
        <v>45410</v>
      </c>
      <c r="N466" s="2">
        <v>45414</v>
      </c>
    </row>
    <row r="467" spans="1:14" x14ac:dyDescent="0.3">
      <c r="A467" t="s">
        <v>16</v>
      </c>
      <c r="B467" t="s">
        <v>31</v>
      </c>
      <c r="C467" t="s">
        <v>47</v>
      </c>
      <c r="D467" t="s">
        <v>59</v>
      </c>
      <c r="E467" t="s">
        <v>63</v>
      </c>
      <c r="F467" t="s">
        <v>75</v>
      </c>
      <c r="G467">
        <v>2854.27</v>
      </c>
      <c r="H467">
        <v>15</v>
      </c>
      <c r="I467">
        <v>2426.1295</v>
      </c>
      <c r="J467">
        <v>5</v>
      </c>
      <c r="K467">
        <v>12130.65</v>
      </c>
      <c r="L467">
        <v>4245.7299999999996</v>
      </c>
      <c r="M467" s="2">
        <v>45673</v>
      </c>
      <c r="N467" s="2">
        <v>45683</v>
      </c>
    </row>
    <row r="468" spans="1:14" x14ac:dyDescent="0.3">
      <c r="A468" t="s">
        <v>16</v>
      </c>
      <c r="B468" t="s">
        <v>31</v>
      </c>
      <c r="C468" t="s">
        <v>36</v>
      </c>
      <c r="D468" t="s">
        <v>58</v>
      </c>
      <c r="E468" t="s">
        <v>62</v>
      </c>
      <c r="F468" t="s">
        <v>66</v>
      </c>
      <c r="G468">
        <v>2471.13</v>
      </c>
      <c r="H468">
        <v>5</v>
      </c>
      <c r="I468">
        <v>2347.5735</v>
      </c>
      <c r="J468">
        <v>3</v>
      </c>
      <c r="K468">
        <v>7042.72</v>
      </c>
      <c r="L468">
        <v>1760.68</v>
      </c>
      <c r="M468" s="2">
        <v>45636</v>
      </c>
      <c r="N468" s="2">
        <v>45642</v>
      </c>
    </row>
    <row r="469" spans="1:14" x14ac:dyDescent="0.3">
      <c r="A469" t="s">
        <v>25</v>
      </c>
      <c r="B469" t="s">
        <v>34</v>
      </c>
      <c r="C469" t="s">
        <v>45</v>
      </c>
      <c r="D469" t="s">
        <v>59</v>
      </c>
      <c r="E469" t="s">
        <v>64</v>
      </c>
      <c r="F469" t="s">
        <v>72</v>
      </c>
      <c r="G469">
        <v>1044.76</v>
      </c>
      <c r="H469">
        <v>25</v>
      </c>
      <c r="I469">
        <v>783.56999999999994</v>
      </c>
      <c r="J469">
        <v>1</v>
      </c>
      <c r="K469">
        <v>783.57</v>
      </c>
      <c r="L469">
        <v>274.25</v>
      </c>
      <c r="M469" s="2">
        <v>45460</v>
      </c>
      <c r="N469" s="2">
        <v>45468</v>
      </c>
    </row>
    <row r="470" spans="1:14" x14ac:dyDescent="0.3">
      <c r="A470" t="s">
        <v>20</v>
      </c>
      <c r="B470" t="s">
        <v>32</v>
      </c>
      <c r="C470" t="s">
        <v>40</v>
      </c>
      <c r="D470" t="s">
        <v>59</v>
      </c>
      <c r="E470" t="s">
        <v>64</v>
      </c>
      <c r="F470" t="s">
        <v>76</v>
      </c>
      <c r="G470">
        <v>37728.92</v>
      </c>
      <c r="H470">
        <v>5</v>
      </c>
      <c r="I470">
        <v>35842.473999999987</v>
      </c>
      <c r="J470">
        <v>1</v>
      </c>
      <c r="K470">
        <v>35842.47</v>
      </c>
      <c r="L470">
        <v>12544.86</v>
      </c>
      <c r="M470" s="2">
        <v>45765</v>
      </c>
      <c r="N470" s="2">
        <v>45770</v>
      </c>
    </row>
    <row r="471" spans="1:14" x14ac:dyDescent="0.3">
      <c r="A471" t="s">
        <v>17</v>
      </c>
      <c r="B471" t="s">
        <v>32</v>
      </c>
      <c r="C471" t="s">
        <v>40</v>
      </c>
      <c r="D471" t="s">
        <v>59</v>
      </c>
      <c r="E471" t="s">
        <v>62</v>
      </c>
      <c r="F471" t="s">
        <v>67</v>
      </c>
      <c r="G471">
        <v>10209.85</v>
      </c>
      <c r="H471">
        <v>5</v>
      </c>
      <c r="I471">
        <v>9699.3575000000001</v>
      </c>
      <c r="J471">
        <v>1</v>
      </c>
      <c r="K471">
        <v>9699.36</v>
      </c>
      <c r="L471">
        <v>3394.78</v>
      </c>
      <c r="M471" s="2">
        <v>45597</v>
      </c>
      <c r="N471" s="2">
        <v>45605</v>
      </c>
    </row>
    <row r="472" spans="1:14" x14ac:dyDescent="0.3">
      <c r="A472" t="s">
        <v>27</v>
      </c>
      <c r="B472" t="s">
        <v>35</v>
      </c>
      <c r="C472" t="s">
        <v>44</v>
      </c>
      <c r="D472" t="s">
        <v>60</v>
      </c>
      <c r="E472" t="s">
        <v>61</v>
      </c>
      <c r="F472" t="s">
        <v>70</v>
      </c>
      <c r="G472">
        <v>6332.81</v>
      </c>
      <c r="H472">
        <v>30</v>
      </c>
      <c r="I472">
        <v>4432.9669999999996</v>
      </c>
      <c r="J472">
        <v>5</v>
      </c>
      <c r="K472">
        <v>22164.83</v>
      </c>
      <c r="L472">
        <v>3324.72</v>
      </c>
      <c r="M472" s="2">
        <v>45460</v>
      </c>
      <c r="N472" s="2">
        <v>45467</v>
      </c>
    </row>
    <row r="473" spans="1:14" x14ac:dyDescent="0.3">
      <c r="A473" t="s">
        <v>23</v>
      </c>
      <c r="B473" t="s">
        <v>35</v>
      </c>
      <c r="C473" t="s">
        <v>44</v>
      </c>
      <c r="D473" t="s">
        <v>60</v>
      </c>
      <c r="E473" t="s">
        <v>63</v>
      </c>
      <c r="F473" t="s">
        <v>73</v>
      </c>
      <c r="G473">
        <v>19538.5</v>
      </c>
      <c r="H473">
        <v>20</v>
      </c>
      <c r="I473">
        <v>15630.8</v>
      </c>
      <c r="J473">
        <v>1</v>
      </c>
      <c r="K473">
        <v>15630.8</v>
      </c>
      <c r="L473">
        <v>2344.62</v>
      </c>
      <c r="M473" s="2">
        <v>45563</v>
      </c>
      <c r="N473" s="2">
        <v>45569</v>
      </c>
    </row>
    <row r="474" spans="1:14" x14ac:dyDescent="0.3">
      <c r="A474" t="s">
        <v>25</v>
      </c>
      <c r="B474" t="s">
        <v>34</v>
      </c>
      <c r="C474" t="s">
        <v>41</v>
      </c>
      <c r="D474" t="s">
        <v>60</v>
      </c>
      <c r="E474" t="s">
        <v>64</v>
      </c>
      <c r="F474" t="s">
        <v>74</v>
      </c>
      <c r="G474">
        <v>749.32</v>
      </c>
      <c r="H474">
        <v>15</v>
      </c>
      <c r="I474">
        <v>636.92200000000003</v>
      </c>
      <c r="J474">
        <v>2</v>
      </c>
      <c r="K474">
        <v>1273.8399999999999</v>
      </c>
      <c r="L474">
        <v>191.08</v>
      </c>
      <c r="M474" s="2">
        <v>45851</v>
      </c>
      <c r="N474" s="2">
        <v>45859</v>
      </c>
    </row>
    <row r="475" spans="1:14" x14ac:dyDescent="0.3">
      <c r="A475" t="s">
        <v>23</v>
      </c>
      <c r="B475" t="s">
        <v>35</v>
      </c>
      <c r="C475" t="s">
        <v>38</v>
      </c>
      <c r="D475" t="s">
        <v>59</v>
      </c>
      <c r="E475" t="s">
        <v>63</v>
      </c>
      <c r="F475" t="s">
        <v>68</v>
      </c>
      <c r="G475">
        <v>29538.01</v>
      </c>
      <c r="H475">
        <v>30</v>
      </c>
      <c r="I475">
        <v>20676.607</v>
      </c>
      <c r="J475">
        <v>1</v>
      </c>
      <c r="K475">
        <v>20676.61</v>
      </c>
      <c r="L475">
        <v>7236.81</v>
      </c>
      <c r="M475" s="2">
        <v>45628</v>
      </c>
      <c r="N475" s="2">
        <v>45633</v>
      </c>
    </row>
    <row r="476" spans="1:14" x14ac:dyDescent="0.3">
      <c r="A476" t="s">
        <v>24</v>
      </c>
      <c r="B476" t="s">
        <v>32</v>
      </c>
      <c r="C476" t="s">
        <v>37</v>
      </c>
      <c r="D476" t="s">
        <v>59</v>
      </c>
      <c r="E476" t="s">
        <v>63</v>
      </c>
      <c r="F476" t="s">
        <v>68</v>
      </c>
      <c r="G476">
        <v>29006.18</v>
      </c>
      <c r="H476">
        <v>30</v>
      </c>
      <c r="I476">
        <v>20304.326000000001</v>
      </c>
      <c r="J476">
        <v>4</v>
      </c>
      <c r="K476">
        <v>81217.3</v>
      </c>
      <c r="L476">
        <v>28426.06</v>
      </c>
      <c r="M476" s="2">
        <v>45475</v>
      </c>
      <c r="N476" s="2">
        <v>45481</v>
      </c>
    </row>
    <row r="477" spans="1:14" x14ac:dyDescent="0.3">
      <c r="A477" t="s">
        <v>28</v>
      </c>
      <c r="B477" t="s">
        <v>34</v>
      </c>
      <c r="C477" t="s">
        <v>45</v>
      </c>
      <c r="D477" t="s">
        <v>59</v>
      </c>
      <c r="E477" t="s">
        <v>63</v>
      </c>
      <c r="F477" t="s">
        <v>68</v>
      </c>
      <c r="G477">
        <v>1670.11</v>
      </c>
      <c r="H477">
        <v>15</v>
      </c>
      <c r="I477">
        <v>1419.5934999999999</v>
      </c>
      <c r="J477">
        <v>5</v>
      </c>
      <c r="K477">
        <v>7097.97</v>
      </c>
      <c r="L477">
        <v>2484.29</v>
      </c>
      <c r="M477" s="2">
        <v>45775</v>
      </c>
      <c r="N477" s="2">
        <v>45777</v>
      </c>
    </row>
    <row r="478" spans="1:14" x14ac:dyDescent="0.3">
      <c r="A478" t="s">
        <v>18</v>
      </c>
      <c r="B478" t="s">
        <v>33</v>
      </c>
      <c r="C478" t="s">
        <v>38</v>
      </c>
      <c r="D478" t="s">
        <v>59</v>
      </c>
      <c r="E478" t="s">
        <v>61</v>
      </c>
      <c r="F478" t="s">
        <v>65</v>
      </c>
      <c r="G478">
        <v>59338.43</v>
      </c>
      <c r="H478">
        <v>25</v>
      </c>
      <c r="I478">
        <v>44503.822500000002</v>
      </c>
      <c r="J478">
        <v>2</v>
      </c>
      <c r="K478">
        <v>89007.65</v>
      </c>
      <c r="L478">
        <v>31152.68</v>
      </c>
      <c r="M478" s="2">
        <v>45722</v>
      </c>
      <c r="N478" s="2">
        <v>45729</v>
      </c>
    </row>
    <row r="479" spans="1:14" x14ac:dyDescent="0.3">
      <c r="A479" t="s">
        <v>29</v>
      </c>
      <c r="B479" t="s">
        <v>35</v>
      </c>
      <c r="C479" t="s">
        <v>46</v>
      </c>
      <c r="D479" t="s">
        <v>59</v>
      </c>
      <c r="E479" t="s">
        <v>62</v>
      </c>
      <c r="F479" t="s">
        <v>67</v>
      </c>
      <c r="G479">
        <v>22509.3</v>
      </c>
      <c r="H479">
        <v>0</v>
      </c>
      <c r="I479">
        <v>22509.3</v>
      </c>
      <c r="J479">
        <v>5</v>
      </c>
      <c r="K479">
        <v>112546.5</v>
      </c>
      <c r="L479">
        <v>39391.269999999997</v>
      </c>
      <c r="M479" s="2">
        <v>45398</v>
      </c>
      <c r="N479" s="2">
        <v>45405</v>
      </c>
    </row>
    <row r="480" spans="1:14" x14ac:dyDescent="0.3">
      <c r="A480" t="s">
        <v>24</v>
      </c>
      <c r="B480" t="s">
        <v>32</v>
      </c>
      <c r="C480" t="s">
        <v>40</v>
      </c>
      <c r="D480" t="s">
        <v>59</v>
      </c>
      <c r="E480" t="s">
        <v>64</v>
      </c>
      <c r="F480" t="s">
        <v>72</v>
      </c>
      <c r="G480">
        <v>31891.54</v>
      </c>
      <c r="H480">
        <v>20</v>
      </c>
      <c r="I480">
        <v>25513.232</v>
      </c>
      <c r="J480">
        <v>1</v>
      </c>
      <c r="K480">
        <v>25513.23</v>
      </c>
      <c r="L480">
        <v>8929.6299999999992</v>
      </c>
      <c r="M480" s="2">
        <v>45469</v>
      </c>
      <c r="N480" s="2">
        <v>45479</v>
      </c>
    </row>
    <row r="481" spans="1:14" x14ac:dyDescent="0.3">
      <c r="A481" t="s">
        <v>20</v>
      </c>
      <c r="B481" t="s">
        <v>32</v>
      </c>
      <c r="C481" t="s">
        <v>54</v>
      </c>
      <c r="D481" t="s">
        <v>60</v>
      </c>
      <c r="E481" t="s">
        <v>61</v>
      </c>
      <c r="F481" t="s">
        <v>71</v>
      </c>
      <c r="G481">
        <v>24927.919999999998</v>
      </c>
      <c r="H481">
        <v>25</v>
      </c>
      <c r="I481">
        <v>18695.939999999999</v>
      </c>
      <c r="J481">
        <v>5</v>
      </c>
      <c r="K481">
        <v>93479.7</v>
      </c>
      <c r="L481">
        <v>14021.95</v>
      </c>
      <c r="M481" s="2">
        <v>45489</v>
      </c>
      <c r="N481" s="2">
        <v>45498</v>
      </c>
    </row>
    <row r="482" spans="1:14" x14ac:dyDescent="0.3">
      <c r="A482" t="s">
        <v>21</v>
      </c>
      <c r="B482" t="s">
        <v>34</v>
      </c>
      <c r="C482" t="s">
        <v>52</v>
      </c>
      <c r="D482" t="s">
        <v>60</v>
      </c>
      <c r="E482" t="s">
        <v>64</v>
      </c>
      <c r="F482" t="s">
        <v>76</v>
      </c>
      <c r="G482">
        <v>2890.18</v>
      </c>
      <c r="H482">
        <v>20</v>
      </c>
      <c r="I482">
        <v>2312.1439999999998</v>
      </c>
      <c r="J482">
        <v>3</v>
      </c>
      <c r="K482">
        <v>6936.43</v>
      </c>
      <c r="L482">
        <v>1040.46</v>
      </c>
      <c r="M482" s="2">
        <v>45485</v>
      </c>
      <c r="N482" s="2">
        <v>45487</v>
      </c>
    </row>
    <row r="483" spans="1:14" x14ac:dyDescent="0.3">
      <c r="A483" t="s">
        <v>26</v>
      </c>
      <c r="B483" t="s">
        <v>32</v>
      </c>
      <c r="C483" t="s">
        <v>43</v>
      </c>
      <c r="D483" t="s">
        <v>58</v>
      </c>
      <c r="E483" t="s">
        <v>62</v>
      </c>
      <c r="F483" t="s">
        <v>69</v>
      </c>
      <c r="G483">
        <v>34620.81</v>
      </c>
      <c r="H483">
        <v>30</v>
      </c>
      <c r="I483">
        <v>24234.566999999999</v>
      </c>
      <c r="J483">
        <v>5</v>
      </c>
      <c r="K483">
        <v>121172.83</v>
      </c>
      <c r="L483">
        <v>30293.21</v>
      </c>
      <c r="M483" s="2">
        <v>45508</v>
      </c>
      <c r="N483" s="2">
        <v>45513</v>
      </c>
    </row>
    <row r="484" spans="1:14" x14ac:dyDescent="0.3">
      <c r="A484" t="s">
        <v>24</v>
      </c>
      <c r="B484" t="s">
        <v>32</v>
      </c>
      <c r="C484" t="s">
        <v>40</v>
      </c>
      <c r="D484" t="s">
        <v>59</v>
      </c>
      <c r="E484" t="s">
        <v>61</v>
      </c>
      <c r="F484" t="s">
        <v>65</v>
      </c>
      <c r="G484">
        <v>29888.59</v>
      </c>
      <c r="H484">
        <v>25</v>
      </c>
      <c r="I484">
        <v>22416.442500000001</v>
      </c>
      <c r="J484">
        <v>1</v>
      </c>
      <c r="K484">
        <v>22416.44</v>
      </c>
      <c r="L484">
        <v>7845.75</v>
      </c>
      <c r="M484" s="2">
        <v>45639</v>
      </c>
      <c r="N484" s="2">
        <v>45641</v>
      </c>
    </row>
    <row r="485" spans="1:14" x14ac:dyDescent="0.3">
      <c r="A485" t="s">
        <v>22</v>
      </c>
      <c r="B485" t="s">
        <v>31</v>
      </c>
      <c r="C485" t="s">
        <v>42</v>
      </c>
      <c r="D485" t="s">
        <v>60</v>
      </c>
      <c r="E485" t="s">
        <v>64</v>
      </c>
      <c r="F485" t="s">
        <v>76</v>
      </c>
      <c r="G485">
        <v>3102.1</v>
      </c>
      <c r="H485">
        <v>5</v>
      </c>
      <c r="I485">
        <v>2946.9949999999999</v>
      </c>
      <c r="J485">
        <v>2</v>
      </c>
      <c r="K485">
        <v>5893.99</v>
      </c>
      <c r="L485">
        <v>884.1</v>
      </c>
      <c r="M485" s="2">
        <v>45596</v>
      </c>
      <c r="N485" s="2">
        <v>45606</v>
      </c>
    </row>
    <row r="486" spans="1:14" x14ac:dyDescent="0.3">
      <c r="A486" t="s">
        <v>30</v>
      </c>
      <c r="B486" t="s">
        <v>33</v>
      </c>
      <c r="C486" t="s">
        <v>50</v>
      </c>
      <c r="D486" t="s">
        <v>59</v>
      </c>
      <c r="E486" t="s">
        <v>63</v>
      </c>
      <c r="F486" t="s">
        <v>75</v>
      </c>
      <c r="G486">
        <v>17791.61</v>
      </c>
      <c r="H486">
        <v>10</v>
      </c>
      <c r="I486">
        <v>16012.449000000001</v>
      </c>
      <c r="J486">
        <v>2</v>
      </c>
      <c r="K486">
        <v>32024.9</v>
      </c>
      <c r="L486">
        <v>11208.72</v>
      </c>
      <c r="M486" s="2">
        <v>45518</v>
      </c>
      <c r="N486" s="2">
        <v>45526</v>
      </c>
    </row>
    <row r="487" spans="1:14" x14ac:dyDescent="0.3">
      <c r="A487" t="s">
        <v>26</v>
      </c>
      <c r="B487" t="s">
        <v>32</v>
      </c>
      <c r="C487" t="s">
        <v>43</v>
      </c>
      <c r="D487" t="s">
        <v>58</v>
      </c>
      <c r="E487" t="s">
        <v>61</v>
      </c>
      <c r="F487" t="s">
        <v>70</v>
      </c>
      <c r="G487">
        <v>32785.53</v>
      </c>
      <c r="H487">
        <v>15</v>
      </c>
      <c r="I487">
        <v>27867.700499999999</v>
      </c>
      <c r="J487">
        <v>5</v>
      </c>
      <c r="K487">
        <v>139338.5</v>
      </c>
      <c r="L487">
        <v>34834.620000000003</v>
      </c>
      <c r="M487" s="2">
        <v>45861</v>
      </c>
      <c r="N487" s="2">
        <v>45864</v>
      </c>
    </row>
    <row r="488" spans="1:14" x14ac:dyDescent="0.3">
      <c r="A488" t="s">
        <v>21</v>
      </c>
      <c r="B488" t="s">
        <v>34</v>
      </c>
      <c r="C488" t="s">
        <v>49</v>
      </c>
      <c r="D488" t="s">
        <v>59</v>
      </c>
      <c r="E488" t="s">
        <v>61</v>
      </c>
      <c r="F488" t="s">
        <v>65</v>
      </c>
      <c r="G488">
        <v>3502.93</v>
      </c>
      <c r="H488">
        <v>15</v>
      </c>
      <c r="I488">
        <v>2977.4904999999999</v>
      </c>
      <c r="J488">
        <v>1</v>
      </c>
      <c r="K488">
        <v>2977.49</v>
      </c>
      <c r="L488">
        <v>1042.1199999999999</v>
      </c>
      <c r="M488" s="2">
        <v>45391</v>
      </c>
      <c r="N488" s="2">
        <v>45396</v>
      </c>
    </row>
    <row r="489" spans="1:14" x14ac:dyDescent="0.3">
      <c r="A489" t="s">
        <v>16</v>
      </c>
      <c r="B489" t="s">
        <v>31</v>
      </c>
      <c r="C489" t="s">
        <v>36</v>
      </c>
      <c r="D489" t="s">
        <v>58</v>
      </c>
      <c r="E489" t="s">
        <v>64</v>
      </c>
      <c r="F489" t="s">
        <v>74</v>
      </c>
      <c r="G489">
        <v>2767.53</v>
      </c>
      <c r="H489">
        <v>0</v>
      </c>
      <c r="I489">
        <v>2767.53</v>
      </c>
      <c r="J489">
        <v>3</v>
      </c>
      <c r="K489">
        <v>8302.59</v>
      </c>
      <c r="L489">
        <v>2075.65</v>
      </c>
      <c r="M489" s="2">
        <v>45336</v>
      </c>
      <c r="N489" s="2">
        <v>45339</v>
      </c>
    </row>
    <row r="490" spans="1:14" x14ac:dyDescent="0.3">
      <c r="A490" t="s">
        <v>29</v>
      </c>
      <c r="B490" t="s">
        <v>35</v>
      </c>
      <c r="C490" t="s">
        <v>48</v>
      </c>
      <c r="D490" t="s">
        <v>58</v>
      </c>
      <c r="E490" t="s">
        <v>64</v>
      </c>
      <c r="F490" t="s">
        <v>72</v>
      </c>
      <c r="G490">
        <v>18771.8</v>
      </c>
      <c r="H490">
        <v>30</v>
      </c>
      <c r="I490">
        <v>13140.26</v>
      </c>
      <c r="J490">
        <v>1</v>
      </c>
      <c r="K490">
        <v>13140.26</v>
      </c>
      <c r="L490">
        <v>3285.07</v>
      </c>
      <c r="M490" s="2">
        <v>45317</v>
      </c>
      <c r="N490" s="2">
        <v>45319</v>
      </c>
    </row>
    <row r="491" spans="1:14" x14ac:dyDescent="0.3">
      <c r="A491" t="s">
        <v>30</v>
      </c>
      <c r="B491" t="s">
        <v>33</v>
      </c>
      <c r="C491" t="s">
        <v>38</v>
      </c>
      <c r="D491" t="s">
        <v>59</v>
      </c>
      <c r="E491" t="s">
        <v>62</v>
      </c>
      <c r="F491" t="s">
        <v>66</v>
      </c>
      <c r="G491">
        <v>19434.48</v>
      </c>
      <c r="H491">
        <v>15</v>
      </c>
      <c r="I491">
        <v>16519.308000000001</v>
      </c>
      <c r="J491">
        <v>1</v>
      </c>
      <c r="K491">
        <v>16519.310000000001</v>
      </c>
      <c r="L491">
        <v>5781.76</v>
      </c>
      <c r="M491" s="2">
        <v>45576</v>
      </c>
      <c r="N491" s="2">
        <v>45583</v>
      </c>
    </row>
    <row r="492" spans="1:14" x14ac:dyDescent="0.3">
      <c r="A492" t="s">
        <v>30</v>
      </c>
      <c r="B492" t="s">
        <v>33</v>
      </c>
      <c r="C492" t="s">
        <v>39</v>
      </c>
      <c r="D492" t="s">
        <v>58</v>
      </c>
      <c r="E492" t="s">
        <v>61</v>
      </c>
      <c r="F492" t="s">
        <v>70</v>
      </c>
      <c r="G492">
        <v>14252.97</v>
      </c>
      <c r="H492">
        <v>30</v>
      </c>
      <c r="I492">
        <v>9977.0789999999997</v>
      </c>
      <c r="J492">
        <v>4</v>
      </c>
      <c r="K492">
        <v>39908.32</v>
      </c>
      <c r="L492">
        <v>9977.08</v>
      </c>
      <c r="M492" s="2">
        <v>45356</v>
      </c>
      <c r="N492" s="2">
        <v>45366</v>
      </c>
    </row>
    <row r="493" spans="1:14" x14ac:dyDescent="0.3">
      <c r="A493" t="s">
        <v>26</v>
      </c>
      <c r="B493" t="s">
        <v>32</v>
      </c>
      <c r="C493" t="s">
        <v>54</v>
      </c>
      <c r="D493" t="s">
        <v>60</v>
      </c>
      <c r="E493" t="s">
        <v>61</v>
      </c>
      <c r="F493" t="s">
        <v>70</v>
      </c>
      <c r="G493">
        <v>27697.87</v>
      </c>
      <c r="H493">
        <v>20</v>
      </c>
      <c r="I493">
        <v>22158.295999999998</v>
      </c>
      <c r="J493">
        <v>5</v>
      </c>
      <c r="K493">
        <v>110791.48</v>
      </c>
      <c r="L493">
        <v>16618.72</v>
      </c>
      <c r="M493" s="2">
        <v>45458</v>
      </c>
      <c r="N493" s="2">
        <v>45465</v>
      </c>
    </row>
    <row r="494" spans="1:14" x14ac:dyDescent="0.3">
      <c r="A494" t="s">
        <v>28</v>
      </c>
      <c r="B494" t="s">
        <v>34</v>
      </c>
      <c r="C494" t="s">
        <v>51</v>
      </c>
      <c r="D494" t="s">
        <v>59</v>
      </c>
      <c r="E494" t="s">
        <v>64</v>
      </c>
      <c r="F494" t="s">
        <v>72</v>
      </c>
      <c r="G494">
        <v>1869.54</v>
      </c>
      <c r="H494">
        <v>0</v>
      </c>
      <c r="I494">
        <v>1869.54</v>
      </c>
      <c r="J494">
        <v>2</v>
      </c>
      <c r="K494">
        <v>3739.08</v>
      </c>
      <c r="L494">
        <v>1308.68</v>
      </c>
      <c r="M494" s="2">
        <v>45705</v>
      </c>
      <c r="N494" s="2">
        <v>45710</v>
      </c>
    </row>
    <row r="495" spans="1:14" x14ac:dyDescent="0.3">
      <c r="A495" t="s">
        <v>18</v>
      </c>
      <c r="B495" t="s">
        <v>33</v>
      </c>
      <c r="C495" t="s">
        <v>57</v>
      </c>
      <c r="D495" t="s">
        <v>60</v>
      </c>
      <c r="E495" t="s">
        <v>61</v>
      </c>
      <c r="F495" t="s">
        <v>70</v>
      </c>
      <c r="G495">
        <v>41982.99</v>
      </c>
      <c r="H495">
        <v>10</v>
      </c>
      <c r="I495">
        <v>37784.690999999999</v>
      </c>
      <c r="J495">
        <v>1</v>
      </c>
      <c r="K495">
        <v>37784.69</v>
      </c>
      <c r="L495">
        <v>5667.7</v>
      </c>
      <c r="M495" s="2">
        <v>45458</v>
      </c>
      <c r="N495" s="2">
        <v>45465</v>
      </c>
    </row>
    <row r="496" spans="1:14" x14ac:dyDescent="0.3">
      <c r="A496" t="s">
        <v>29</v>
      </c>
      <c r="B496" t="s">
        <v>35</v>
      </c>
      <c r="C496" t="s">
        <v>44</v>
      </c>
      <c r="D496" t="s">
        <v>60</v>
      </c>
      <c r="E496" t="s">
        <v>61</v>
      </c>
      <c r="F496" t="s">
        <v>71</v>
      </c>
      <c r="G496">
        <v>14798.41</v>
      </c>
      <c r="H496">
        <v>30</v>
      </c>
      <c r="I496">
        <v>10358.887000000001</v>
      </c>
      <c r="J496">
        <v>5</v>
      </c>
      <c r="K496">
        <v>51794.43</v>
      </c>
      <c r="L496">
        <v>7769.16</v>
      </c>
      <c r="M496" s="2">
        <v>45419</v>
      </c>
      <c r="N496" s="2">
        <v>45425</v>
      </c>
    </row>
    <row r="497" spans="1:14" x14ac:dyDescent="0.3">
      <c r="A497" t="s">
        <v>29</v>
      </c>
      <c r="B497" t="s">
        <v>35</v>
      </c>
      <c r="C497" t="s">
        <v>46</v>
      </c>
      <c r="D497" t="s">
        <v>59</v>
      </c>
      <c r="E497" t="s">
        <v>64</v>
      </c>
      <c r="F497" t="s">
        <v>72</v>
      </c>
      <c r="G497">
        <v>23491.83</v>
      </c>
      <c r="H497">
        <v>0</v>
      </c>
      <c r="I497">
        <v>23491.83</v>
      </c>
      <c r="J497">
        <v>5</v>
      </c>
      <c r="K497">
        <v>117459.15</v>
      </c>
      <c r="L497">
        <v>41110.699999999997</v>
      </c>
      <c r="M497" s="2">
        <v>45822</v>
      </c>
      <c r="N497" s="2">
        <v>45825</v>
      </c>
    </row>
    <row r="498" spans="1:14" x14ac:dyDescent="0.3">
      <c r="A498" t="s">
        <v>17</v>
      </c>
      <c r="B498" t="s">
        <v>32</v>
      </c>
      <c r="C498" t="s">
        <v>37</v>
      </c>
      <c r="D498" t="s">
        <v>59</v>
      </c>
      <c r="E498" t="s">
        <v>64</v>
      </c>
      <c r="F498" t="s">
        <v>76</v>
      </c>
      <c r="G498">
        <v>10861.16</v>
      </c>
      <c r="H498">
        <v>25</v>
      </c>
      <c r="I498">
        <v>8145.87</v>
      </c>
      <c r="J498">
        <v>3</v>
      </c>
      <c r="K498">
        <v>24437.61</v>
      </c>
      <c r="L498">
        <v>8553.16</v>
      </c>
      <c r="M498" s="2">
        <v>45559</v>
      </c>
      <c r="N498" s="2">
        <v>45567</v>
      </c>
    </row>
    <row r="499" spans="1:14" x14ac:dyDescent="0.3">
      <c r="A499" t="s">
        <v>28</v>
      </c>
      <c r="B499" t="s">
        <v>34</v>
      </c>
      <c r="C499" t="s">
        <v>51</v>
      </c>
      <c r="D499" t="s">
        <v>59</v>
      </c>
      <c r="E499" t="s">
        <v>64</v>
      </c>
      <c r="F499" t="s">
        <v>72</v>
      </c>
      <c r="G499">
        <v>1929.87</v>
      </c>
      <c r="H499">
        <v>15</v>
      </c>
      <c r="I499">
        <v>1640.3895</v>
      </c>
      <c r="J499">
        <v>2</v>
      </c>
      <c r="K499">
        <v>3280.78</v>
      </c>
      <c r="L499">
        <v>1148.27</v>
      </c>
      <c r="M499" s="2">
        <v>45483</v>
      </c>
      <c r="N499" s="2">
        <v>45489</v>
      </c>
    </row>
    <row r="500" spans="1:14" x14ac:dyDescent="0.3">
      <c r="A500" t="s">
        <v>17</v>
      </c>
      <c r="B500" t="s">
        <v>32</v>
      </c>
      <c r="C500" t="s">
        <v>37</v>
      </c>
      <c r="D500" t="s">
        <v>59</v>
      </c>
      <c r="E500" t="s">
        <v>64</v>
      </c>
      <c r="F500" t="s">
        <v>74</v>
      </c>
      <c r="G500">
        <v>10682.09</v>
      </c>
      <c r="H500">
        <v>30</v>
      </c>
      <c r="I500">
        <v>7477.4629999999997</v>
      </c>
      <c r="J500">
        <v>4</v>
      </c>
      <c r="K500">
        <v>29909.85</v>
      </c>
      <c r="L500">
        <v>10468.450000000001</v>
      </c>
      <c r="M500" s="2">
        <v>45440</v>
      </c>
      <c r="N500" s="2">
        <v>45445</v>
      </c>
    </row>
    <row r="501" spans="1:14" x14ac:dyDescent="0.3">
      <c r="A501" t="s">
        <v>20</v>
      </c>
      <c r="B501" t="s">
        <v>32</v>
      </c>
      <c r="C501" t="s">
        <v>37</v>
      </c>
      <c r="D501" t="s">
        <v>59</v>
      </c>
      <c r="E501" t="s">
        <v>61</v>
      </c>
      <c r="F501" t="s">
        <v>65</v>
      </c>
      <c r="G501">
        <v>36816.54</v>
      </c>
      <c r="H501">
        <v>5</v>
      </c>
      <c r="I501">
        <v>34975.713000000003</v>
      </c>
      <c r="J501">
        <v>4</v>
      </c>
      <c r="K501">
        <v>139902.85</v>
      </c>
      <c r="L501">
        <v>48966</v>
      </c>
      <c r="M501" s="2">
        <v>45379</v>
      </c>
      <c r="N501" s="2">
        <v>45384</v>
      </c>
    </row>
    <row r="502" spans="1:14" x14ac:dyDescent="0.3">
      <c r="A502" t="s">
        <v>16</v>
      </c>
      <c r="B502" t="s">
        <v>31</v>
      </c>
      <c r="C502" t="s">
        <v>36</v>
      </c>
      <c r="D502" t="s">
        <v>58</v>
      </c>
      <c r="E502" t="s">
        <v>61</v>
      </c>
      <c r="F502" t="s">
        <v>70</v>
      </c>
      <c r="G502">
        <v>2432.85</v>
      </c>
      <c r="H502">
        <v>20</v>
      </c>
      <c r="I502">
        <v>1946.28</v>
      </c>
      <c r="J502">
        <v>1</v>
      </c>
      <c r="K502">
        <v>1946.28</v>
      </c>
      <c r="L502">
        <v>486.57</v>
      </c>
      <c r="M502" s="2">
        <v>45513</v>
      </c>
      <c r="N502" s="2">
        <v>45515</v>
      </c>
    </row>
    <row r="503" spans="1:14" x14ac:dyDescent="0.3">
      <c r="A503" t="s">
        <v>19</v>
      </c>
      <c r="B503" t="s">
        <v>33</v>
      </c>
      <c r="C503" t="s">
        <v>53</v>
      </c>
      <c r="D503" t="s">
        <v>58</v>
      </c>
      <c r="E503" t="s">
        <v>61</v>
      </c>
      <c r="F503" t="s">
        <v>65</v>
      </c>
      <c r="G503">
        <v>2011.43</v>
      </c>
      <c r="H503">
        <v>30</v>
      </c>
      <c r="I503">
        <v>1408.001</v>
      </c>
      <c r="J503">
        <v>1</v>
      </c>
      <c r="K503">
        <v>1408</v>
      </c>
      <c r="L503">
        <v>352</v>
      </c>
      <c r="M503" s="2">
        <v>45536</v>
      </c>
      <c r="N503" s="2">
        <v>45543</v>
      </c>
    </row>
    <row r="504" spans="1:14" x14ac:dyDescent="0.3">
      <c r="A504" t="s">
        <v>28</v>
      </c>
      <c r="B504" t="s">
        <v>34</v>
      </c>
      <c r="C504" t="s">
        <v>41</v>
      </c>
      <c r="D504" t="s">
        <v>60</v>
      </c>
      <c r="E504" t="s">
        <v>64</v>
      </c>
      <c r="F504" t="s">
        <v>74</v>
      </c>
      <c r="G504">
        <v>1311.26</v>
      </c>
      <c r="H504">
        <v>30</v>
      </c>
      <c r="I504">
        <v>917.88199999999995</v>
      </c>
      <c r="J504">
        <v>4</v>
      </c>
      <c r="K504">
        <v>3671.53</v>
      </c>
      <c r="L504">
        <v>550.73</v>
      </c>
      <c r="M504" s="2">
        <v>45511</v>
      </c>
      <c r="N504" s="2">
        <v>45517</v>
      </c>
    </row>
    <row r="505" spans="1:14" x14ac:dyDescent="0.3">
      <c r="A505" t="s">
        <v>18</v>
      </c>
      <c r="B505" t="s">
        <v>33</v>
      </c>
      <c r="C505" t="s">
        <v>38</v>
      </c>
      <c r="D505" t="s">
        <v>59</v>
      </c>
      <c r="E505" t="s">
        <v>63</v>
      </c>
      <c r="F505" t="s">
        <v>68</v>
      </c>
      <c r="G505">
        <v>55932.75</v>
      </c>
      <c r="H505">
        <v>30</v>
      </c>
      <c r="I505">
        <v>39152.925000000003</v>
      </c>
      <c r="J505">
        <v>3</v>
      </c>
      <c r="K505">
        <v>117458.77</v>
      </c>
      <c r="L505">
        <v>41110.57</v>
      </c>
      <c r="M505" s="2">
        <v>45325</v>
      </c>
      <c r="N505" s="2">
        <v>45332</v>
      </c>
    </row>
    <row r="506" spans="1:14" x14ac:dyDescent="0.3">
      <c r="A506" t="s">
        <v>24</v>
      </c>
      <c r="B506" t="s">
        <v>32</v>
      </c>
      <c r="C506" t="s">
        <v>54</v>
      </c>
      <c r="D506" t="s">
        <v>60</v>
      </c>
      <c r="E506" t="s">
        <v>64</v>
      </c>
      <c r="F506" t="s">
        <v>74</v>
      </c>
      <c r="G506">
        <v>22040.62</v>
      </c>
      <c r="H506">
        <v>0</v>
      </c>
      <c r="I506">
        <v>22040.62</v>
      </c>
      <c r="J506">
        <v>4</v>
      </c>
      <c r="K506">
        <v>88162.48</v>
      </c>
      <c r="L506">
        <v>13224.37</v>
      </c>
      <c r="M506" s="2">
        <v>45681</v>
      </c>
      <c r="N506" s="2">
        <v>45690</v>
      </c>
    </row>
    <row r="507" spans="1:14" x14ac:dyDescent="0.3">
      <c r="A507" t="s">
        <v>27</v>
      </c>
      <c r="B507" t="s">
        <v>35</v>
      </c>
      <c r="C507" t="s">
        <v>48</v>
      </c>
      <c r="D507" t="s">
        <v>58</v>
      </c>
      <c r="E507" t="s">
        <v>64</v>
      </c>
      <c r="F507" t="s">
        <v>74</v>
      </c>
      <c r="G507">
        <v>8932.34</v>
      </c>
      <c r="H507">
        <v>10</v>
      </c>
      <c r="I507">
        <v>8039.1060000000007</v>
      </c>
      <c r="J507">
        <v>1</v>
      </c>
      <c r="K507">
        <v>8039.11</v>
      </c>
      <c r="L507">
        <v>2009.78</v>
      </c>
      <c r="M507" s="2">
        <v>45744</v>
      </c>
      <c r="N507" s="2">
        <v>45748</v>
      </c>
    </row>
    <row r="508" spans="1:14" x14ac:dyDescent="0.3">
      <c r="A508" t="s">
        <v>21</v>
      </c>
      <c r="B508" t="s">
        <v>34</v>
      </c>
      <c r="C508" t="s">
        <v>55</v>
      </c>
      <c r="D508" t="s">
        <v>58</v>
      </c>
      <c r="E508" t="s">
        <v>64</v>
      </c>
      <c r="F508" t="s">
        <v>74</v>
      </c>
      <c r="G508">
        <v>3368.87</v>
      </c>
      <c r="H508">
        <v>25</v>
      </c>
      <c r="I508">
        <v>2526.6525000000001</v>
      </c>
      <c r="J508">
        <v>2</v>
      </c>
      <c r="K508">
        <v>5053.3100000000004</v>
      </c>
      <c r="L508">
        <v>1263.33</v>
      </c>
      <c r="M508" s="2">
        <v>45366</v>
      </c>
      <c r="N508" s="2">
        <v>45372</v>
      </c>
    </row>
    <row r="509" spans="1:14" x14ac:dyDescent="0.3">
      <c r="A509" t="s">
        <v>25</v>
      </c>
      <c r="B509" t="s">
        <v>34</v>
      </c>
      <c r="C509" t="s">
        <v>52</v>
      </c>
      <c r="D509" t="s">
        <v>60</v>
      </c>
      <c r="E509" t="s">
        <v>62</v>
      </c>
      <c r="F509" t="s">
        <v>66</v>
      </c>
      <c r="G509">
        <v>689</v>
      </c>
      <c r="H509">
        <v>20</v>
      </c>
      <c r="I509">
        <v>551.20000000000005</v>
      </c>
      <c r="J509">
        <v>1</v>
      </c>
      <c r="K509">
        <v>551.20000000000005</v>
      </c>
      <c r="L509">
        <v>82.68</v>
      </c>
      <c r="M509" s="2">
        <v>45738</v>
      </c>
      <c r="N509" s="2">
        <v>45744</v>
      </c>
    </row>
    <row r="510" spans="1:14" x14ac:dyDescent="0.3">
      <c r="A510" t="s">
        <v>20</v>
      </c>
      <c r="B510" t="s">
        <v>32</v>
      </c>
      <c r="C510" t="s">
        <v>43</v>
      </c>
      <c r="D510" t="s">
        <v>58</v>
      </c>
      <c r="E510" t="s">
        <v>64</v>
      </c>
      <c r="F510" t="s">
        <v>76</v>
      </c>
      <c r="G510">
        <v>32503.66</v>
      </c>
      <c r="H510">
        <v>30</v>
      </c>
      <c r="I510">
        <v>22752.562000000002</v>
      </c>
      <c r="J510">
        <v>3</v>
      </c>
      <c r="K510">
        <v>68257.69</v>
      </c>
      <c r="L510">
        <v>17064.419999999998</v>
      </c>
      <c r="M510" s="2">
        <v>45701</v>
      </c>
      <c r="N510" s="2">
        <v>45710</v>
      </c>
    </row>
    <row r="511" spans="1:14" x14ac:dyDescent="0.3">
      <c r="A511" t="s">
        <v>19</v>
      </c>
      <c r="B511" t="s">
        <v>33</v>
      </c>
      <c r="C511" t="s">
        <v>50</v>
      </c>
      <c r="D511" t="s">
        <v>59</v>
      </c>
      <c r="E511" t="s">
        <v>64</v>
      </c>
      <c r="F511" t="s">
        <v>76</v>
      </c>
      <c r="G511">
        <v>2623.71</v>
      </c>
      <c r="H511">
        <v>15</v>
      </c>
      <c r="I511">
        <v>2230.1534999999999</v>
      </c>
      <c r="J511">
        <v>1</v>
      </c>
      <c r="K511">
        <v>2230.15</v>
      </c>
      <c r="L511">
        <v>780.55</v>
      </c>
      <c r="M511" s="2">
        <v>45831</v>
      </c>
      <c r="N511" s="2">
        <v>45836</v>
      </c>
    </row>
    <row r="512" spans="1:14" x14ac:dyDescent="0.3">
      <c r="A512" t="s">
        <v>22</v>
      </c>
      <c r="B512" t="s">
        <v>31</v>
      </c>
      <c r="C512" t="s">
        <v>47</v>
      </c>
      <c r="D512" t="s">
        <v>59</v>
      </c>
      <c r="E512" t="s">
        <v>63</v>
      </c>
      <c r="F512" t="s">
        <v>73</v>
      </c>
      <c r="G512">
        <v>3865.4</v>
      </c>
      <c r="H512">
        <v>10</v>
      </c>
      <c r="I512">
        <v>3478.86</v>
      </c>
      <c r="J512">
        <v>5</v>
      </c>
      <c r="K512">
        <v>17394.3</v>
      </c>
      <c r="L512">
        <v>6088</v>
      </c>
      <c r="M512" s="2">
        <v>45554</v>
      </c>
      <c r="N512" s="2">
        <v>45562</v>
      </c>
    </row>
    <row r="513" spans="1:14" x14ac:dyDescent="0.3">
      <c r="A513" t="s">
        <v>17</v>
      </c>
      <c r="B513" t="s">
        <v>32</v>
      </c>
      <c r="C513" t="s">
        <v>40</v>
      </c>
      <c r="D513" t="s">
        <v>59</v>
      </c>
      <c r="E513" t="s">
        <v>62</v>
      </c>
      <c r="F513" t="s">
        <v>69</v>
      </c>
      <c r="G513">
        <v>9924.07</v>
      </c>
      <c r="H513">
        <v>30</v>
      </c>
      <c r="I513">
        <v>6946.8489999999993</v>
      </c>
      <c r="J513">
        <v>4</v>
      </c>
      <c r="K513">
        <v>27787.4</v>
      </c>
      <c r="L513">
        <v>9725.59</v>
      </c>
      <c r="M513" s="2">
        <v>45647</v>
      </c>
      <c r="N513" s="2">
        <v>45651</v>
      </c>
    </row>
    <row r="514" spans="1:14" x14ac:dyDescent="0.3">
      <c r="A514" t="s">
        <v>16</v>
      </c>
      <c r="B514" t="s">
        <v>31</v>
      </c>
      <c r="C514" t="s">
        <v>47</v>
      </c>
      <c r="D514" t="s">
        <v>59</v>
      </c>
      <c r="E514" t="s">
        <v>62</v>
      </c>
      <c r="F514" t="s">
        <v>66</v>
      </c>
      <c r="G514">
        <v>3033.79</v>
      </c>
      <c r="H514">
        <v>30</v>
      </c>
      <c r="I514">
        <v>2123.6529999999998</v>
      </c>
      <c r="J514">
        <v>3</v>
      </c>
      <c r="K514">
        <v>6370.96</v>
      </c>
      <c r="L514">
        <v>2229.84</v>
      </c>
      <c r="M514" s="2">
        <v>45760</v>
      </c>
      <c r="N514" s="2">
        <v>45768</v>
      </c>
    </row>
    <row r="515" spans="1:14" x14ac:dyDescent="0.3">
      <c r="A515" t="s">
        <v>27</v>
      </c>
      <c r="B515" t="s">
        <v>35</v>
      </c>
      <c r="C515" t="s">
        <v>38</v>
      </c>
      <c r="D515" t="s">
        <v>59</v>
      </c>
      <c r="E515" t="s">
        <v>61</v>
      </c>
      <c r="F515" t="s">
        <v>65</v>
      </c>
      <c r="G515">
        <v>9217.4599999999991</v>
      </c>
      <c r="H515">
        <v>30</v>
      </c>
      <c r="I515">
        <v>6452.2219999999988</v>
      </c>
      <c r="J515">
        <v>1</v>
      </c>
      <c r="K515">
        <v>6452.22</v>
      </c>
      <c r="L515">
        <v>2258.2800000000002</v>
      </c>
      <c r="M515" s="2">
        <v>45744</v>
      </c>
      <c r="N515" s="2">
        <v>45748</v>
      </c>
    </row>
    <row r="516" spans="1:14" x14ac:dyDescent="0.3">
      <c r="A516" t="s">
        <v>17</v>
      </c>
      <c r="B516" t="s">
        <v>32</v>
      </c>
      <c r="C516" t="s">
        <v>37</v>
      </c>
      <c r="D516" t="s">
        <v>59</v>
      </c>
      <c r="E516" t="s">
        <v>62</v>
      </c>
      <c r="F516" t="s">
        <v>69</v>
      </c>
      <c r="G516">
        <v>10474.99</v>
      </c>
      <c r="H516">
        <v>15</v>
      </c>
      <c r="I516">
        <v>8903.7415000000001</v>
      </c>
      <c r="J516">
        <v>2</v>
      </c>
      <c r="K516">
        <v>17807.48</v>
      </c>
      <c r="L516">
        <v>6232.62</v>
      </c>
      <c r="M516" s="2">
        <v>45835</v>
      </c>
      <c r="N516" s="2">
        <v>45844</v>
      </c>
    </row>
    <row r="517" spans="1:14" x14ac:dyDescent="0.3">
      <c r="A517" t="s">
        <v>26</v>
      </c>
      <c r="B517" t="s">
        <v>32</v>
      </c>
      <c r="C517" t="s">
        <v>40</v>
      </c>
      <c r="D517" t="s">
        <v>59</v>
      </c>
      <c r="E517" t="s">
        <v>61</v>
      </c>
      <c r="F517" t="s">
        <v>70</v>
      </c>
      <c r="G517">
        <v>41846.58</v>
      </c>
      <c r="H517">
        <v>5</v>
      </c>
      <c r="I517">
        <v>39754.250999999997</v>
      </c>
      <c r="J517">
        <v>3</v>
      </c>
      <c r="K517">
        <v>119262.75</v>
      </c>
      <c r="L517">
        <v>41741.96</v>
      </c>
      <c r="M517" s="2">
        <v>45747</v>
      </c>
      <c r="N517" s="2">
        <v>45752</v>
      </c>
    </row>
    <row r="518" spans="1:14" x14ac:dyDescent="0.3">
      <c r="A518" t="s">
        <v>19</v>
      </c>
      <c r="B518" t="s">
        <v>33</v>
      </c>
      <c r="C518" t="s">
        <v>56</v>
      </c>
      <c r="D518" t="s">
        <v>60</v>
      </c>
      <c r="E518" t="s">
        <v>64</v>
      </c>
      <c r="F518" t="s">
        <v>72</v>
      </c>
      <c r="G518">
        <v>1804.9</v>
      </c>
      <c r="H518">
        <v>20</v>
      </c>
      <c r="I518">
        <v>1443.92</v>
      </c>
      <c r="J518">
        <v>5</v>
      </c>
      <c r="K518">
        <v>7219.6</v>
      </c>
      <c r="L518">
        <v>1082.94</v>
      </c>
      <c r="M518" s="2">
        <v>45446</v>
      </c>
      <c r="N518" s="2">
        <v>45456</v>
      </c>
    </row>
    <row r="519" spans="1:14" x14ac:dyDescent="0.3">
      <c r="A519" t="s">
        <v>22</v>
      </c>
      <c r="B519" t="s">
        <v>31</v>
      </c>
      <c r="C519" t="s">
        <v>47</v>
      </c>
      <c r="D519" t="s">
        <v>59</v>
      </c>
      <c r="E519" t="s">
        <v>63</v>
      </c>
      <c r="F519" t="s">
        <v>68</v>
      </c>
      <c r="G519">
        <v>4105.08</v>
      </c>
      <c r="H519">
        <v>5</v>
      </c>
      <c r="I519">
        <v>3899.826</v>
      </c>
      <c r="J519">
        <v>4</v>
      </c>
      <c r="K519">
        <v>15599.3</v>
      </c>
      <c r="L519">
        <v>5459.75</v>
      </c>
      <c r="M519" s="2">
        <v>45646</v>
      </c>
      <c r="N519" s="2">
        <v>45650</v>
      </c>
    </row>
    <row r="520" spans="1:14" x14ac:dyDescent="0.3">
      <c r="A520" t="s">
        <v>18</v>
      </c>
      <c r="B520" t="s">
        <v>33</v>
      </c>
      <c r="C520" t="s">
        <v>56</v>
      </c>
      <c r="D520" t="s">
        <v>60</v>
      </c>
      <c r="E520" t="s">
        <v>62</v>
      </c>
      <c r="F520" t="s">
        <v>66</v>
      </c>
      <c r="G520">
        <v>42799.02</v>
      </c>
      <c r="H520">
        <v>15</v>
      </c>
      <c r="I520">
        <v>36379.166999999987</v>
      </c>
      <c r="J520">
        <v>3</v>
      </c>
      <c r="K520">
        <v>109137.5</v>
      </c>
      <c r="L520">
        <v>16370.62</v>
      </c>
      <c r="M520" s="2">
        <v>45404</v>
      </c>
      <c r="N520" s="2">
        <v>45407</v>
      </c>
    </row>
    <row r="521" spans="1:14" x14ac:dyDescent="0.3">
      <c r="A521" t="s">
        <v>17</v>
      </c>
      <c r="B521" t="s">
        <v>32</v>
      </c>
      <c r="C521" t="s">
        <v>37</v>
      </c>
      <c r="D521" t="s">
        <v>59</v>
      </c>
      <c r="E521" t="s">
        <v>61</v>
      </c>
      <c r="F521" t="s">
        <v>71</v>
      </c>
      <c r="G521">
        <v>9692.86</v>
      </c>
      <c r="H521">
        <v>20</v>
      </c>
      <c r="I521">
        <v>7754.2879999999996</v>
      </c>
      <c r="J521">
        <v>2</v>
      </c>
      <c r="K521">
        <v>15508.58</v>
      </c>
      <c r="L521">
        <v>5428</v>
      </c>
      <c r="M521" s="2">
        <v>45552</v>
      </c>
      <c r="N521" s="2">
        <v>45560</v>
      </c>
    </row>
    <row r="522" spans="1:14" x14ac:dyDescent="0.3">
      <c r="A522" t="s">
        <v>25</v>
      </c>
      <c r="B522" t="s">
        <v>34</v>
      </c>
      <c r="C522" t="s">
        <v>41</v>
      </c>
      <c r="D522" t="s">
        <v>60</v>
      </c>
      <c r="E522" t="s">
        <v>61</v>
      </c>
      <c r="F522" t="s">
        <v>71</v>
      </c>
      <c r="G522">
        <v>697.42</v>
      </c>
      <c r="H522">
        <v>10</v>
      </c>
      <c r="I522">
        <v>627.678</v>
      </c>
      <c r="J522">
        <v>2</v>
      </c>
      <c r="K522">
        <v>1255.3599999999999</v>
      </c>
      <c r="L522">
        <v>188.3</v>
      </c>
      <c r="M522" s="2">
        <v>45353</v>
      </c>
      <c r="N522" s="2">
        <v>45363</v>
      </c>
    </row>
    <row r="523" spans="1:14" x14ac:dyDescent="0.3">
      <c r="A523" t="s">
        <v>19</v>
      </c>
      <c r="B523" t="s">
        <v>33</v>
      </c>
      <c r="C523" t="s">
        <v>50</v>
      </c>
      <c r="D523" t="s">
        <v>59</v>
      </c>
      <c r="E523" t="s">
        <v>63</v>
      </c>
      <c r="F523" t="s">
        <v>75</v>
      </c>
      <c r="G523">
        <v>2168.37</v>
      </c>
      <c r="H523">
        <v>0</v>
      </c>
      <c r="I523">
        <v>2168.37</v>
      </c>
      <c r="J523">
        <v>5</v>
      </c>
      <c r="K523">
        <v>10841.85</v>
      </c>
      <c r="L523">
        <v>3794.65</v>
      </c>
      <c r="M523" s="2">
        <v>45415</v>
      </c>
      <c r="N523" s="2">
        <v>45420</v>
      </c>
    </row>
    <row r="524" spans="1:14" x14ac:dyDescent="0.3">
      <c r="A524" t="s">
        <v>17</v>
      </c>
      <c r="B524" t="s">
        <v>32</v>
      </c>
      <c r="C524" t="s">
        <v>43</v>
      </c>
      <c r="D524" t="s">
        <v>58</v>
      </c>
      <c r="E524" t="s">
        <v>63</v>
      </c>
      <c r="F524" t="s">
        <v>75</v>
      </c>
      <c r="G524">
        <v>7811.99</v>
      </c>
      <c r="H524">
        <v>25</v>
      </c>
      <c r="I524">
        <v>5858.9925000000003</v>
      </c>
      <c r="J524">
        <v>3</v>
      </c>
      <c r="K524">
        <v>17576.98</v>
      </c>
      <c r="L524">
        <v>4394.24</v>
      </c>
      <c r="M524" s="2">
        <v>45485</v>
      </c>
      <c r="N524" s="2">
        <v>45490</v>
      </c>
    </row>
    <row r="525" spans="1:14" x14ac:dyDescent="0.3">
      <c r="A525" t="s">
        <v>26</v>
      </c>
      <c r="B525" t="s">
        <v>32</v>
      </c>
      <c r="C525" t="s">
        <v>43</v>
      </c>
      <c r="D525" t="s">
        <v>58</v>
      </c>
      <c r="E525" t="s">
        <v>64</v>
      </c>
      <c r="F525" t="s">
        <v>76</v>
      </c>
      <c r="G525">
        <v>37782.29</v>
      </c>
      <c r="H525">
        <v>10</v>
      </c>
      <c r="I525">
        <v>34004.061000000002</v>
      </c>
      <c r="J525">
        <v>1</v>
      </c>
      <c r="K525">
        <v>34004.06</v>
      </c>
      <c r="L525">
        <v>8501.01</v>
      </c>
      <c r="M525" s="2">
        <v>45529</v>
      </c>
      <c r="N525" s="2">
        <v>45539</v>
      </c>
    </row>
    <row r="526" spans="1:14" x14ac:dyDescent="0.3">
      <c r="A526" t="s">
        <v>29</v>
      </c>
      <c r="B526" t="s">
        <v>35</v>
      </c>
      <c r="C526" t="s">
        <v>38</v>
      </c>
      <c r="D526" t="s">
        <v>59</v>
      </c>
      <c r="E526" t="s">
        <v>63</v>
      </c>
      <c r="F526" t="s">
        <v>68</v>
      </c>
      <c r="G526">
        <v>20144.38</v>
      </c>
      <c r="H526">
        <v>10</v>
      </c>
      <c r="I526">
        <v>18129.941999999999</v>
      </c>
      <c r="J526">
        <v>5</v>
      </c>
      <c r="K526">
        <v>90649.71</v>
      </c>
      <c r="L526">
        <v>31727.4</v>
      </c>
      <c r="M526" s="2">
        <v>45758</v>
      </c>
      <c r="N526" s="2">
        <v>45766</v>
      </c>
    </row>
    <row r="527" spans="1:14" x14ac:dyDescent="0.3">
      <c r="A527" t="s">
        <v>26</v>
      </c>
      <c r="B527" t="s">
        <v>32</v>
      </c>
      <c r="C527" t="s">
        <v>40</v>
      </c>
      <c r="D527" t="s">
        <v>59</v>
      </c>
      <c r="E527" t="s">
        <v>64</v>
      </c>
      <c r="F527" t="s">
        <v>74</v>
      </c>
      <c r="G527">
        <v>43837.56</v>
      </c>
      <c r="H527">
        <v>20</v>
      </c>
      <c r="I527">
        <v>35070.048000000003</v>
      </c>
      <c r="J527">
        <v>3</v>
      </c>
      <c r="K527">
        <v>105210.14</v>
      </c>
      <c r="L527">
        <v>36823.550000000003</v>
      </c>
      <c r="M527" s="2">
        <v>45468</v>
      </c>
      <c r="N527" s="2">
        <v>45477</v>
      </c>
    </row>
    <row r="528" spans="1:14" x14ac:dyDescent="0.3">
      <c r="A528" t="s">
        <v>16</v>
      </c>
      <c r="B528" t="s">
        <v>31</v>
      </c>
      <c r="C528" t="s">
        <v>47</v>
      </c>
      <c r="D528" t="s">
        <v>59</v>
      </c>
      <c r="E528" t="s">
        <v>63</v>
      </c>
      <c r="F528" t="s">
        <v>75</v>
      </c>
      <c r="G528">
        <v>2749.66</v>
      </c>
      <c r="H528">
        <v>25</v>
      </c>
      <c r="I528">
        <v>2062.2449999999999</v>
      </c>
      <c r="J528">
        <v>1</v>
      </c>
      <c r="K528">
        <v>2062.2399999999998</v>
      </c>
      <c r="L528">
        <v>721.78</v>
      </c>
      <c r="M528" s="2">
        <v>45418</v>
      </c>
      <c r="N528" s="2">
        <v>45422</v>
      </c>
    </row>
    <row r="529" spans="1:14" x14ac:dyDescent="0.3">
      <c r="A529" t="s">
        <v>29</v>
      </c>
      <c r="B529" t="s">
        <v>35</v>
      </c>
      <c r="C529" t="s">
        <v>38</v>
      </c>
      <c r="D529" t="s">
        <v>59</v>
      </c>
      <c r="E529" t="s">
        <v>64</v>
      </c>
      <c r="F529" t="s">
        <v>76</v>
      </c>
      <c r="G529">
        <v>23053.24</v>
      </c>
      <c r="H529">
        <v>10</v>
      </c>
      <c r="I529">
        <v>20747.916000000001</v>
      </c>
      <c r="J529">
        <v>4</v>
      </c>
      <c r="K529">
        <v>82991.66</v>
      </c>
      <c r="L529">
        <v>29047.08</v>
      </c>
      <c r="M529" s="2">
        <v>45523</v>
      </c>
      <c r="N529" s="2">
        <v>45532</v>
      </c>
    </row>
    <row r="530" spans="1:14" x14ac:dyDescent="0.3">
      <c r="A530" t="s">
        <v>16</v>
      </c>
      <c r="B530" t="s">
        <v>31</v>
      </c>
      <c r="C530" t="s">
        <v>47</v>
      </c>
      <c r="D530" t="s">
        <v>59</v>
      </c>
      <c r="E530" t="s">
        <v>64</v>
      </c>
      <c r="F530" t="s">
        <v>74</v>
      </c>
      <c r="G530">
        <v>3260.34</v>
      </c>
      <c r="H530">
        <v>25</v>
      </c>
      <c r="I530">
        <v>2445.2550000000001</v>
      </c>
      <c r="J530">
        <v>4</v>
      </c>
      <c r="K530">
        <v>9781.02</v>
      </c>
      <c r="L530">
        <v>3423.36</v>
      </c>
      <c r="M530" s="2">
        <v>45728</v>
      </c>
      <c r="N530" s="2">
        <v>45735</v>
      </c>
    </row>
    <row r="531" spans="1:14" x14ac:dyDescent="0.3">
      <c r="A531" t="s">
        <v>26</v>
      </c>
      <c r="B531" t="s">
        <v>32</v>
      </c>
      <c r="C531" t="s">
        <v>40</v>
      </c>
      <c r="D531" t="s">
        <v>59</v>
      </c>
      <c r="E531" t="s">
        <v>63</v>
      </c>
      <c r="F531" t="s">
        <v>73</v>
      </c>
      <c r="G531">
        <v>39220.519999999997</v>
      </c>
      <c r="H531">
        <v>15</v>
      </c>
      <c r="I531">
        <v>33337.442000000003</v>
      </c>
      <c r="J531">
        <v>2</v>
      </c>
      <c r="K531">
        <v>66674.880000000005</v>
      </c>
      <c r="L531">
        <v>23336.21</v>
      </c>
      <c r="M531" s="2">
        <v>45639</v>
      </c>
      <c r="N531" s="2">
        <v>45648</v>
      </c>
    </row>
    <row r="532" spans="1:14" x14ac:dyDescent="0.3">
      <c r="A532" t="s">
        <v>18</v>
      </c>
      <c r="B532" t="s">
        <v>33</v>
      </c>
      <c r="C532" t="s">
        <v>50</v>
      </c>
      <c r="D532" t="s">
        <v>59</v>
      </c>
      <c r="E532" t="s">
        <v>63</v>
      </c>
      <c r="F532" t="s">
        <v>75</v>
      </c>
      <c r="G532">
        <v>58766.87</v>
      </c>
      <c r="H532">
        <v>5</v>
      </c>
      <c r="I532">
        <v>55828.5265</v>
      </c>
      <c r="J532">
        <v>4</v>
      </c>
      <c r="K532">
        <v>223314.11</v>
      </c>
      <c r="L532">
        <v>78159.94</v>
      </c>
      <c r="M532" s="2">
        <v>45772</v>
      </c>
      <c r="N532" s="2">
        <v>45775</v>
      </c>
    </row>
    <row r="533" spans="1:14" x14ac:dyDescent="0.3">
      <c r="A533" t="s">
        <v>20</v>
      </c>
      <c r="B533" t="s">
        <v>32</v>
      </c>
      <c r="C533" t="s">
        <v>37</v>
      </c>
      <c r="D533" t="s">
        <v>59</v>
      </c>
      <c r="E533" t="s">
        <v>64</v>
      </c>
      <c r="F533" t="s">
        <v>74</v>
      </c>
      <c r="G533">
        <v>39852.699999999997</v>
      </c>
      <c r="H533">
        <v>20</v>
      </c>
      <c r="I533">
        <v>31882.16</v>
      </c>
      <c r="J533">
        <v>2</v>
      </c>
      <c r="K533">
        <v>63764.32</v>
      </c>
      <c r="L533">
        <v>22317.51</v>
      </c>
      <c r="M533" s="2">
        <v>45655</v>
      </c>
      <c r="N533" s="2">
        <v>45661</v>
      </c>
    </row>
    <row r="534" spans="1:14" x14ac:dyDescent="0.3">
      <c r="A534" t="s">
        <v>20</v>
      </c>
      <c r="B534" t="s">
        <v>32</v>
      </c>
      <c r="C534" t="s">
        <v>40</v>
      </c>
      <c r="D534" t="s">
        <v>59</v>
      </c>
      <c r="E534" t="s">
        <v>61</v>
      </c>
      <c r="F534" t="s">
        <v>70</v>
      </c>
      <c r="G534">
        <v>34040.92</v>
      </c>
      <c r="H534">
        <v>5</v>
      </c>
      <c r="I534">
        <v>32338.874</v>
      </c>
      <c r="J534">
        <v>3</v>
      </c>
      <c r="K534">
        <v>97016.62</v>
      </c>
      <c r="L534">
        <v>33955.82</v>
      </c>
      <c r="M534" s="2">
        <v>45439</v>
      </c>
      <c r="N534" s="2">
        <v>45447</v>
      </c>
    </row>
    <row r="535" spans="1:14" x14ac:dyDescent="0.3">
      <c r="A535" t="s">
        <v>25</v>
      </c>
      <c r="B535" t="s">
        <v>34</v>
      </c>
      <c r="C535" t="s">
        <v>41</v>
      </c>
      <c r="D535" t="s">
        <v>60</v>
      </c>
      <c r="E535" t="s">
        <v>64</v>
      </c>
      <c r="F535" t="s">
        <v>74</v>
      </c>
      <c r="G535">
        <v>741.61</v>
      </c>
      <c r="H535">
        <v>20</v>
      </c>
      <c r="I535">
        <v>593.28800000000001</v>
      </c>
      <c r="J535">
        <v>2</v>
      </c>
      <c r="K535">
        <v>1186.58</v>
      </c>
      <c r="L535">
        <v>177.99</v>
      </c>
      <c r="M535" s="2">
        <v>45447</v>
      </c>
      <c r="N535" s="2">
        <v>45450</v>
      </c>
    </row>
    <row r="536" spans="1:14" x14ac:dyDescent="0.3">
      <c r="A536" t="s">
        <v>23</v>
      </c>
      <c r="B536" t="s">
        <v>35</v>
      </c>
      <c r="C536" t="s">
        <v>44</v>
      </c>
      <c r="D536" t="s">
        <v>60</v>
      </c>
      <c r="E536" t="s">
        <v>63</v>
      </c>
      <c r="F536" t="s">
        <v>68</v>
      </c>
      <c r="G536">
        <v>19744.13</v>
      </c>
      <c r="H536">
        <v>25</v>
      </c>
      <c r="I536">
        <v>14808.0975</v>
      </c>
      <c r="J536">
        <v>5</v>
      </c>
      <c r="K536">
        <v>74040.490000000005</v>
      </c>
      <c r="L536">
        <v>11106.07</v>
      </c>
      <c r="M536" s="2">
        <v>45353</v>
      </c>
      <c r="N536" s="2">
        <v>45356</v>
      </c>
    </row>
    <row r="537" spans="1:14" x14ac:dyDescent="0.3">
      <c r="A537" t="s">
        <v>22</v>
      </c>
      <c r="B537" t="s">
        <v>31</v>
      </c>
      <c r="C537" t="s">
        <v>36</v>
      </c>
      <c r="D537" t="s">
        <v>58</v>
      </c>
      <c r="E537" t="s">
        <v>64</v>
      </c>
      <c r="F537" t="s">
        <v>76</v>
      </c>
      <c r="G537">
        <v>3612.53</v>
      </c>
      <c r="H537">
        <v>20</v>
      </c>
      <c r="I537">
        <v>2890.0239999999999</v>
      </c>
      <c r="J537">
        <v>5</v>
      </c>
      <c r="K537">
        <v>14450.12</v>
      </c>
      <c r="L537">
        <v>3612.53</v>
      </c>
      <c r="M537" s="2">
        <v>45306</v>
      </c>
      <c r="N537" s="2">
        <v>45308</v>
      </c>
    </row>
    <row r="538" spans="1:14" x14ac:dyDescent="0.3">
      <c r="A538" t="s">
        <v>19</v>
      </c>
      <c r="B538" t="s">
        <v>33</v>
      </c>
      <c r="C538" t="s">
        <v>38</v>
      </c>
      <c r="D538" t="s">
        <v>59</v>
      </c>
      <c r="E538" t="s">
        <v>62</v>
      </c>
      <c r="F538" t="s">
        <v>66</v>
      </c>
      <c r="G538">
        <v>2414.5500000000002</v>
      </c>
      <c r="H538">
        <v>0</v>
      </c>
      <c r="I538">
        <v>2414.5500000000002</v>
      </c>
      <c r="J538">
        <v>4</v>
      </c>
      <c r="K538">
        <v>9658.2000000000007</v>
      </c>
      <c r="L538">
        <v>3380.37</v>
      </c>
      <c r="M538" s="2">
        <v>45503</v>
      </c>
      <c r="N538" s="2">
        <v>45508</v>
      </c>
    </row>
    <row r="539" spans="1:14" x14ac:dyDescent="0.3">
      <c r="A539" t="s">
        <v>23</v>
      </c>
      <c r="B539" t="s">
        <v>35</v>
      </c>
      <c r="C539" t="s">
        <v>48</v>
      </c>
      <c r="D539" t="s">
        <v>58</v>
      </c>
      <c r="E539" t="s">
        <v>64</v>
      </c>
      <c r="F539" t="s">
        <v>72</v>
      </c>
      <c r="G539">
        <v>27309.58</v>
      </c>
      <c r="H539">
        <v>25</v>
      </c>
      <c r="I539">
        <v>20482.185000000001</v>
      </c>
      <c r="J539">
        <v>3</v>
      </c>
      <c r="K539">
        <v>61446.559999999998</v>
      </c>
      <c r="L539">
        <v>15361.64</v>
      </c>
      <c r="M539" s="2">
        <v>45372</v>
      </c>
      <c r="N539" s="2">
        <v>45379</v>
      </c>
    </row>
    <row r="540" spans="1:14" x14ac:dyDescent="0.3">
      <c r="A540" t="s">
        <v>22</v>
      </c>
      <c r="B540" t="s">
        <v>31</v>
      </c>
      <c r="C540" t="s">
        <v>36</v>
      </c>
      <c r="D540" t="s">
        <v>58</v>
      </c>
      <c r="E540" t="s">
        <v>63</v>
      </c>
      <c r="F540" t="s">
        <v>73</v>
      </c>
      <c r="G540">
        <v>3370.43</v>
      </c>
      <c r="H540">
        <v>15</v>
      </c>
      <c r="I540">
        <v>2864.8654999999999</v>
      </c>
      <c r="J540">
        <v>2</v>
      </c>
      <c r="K540">
        <v>5729.73</v>
      </c>
      <c r="L540">
        <v>1432.43</v>
      </c>
      <c r="M540" s="2">
        <v>45563</v>
      </c>
      <c r="N540" s="2">
        <v>45565</v>
      </c>
    </row>
    <row r="541" spans="1:14" x14ac:dyDescent="0.3">
      <c r="A541" t="s">
        <v>26</v>
      </c>
      <c r="B541" t="s">
        <v>32</v>
      </c>
      <c r="C541" t="s">
        <v>43</v>
      </c>
      <c r="D541" t="s">
        <v>58</v>
      </c>
      <c r="E541" t="s">
        <v>63</v>
      </c>
      <c r="F541" t="s">
        <v>73</v>
      </c>
      <c r="G541">
        <v>33947.56</v>
      </c>
      <c r="H541">
        <v>10</v>
      </c>
      <c r="I541">
        <v>30552.804</v>
      </c>
      <c r="J541">
        <v>2</v>
      </c>
      <c r="K541">
        <v>61105.61</v>
      </c>
      <c r="L541">
        <v>15276.4</v>
      </c>
      <c r="M541" s="2">
        <v>45367</v>
      </c>
      <c r="N541" s="2">
        <v>45377</v>
      </c>
    </row>
    <row r="542" spans="1:14" x14ac:dyDescent="0.3">
      <c r="A542" t="s">
        <v>16</v>
      </c>
      <c r="B542" t="s">
        <v>31</v>
      </c>
      <c r="C542" t="s">
        <v>36</v>
      </c>
      <c r="D542" t="s">
        <v>58</v>
      </c>
      <c r="E542" t="s">
        <v>63</v>
      </c>
      <c r="F542" t="s">
        <v>75</v>
      </c>
      <c r="G542">
        <v>2468.91</v>
      </c>
      <c r="H542">
        <v>30</v>
      </c>
      <c r="I542">
        <v>1728.2370000000001</v>
      </c>
      <c r="J542">
        <v>1</v>
      </c>
      <c r="K542">
        <v>1728.24</v>
      </c>
      <c r="L542">
        <v>432.06</v>
      </c>
      <c r="M542" s="2">
        <v>45812</v>
      </c>
      <c r="N542" s="2">
        <v>45817</v>
      </c>
    </row>
    <row r="543" spans="1:14" x14ac:dyDescent="0.3">
      <c r="A543" t="s">
        <v>23</v>
      </c>
      <c r="B543" t="s">
        <v>35</v>
      </c>
      <c r="C543" t="s">
        <v>46</v>
      </c>
      <c r="D543" t="s">
        <v>59</v>
      </c>
      <c r="E543" t="s">
        <v>62</v>
      </c>
      <c r="F543" t="s">
        <v>66</v>
      </c>
      <c r="G543">
        <v>30852.84</v>
      </c>
      <c r="H543">
        <v>5</v>
      </c>
      <c r="I543">
        <v>29310.198</v>
      </c>
      <c r="J543">
        <v>1</v>
      </c>
      <c r="K543">
        <v>29310.2</v>
      </c>
      <c r="L543">
        <v>10258.57</v>
      </c>
      <c r="M543" s="2">
        <v>45849</v>
      </c>
      <c r="N543" s="2">
        <v>45857</v>
      </c>
    </row>
    <row r="544" spans="1:14" x14ac:dyDescent="0.3">
      <c r="A544" t="s">
        <v>26</v>
      </c>
      <c r="B544" t="s">
        <v>32</v>
      </c>
      <c r="C544" t="s">
        <v>40</v>
      </c>
      <c r="D544" t="s">
        <v>59</v>
      </c>
      <c r="E544" t="s">
        <v>64</v>
      </c>
      <c r="F544" t="s">
        <v>72</v>
      </c>
      <c r="G544">
        <v>45564.42</v>
      </c>
      <c r="H544">
        <v>15</v>
      </c>
      <c r="I544">
        <v>38729.756999999998</v>
      </c>
      <c r="J544">
        <v>5</v>
      </c>
      <c r="K544">
        <v>193648.78</v>
      </c>
      <c r="L544">
        <v>67777.070000000007</v>
      </c>
      <c r="M544" s="2">
        <v>45413</v>
      </c>
      <c r="N544" s="2">
        <v>45420</v>
      </c>
    </row>
    <row r="545" spans="1:14" x14ac:dyDescent="0.3">
      <c r="A545" t="s">
        <v>16</v>
      </c>
      <c r="B545" t="s">
        <v>31</v>
      </c>
      <c r="C545" t="s">
        <v>47</v>
      </c>
      <c r="D545" t="s">
        <v>59</v>
      </c>
      <c r="E545" t="s">
        <v>62</v>
      </c>
      <c r="F545" t="s">
        <v>67</v>
      </c>
      <c r="G545">
        <v>3021</v>
      </c>
      <c r="H545">
        <v>25</v>
      </c>
      <c r="I545">
        <v>2265.75</v>
      </c>
      <c r="J545">
        <v>3</v>
      </c>
      <c r="K545">
        <v>6797.25</v>
      </c>
      <c r="L545">
        <v>2379.04</v>
      </c>
      <c r="M545" s="2">
        <v>45796</v>
      </c>
      <c r="N545" s="2">
        <v>45802</v>
      </c>
    </row>
    <row r="546" spans="1:14" x14ac:dyDescent="0.3">
      <c r="A546" t="s">
        <v>22</v>
      </c>
      <c r="B546" t="s">
        <v>31</v>
      </c>
      <c r="C546" t="s">
        <v>42</v>
      </c>
      <c r="D546" t="s">
        <v>60</v>
      </c>
      <c r="E546" t="s">
        <v>64</v>
      </c>
      <c r="F546" t="s">
        <v>74</v>
      </c>
      <c r="G546">
        <v>3304.26</v>
      </c>
      <c r="H546">
        <v>20</v>
      </c>
      <c r="I546">
        <v>2643.4079999999999</v>
      </c>
      <c r="J546">
        <v>1</v>
      </c>
      <c r="K546">
        <v>2643.41</v>
      </c>
      <c r="L546">
        <v>396.51</v>
      </c>
      <c r="M546" s="2">
        <v>45324</v>
      </c>
      <c r="N546" s="2">
        <v>45331</v>
      </c>
    </row>
    <row r="547" spans="1:14" x14ac:dyDescent="0.3">
      <c r="A547" t="s">
        <v>20</v>
      </c>
      <c r="B547" t="s">
        <v>32</v>
      </c>
      <c r="C547" t="s">
        <v>43</v>
      </c>
      <c r="D547" t="s">
        <v>58</v>
      </c>
      <c r="E547" t="s">
        <v>63</v>
      </c>
      <c r="F547" t="s">
        <v>73</v>
      </c>
      <c r="G547">
        <v>27218.59</v>
      </c>
      <c r="H547">
        <v>5</v>
      </c>
      <c r="I547">
        <v>25857.660500000002</v>
      </c>
      <c r="J547">
        <v>1</v>
      </c>
      <c r="K547">
        <v>25857.66</v>
      </c>
      <c r="L547">
        <v>6464.41</v>
      </c>
      <c r="M547" s="2">
        <v>45514</v>
      </c>
      <c r="N547" s="2">
        <v>45521</v>
      </c>
    </row>
    <row r="548" spans="1:14" x14ac:dyDescent="0.3">
      <c r="A548" t="s">
        <v>29</v>
      </c>
      <c r="B548" t="s">
        <v>35</v>
      </c>
      <c r="C548" t="s">
        <v>38</v>
      </c>
      <c r="D548" t="s">
        <v>59</v>
      </c>
      <c r="E548" t="s">
        <v>64</v>
      </c>
      <c r="F548" t="s">
        <v>74</v>
      </c>
      <c r="G548">
        <v>24100.400000000001</v>
      </c>
      <c r="H548">
        <v>15</v>
      </c>
      <c r="I548">
        <v>20485.34</v>
      </c>
      <c r="J548">
        <v>5</v>
      </c>
      <c r="K548">
        <v>102426.7</v>
      </c>
      <c r="L548">
        <v>35849.339999999997</v>
      </c>
      <c r="M548" s="2">
        <v>45307</v>
      </c>
      <c r="N548" s="2">
        <v>45312</v>
      </c>
    </row>
    <row r="549" spans="1:14" x14ac:dyDescent="0.3">
      <c r="A549" t="s">
        <v>22</v>
      </c>
      <c r="B549" t="s">
        <v>31</v>
      </c>
      <c r="C549" t="s">
        <v>47</v>
      </c>
      <c r="D549" t="s">
        <v>59</v>
      </c>
      <c r="E549" t="s">
        <v>64</v>
      </c>
      <c r="F549" t="s">
        <v>72</v>
      </c>
      <c r="G549">
        <v>4756.07</v>
      </c>
      <c r="H549">
        <v>30</v>
      </c>
      <c r="I549">
        <v>3329.2489999999998</v>
      </c>
      <c r="J549">
        <v>1</v>
      </c>
      <c r="K549">
        <v>3329.25</v>
      </c>
      <c r="L549">
        <v>1165.24</v>
      </c>
      <c r="M549" s="2">
        <v>45349</v>
      </c>
      <c r="N549" s="2">
        <v>45355</v>
      </c>
    </row>
    <row r="550" spans="1:14" x14ac:dyDescent="0.3">
      <c r="A550" t="s">
        <v>23</v>
      </c>
      <c r="B550" t="s">
        <v>35</v>
      </c>
      <c r="C550" t="s">
        <v>38</v>
      </c>
      <c r="D550" t="s">
        <v>59</v>
      </c>
      <c r="E550" t="s">
        <v>61</v>
      </c>
      <c r="F550" t="s">
        <v>65</v>
      </c>
      <c r="G550">
        <v>29705.96</v>
      </c>
      <c r="H550">
        <v>30</v>
      </c>
      <c r="I550">
        <v>20794.171999999999</v>
      </c>
      <c r="J550">
        <v>3</v>
      </c>
      <c r="K550">
        <v>62382.52</v>
      </c>
      <c r="L550">
        <v>21833.88</v>
      </c>
      <c r="M550" s="2">
        <v>45416</v>
      </c>
      <c r="N550" s="2">
        <v>45420</v>
      </c>
    </row>
    <row r="551" spans="1:14" x14ac:dyDescent="0.3">
      <c r="A551" t="s">
        <v>30</v>
      </c>
      <c r="B551" t="s">
        <v>33</v>
      </c>
      <c r="C551" t="s">
        <v>50</v>
      </c>
      <c r="D551" t="s">
        <v>59</v>
      </c>
      <c r="E551" t="s">
        <v>63</v>
      </c>
      <c r="F551" t="s">
        <v>68</v>
      </c>
      <c r="G551">
        <v>17330.97</v>
      </c>
      <c r="H551">
        <v>30</v>
      </c>
      <c r="I551">
        <v>12131.679</v>
      </c>
      <c r="J551">
        <v>1</v>
      </c>
      <c r="K551">
        <v>12131.68</v>
      </c>
      <c r="L551">
        <v>4246.09</v>
      </c>
      <c r="M551" s="2">
        <v>45470</v>
      </c>
      <c r="N551" s="2">
        <v>45478</v>
      </c>
    </row>
    <row r="552" spans="1:14" x14ac:dyDescent="0.3">
      <c r="A552" t="s">
        <v>16</v>
      </c>
      <c r="B552" t="s">
        <v>31</v>
      </c>
      <c r="C552" t="s">
        <v>42</v>
      </c>
      <c r="D552" t="s">
        <v>60</v>
      </c>
      <c r="E552" t="s">
        <v>61</v>
      </c>
      <c r="F552" t="s">
        <v>71</v>
      </c>
      <c r="G552">
        <v>2003.27</v>
      </c>
      <c r="H552">
        <v>15</v>
      </c>
      <c r="I552">
        <v>1702.7795000000001</v>
      </c>
      <c r="J552">
        <v>2</v>
      </c>
      <c r="K552">
        <v>3405.56</v>
      </c>
      <c r="L552">
        <v>510.83</v>
      </c>
      <c r="M552" s="2">
        <v>45841</v>
      </c>
      <c r="N552" s="2">
        <v>45847</v>
      </c>
    </row>
    <row r="553" spans="1:14" x14ac:dyDescent="0.3">
      <c r="A553" t="s">
        <v>30</v>
      </c>
      <c r="B553" t="s">
        <v>33</v>
      </c>
      <c r="C553" t="s">
        <v>39</v>
      </c>
      <c r="D553" t="s">
        <v>58</v>
      </c>
      <c r="E553" t="s">
        <v>64</v>
      </c>
      <c r="F553" t="s">
        <v>72</v>
      </c>
      <c r="G553">
        <v>16783.41</v>
      </c>
      <c r="H553">
        <v>10</v>
      </c>
      <c r="I553">
        <v>15105.069</v>
      </c>
      <c r="J553">
        <v>1</v>
      </c>
      <c r="K553">
        <v>15105.07</v>
      </c>
      <c r="L553">
        <v>3776.27</v>
      </c>
      <c r="M553" s="2">
        <v>45342</v>
      </c>
      <c r="N553" s="2">
        <v>45350</v>
      </c>
    </row>
    <row r="554" spans="1:14" x14ac:dyDescent="0.3">
      <c r="A554" t="s">
        <v>20</v>
      </c>
      <c r="B554" t="s">
        <v>32</v>
      </c>
      <c r="C554" t="s">
        <v>40</v>
      </c>
      <c r="D554" t="s">
        <v>59</v>
      </c>
      <c r="E554" t="s">
        <v>64</v>
      </c>
      <c r="F554" t="s">
        <v>76</v>
      </c>
      <c r="G554">
        <v>38712.31</v>
      </c>
      <c r="H554">
        <v>10</v>
      </c>
      <c r="I554">
        <v>34841.078999999998</v>
      </c>
      <c r="J554">
        <v>4</v>
      </c>
      <c r="K554">
        <v>139364.32</v>
      </c>
      <c r="L554">
        <v>48777.51</v>
      </c>
      <c r="M554" s="2">
        <v>45591</v>
      </c>
      <c r="N554" s="2">
        <v>45601</v>
      </c>
    </row>
    <row r="555" spans="1:14" x14ac:dyDescent="0.3">
      <c r="A555" t="s">
        <v>25</v>
      </c>
      <c r="B555" t="s">
        <v>34</v>
      </c>
      <c r="C555" t="s">
        <v>41</v>
      </c>
      <c r="D555" t="s">
        <v>60</v>
      </c>
      <c r="E555" t="s">
        <v>63</v>
      </c>
      <c r="F555" t="s">
        <v>73</v>
      </c>
      <c r="G555">
        <v>627.07000000000005</v>
      </c>
      <c r="H555">
        <v>0</v>
      </c>
      <c r="I555">
        <v>627.07000000000005</v>
      </c>
      <c r="J555">
        <v>5</v>
      </c>
      <c r="K555">
        <v>3135.35</v>
      </c>
      <c r="L555">
        <v>470.3</v>
      </c>
      <c r="M555" s="2">
        <v>45832</v>
      </c>
      <c r="N555" s="2">
        <v>45838</v>
      </c>
    </row>
    <row r="556" spans="1:14" x14ac:dyDescent="0.3">
      <c r="A556" t="s">
        <v>23</v>
      </c>
      <c r="B556" t="s">
        <v>35</v>
      </c>
      <c r="C556" t="s">
        <v>38</v>
      </c>
      <c r="D556" t="s">
        <v>59</v>
      </c>
      <c r="E556" t="s">
        <v>63</v>
      </c>
      <c r="F556" t="s">
        <v>68</v>
      </c>
      <c r="G556">
        <v>27496.91</v>
      </c>
      <c r="H556">
        <v>5</v>
      </c>
      <c r="I556">
        <v>26122.0645</v>
      </c>
      <c r="J556">
        <v>1</v>
      </c>
      <c r="K556">
        <v>26122.06</v>
      </c>
      <c r="L556">
        <v>9142.7199999999993</v>
      </c>
      <c r="M556" s="2">
        <v>45700</v>
      </c>
      <c r="N556" s="2">
        <v>45702</v>
      </c>
    </row>
    <row r="557" spans="1:14" x14ac:dyDescent="0.3">
      <c r="A557" t="s">
        <v>29</v>
      </c>
      <c r="B557" t="s">
        <v>35</v>
      </c>
      <c r="C557" t="s">
        <v>44</v>
      </c>
      <c r="D557" t="s">
        <v>60</v>
      </c>
      <c r="E557" t="s">
        <v>64</v>
      </c>
      <c r="F557" t="s">
        <v>72</v>
      </c>
      <c r="G557">
        <v>16966.18</v>
      </c>
      <c r="H557">
        <v>10</v>
      </c>
      <c r="I557">
        <v>15269.562</v>
      </c>
      <c r="J557">
        <v>2</v>
      </c>
      <c r="K557">
        <v>30539.119999999999</v>
      </c>
      <c r="L557">
        <v>4580.87</v>
      </c>
      <c r="M557" s="2">
        <v>45774</v>
      </c>
      <c r="N557" s="2">
        <v>45781</v>
      </c>
    </row>
    <row r="558" spans="1:14" x14ac:dyDescent="0.3">
      <c r="A558" t="s">
        <v>16</v>
      </c>
      <c r="B558" t="s">
        <v>31</v>
      </c>
      <c r="C558" t="s">
        <v>47</v>
      </c>
      <c r="D558" t="s">
        <v>59</v>
      </c>
      <c r="E558" t="s">
        <v>62</v>
      </c>
      <c r="F558" t="s">
        <v>67</v>
      </c>
      <c r="G558">
        <v>3082.65</v>
      </c>
      <c r="H558">
        <v>10</v>
      </c>
      <c r="I558">
        <v>2774.3850000000002</v>
      </c>
      <c r="J558">
        <v>3</v>
      </c>
      <c r="K558">
        <v>8323.16</v>
      </c>
      <c r="L558">
        <v>2913.11</v>
      </c>
      <c r="M558" s="2">
        <v>45626</v>
      </c>
      <c r="N558" s="2">
        <v>45635</v>
      </c>
    </row>
    <row r="559" spans="1:14" x14ac:dyDescent="0.3">
      <c r="A559" t="s">
        <v>26</v>
      </c>
      <c r="B559" t="s">
        <v>32</v>
      </c>
      <c r="C559" t="s">
        <v>40</v>
      </c>
      <c r="D559" t="s">
        <v>59</v>
      </c>
      <c r="E559" t="s">
        <v>63</v>
      </c>
      <c r="F559" t="s">
        <v>68</v>
      </c>
      <c r="G559">
        <v>39923.08</v>
      </c>
      <c r="H559">
        <v>15</v>
      </c>
      <c r="I559">
        <v>33934.618000000002</v>
      </c>
      <c r="J559">
        <v>5</v>
      </c>
      <c r="K559">
        <v>169673.09</v>
      </c>
      <c r="L559">
        <v>59385.58</v>
      </c>
      <c r="M559" s="2">
        <v>45813</v>
      </c>
      <c r="N559" s="2">
        <v>45820</v>
      </c>
    </row>
    <row r="560" spans="1:14" x14ac:dyDescent="0.3">
      <c r="A560" t="s">
        <v>26</v>
      </c>
      <c r="B560" t="s">
        <v>32</v>
      </c>
      <c r="C560" t="s">
        <v>54</v>
      </c>
      <c r="D560" t="s">
        <v>60</v>
      </c>
      <c r="E560" t="s">
        <v>61</v>
      </c>
      <c r="F560" t="s">
        <v>65</v>
      </c>
      <c r="G560">
        <v>28418.32</v>
      </c>
      <c r="H560">
        <v>0</v>
      </c>
      <c r="I560">
        <v>28418.32</v>
      </c>
      <c r="J560">
        <v>4</v>
      </c>
      <c r="K560">
        <v>113673.28</v>
      </c>
      <c r="L560">
        <v>17050.990000000002</v>
      </c>
      <c r="M560" s="2">
        <v>45475</v>
      </c>
      <c r="N560" s="2">
        <v>45481</v>
      </c>
    </row>
    <row r="561" spans="1:14" x14ac:dyDescent="0.3">
      <c r="A561" t="s">
        <v>17</v>
      </c>
      <c r="B561" t="s">
        <v>32</v>
      </c>
      <c r="C561" t="s">
        <v>54</v>
      </c>
      <c r="D561" t="s">
        <v>60</v>
      </c>
      <c r="E561" t="s">
        <v>62</v>
      </c>
      <c r="F561" t="s">
        <v>69</v>
      </c>
      <c r="G561">
        <v>6914.96</v>
      </c>
      <c r="H561">
        <v>20</v>
      </c>
      <c r="I561">
        <v>5531.9680000000008</v>
      </c>
      <c r="J561">
        <v>5</v>
      </c>
      <c r="K561">
        <v>27659.84</v>
      </c>
      <c r="L561">
        <v>4148.9799999999996</v>
      </c>
      <c r="M561" s="2">
        <v>45554</v>
      </c>
      <c r="N561" s="2">
        <v>45557</v>
      </c>
    </row>
    <row r="562" spans="1:14" x14ac:dyDescent="0.3">
      <c r="A562" t="s">
        <v>24</v>
      </c>
      <c r="B562" t="s">
        <v>32</v>
      </c>
      <c r="C562" t="s">
        <v>54</v>
      </c>
      <c r="D562" t="s">
        <v>60</v>
      </c>
      <c r="E562" t="s">
        <v>62</v>
      </c>
      <c r="F562" t="s">
        <v>67</v>
      </c>
      <c r="G562">
        <v>22645.17</v>
      </c>
      <c r="H562">
        <v>15</v>
      </c>
      <c r="I562">
        <v>19248.394499999999</v>
      </c>
      <c r="J562">
        <v>1</v>
      </c>
      <c r="K562">
        <v>19248.39</v>
      </c>
      <c r="L562">
        <v>2887.26</v>
      </c>
      <c r="M562" s="2">
        <v>45461</v>
      </c>
      <c r="N562" s="2">
        <v>45465</v>
      </c>
    </row>
    <row r="563" spans="1:14" x14ac:dyDescent="0.3">
      <c r="A563" t="s">
        <v>17</v>
      </c>
      <c r="B563" t="s">
        <v>32</v>
      </c>
      <c r="C563" t="s">
        <v>37</v>
      </c>
      <c r="D563" t="s">
        <v>59</v>
      </c>
      <c r="E563" t="s">
        <v>63</v>
      </c>
      <c r="F563" t="s">
        <v>73</v>
      </c>
      <c r="G563">
        <v>9108.09</v>
      </c>
      <c r="H563">
        <v>30</v>
      </c>
      <c r="I563">
        <v>6375.6629999999996</v>
      </c>
      <c r="J563">
        <v>5</v>
      </c>
      <c r="K563">
        <v>31878.31</v>
      </c>
      <c r="L563">
        <v>11157.41</v>
      </c>
      <c r="M563" s="2">
        <v>45704</v>
      </c>
      <c r="N563" s="2">
        <v>45709</v>
      </c>
    </row>
    <row r="564" spans="1:14" x14ac:dyDescent="0.3">
      <c r="A564" t="s">
        <v>25</v>
      </c>
      <c r="B564" t="s">
        <v>34</v>
      </c>
      <c r="C564" t="s">
        <v>45</v>
      </c>
      <c r="D564" t="s">
        <v>59</v>
      </c>
      <c r="E564" t="s">
        <v>62</v>
      </c>
      <c r="F564" t="s">
        <v>67</v>
      </c>
      <c r="G564">
        <v>976.07</v>
      </c>
      <c r="H564">
        <v>5</v>
      </c>
      <c r="I564">
        <v>927.26649999999995</v>
      </c>
      <c r="J564">
        <v>3</v>
      </c>
      <c r="K564">
        <v>2781.8</v>
      </c>
      <c r="L564">
        <v>973.63</v>
      </c>
      <c r="M564" s="2">
        <v>45845</v>
      </c>
      <c r="N564" s="2">
        <v>45853</v>
      </c>
    </row>
    <row r="565" spans="1:14" x14ac:dyDescent="0.3">
      <c r="A565" t="s">
        <v>25</v>
      </c>
      <c r="B565" t="s">
        <v>34</v>
      </c>
      <c r="C565" t="s">
        <v>51</v>
      </c>
      <c r="D565" t="s">
        <v>59</v>
      </c>
      <c r="E565" t="s">
        <v>61</v>
      </c>
      <c r="F565" t="s">
        <v>71</v>
      </c>
      <c r="G565">
        <v>983.89</v>
      </c>
      <c r="H565">
        <v>30</v>
      </c>
      <c r="I565">
        <v>688.72299999999996</v>
      </c>
      <c r="J565">
        <v>3</v>
      </c>
      <c r="K565">
        <v>2066.17</v>
      </c>
      <c r="L565">
        <v>723.16</v>
      </c>
      <c r="M565" s="2">
        <v>45541</v>
      </c>
      <c r="N565" s="2">
        <v>45549</v>
      </c>
    </row>
    <row r="566" spans="1:14" x14ac:dyDescent="0.3">
      <c r="A566" t="s">
        <v>28</v>
      </c>
      <c r="B566" t="s">
        <v>34</v>
      </c>
      <c r="C566" t="s">
        <v>51</v>
      </c>
      <c r="D566" t="s">
        <v>59</v>
      </c>
      <c r="E566" t="s">
        <v>62</v>
      </c>
      <c r="F566" t="s">
        <v>67</v>
      </c>
      <c r="G566">
        <v>1928.84</v>
      </c>
      <c r="H566">
        <v>25</v>
      </c>
      <c r="I566">
        <v>1446.63</v>
      </c>
      <c r="J566">
        <v>4</v>
      </c>
      <c r="K566">
        <v>5786.52</v>
      </c>
      <c r="L566">
        <v>2025.28</v>
      </c>
      <c r="M566" s="2">
        <v>45647</v>
      </c>
      <c r="N566" s="2">
        <v>45649</v>
      </c>
    </row>
    <row r="567" spans="1:14" x14ac:dyDescent="0.3">
      <c r="A567" t="s">
        <v>16</v>
      </c>
      <c r="B567" t="s">
        <v>31</v>
      </c>
      <c r="C567" t="s">
        <v>47</v>
      </c>
      <c r="D567" t="s">
        <v>59</v>
      </c>
      <c r="E567" t="s">
        <v>62</v>
      </c>
      <c r="F567" t="s">
        <v>66</v>
      </c>
      <c r="G567">
        <v>3067.43</v>
      </c>
      <c r="H567">
        <v>20</v>
      </c>
      <c r="I567">
        <v>2453.944</v>
      </c>
      <c r="J567">
        <v>3</v>
      </c>
      <c r="K567">
        <v>7361.83</v>
      </c>
      <c r="L567">
        <v>2576.64</v>
      </c>
      <c r="M567" s="2">
        <v>45337</v>
      </c>
      <c r="N567" s="2">
        <v>45339</v>
      </c>
    </row>
    <row r="568" spans="1:14" x14ac:dyDescent="0.3">
      <c r="A568" t="s">
        <v>22</v>
      </c>
      <c r="B568" t="s">
        <v>31</v>
      </c>
      <c r="C568" t="s">
        <v>42</v>
      </c>
      <c r="D568" t="s">
        <v>60</v>
      </c>
      <c r="E568" t="s">
        <v>61</v>
      </c>
      <c r="F568" t="s">
        <v>70</v>
      </c>
      <c r="G568">
        <v>2968.22</v>
      </c>
      <c r="H568">
        <v>15</v>
      </c>
      <c r="I568">
        <v>2522.9870000000001</v>
      </c>
      <c r="J568">
        <v>1</v>
      </c>
      <c r="K568">
        <v>2522.9899999999998</v>
      </c>
      <c r="L568">
        <v>378.45</v>
      </c>
      <c r="M568" s="2">
        <v>45747</v>
      </c>
      <c r="N568" s="2">
        <v>45757</v>
      </c>
    </row>
    <row r="569" spans="1:14" x14ac:dyDescent="0.3">
      <c r="A569" t="s">
        <v>27</v>
      </c>
      <c r="B569" t="s">
        <v>35</v>
      </c>
      <c r="C569" t="s">
        <v>44</v>
      </c>
      <c r="D569" t="s">
        <v>60</v>
      </c>
      <c r="E569" t="s">
        <v>61</v>
      </c>
      <c r="F569" t="s">
        <v>71</v>
      </c>
      <c r="G569">
        <v>6541.07</v>
      </c>
      <c r="H569">
        <v>25</v>
      </c>
      <c r="I569">
        <v>4905.8024999999998</v>
      </c>
      <c r="J569">
        <v>3</v>
      </c>
      <c r="K569">
        <v>14717.41</v>
      </c>
      <c r="L569">
        <v>2207.61</v>
      </c>
      <c r="M569" s="2">
        <v>45815</v>
      </c>
      <c r="N569" s="2">
        <v>45818</v>
      </c>
    </row>
    <row r="570" spans="1:14" x14ac:dyDescent="0.3">
      <c r="A570" t="s">
        <v>27</v>
      </c>
      <c r="B570" t="s">
        <v>35</v>
      </c>
      <c r="C570" t="s">
        <v>38</v>
      </c>
      <c r="D570" t="s">
        <v>59</v>
      </c>
      <c r="E570" t="s">
        <v>61</v>
      </c>
      <c r="F570" t="s">
        <v>65</v>
      </c>
      <c r="G570">
        <v>9708.2099999999991</v>
      </c>
      <c r="H570">
        <v>15</v>
      </c>
      <c r="I570">
        <v>8251.9784999999993</v>
      </c>
      <c r="J570">
        <v>3</v>
      </c>
      <c r="K570">
        <v>24755.94</v>
      </c>
      <c r="L570">
        <v>8664.58</v>
      </c>
      <c r="M570" s="2">
        <v>45612</v>
      </c>
      <c r="N570" s="2">
        <v>45615</v>
      </c>
    </row>
    <row r="571" spans="1:14" x14ac:dyDescent="0.3">
      <c r="A571" t="s">
        <v>27</v>
      </c>
      <c r="B571" t="s">
        <v>35</v>
      </c>
      <c r="C571" t="s">
        <v>46</v>
      </c>
      <c r="D571" t="s">
        <v>59</v>
      </c>
      <c r="E571" t="s">
        <v>62</v>
      </c>
      <c r="F571" t="s">
        <v>67</v>
      </c>
      <c r="G571">
        <v>9601.94</v>
      </c>
      <c r="H571">
        <v>5</v>
      </c>
      <c r="I571">
        <v>9121.8430000000008</v>
      </c>
      <c r="J571">
        <v>4</v>
      </c>
      <c r="K571">
        <v>36487.370000000003</v>
      </c>
      <c r="L571">
        <v>12770.58</v>
      </c>
      <c r="M571" s="2">
        <v>45501</v>
      </c>
      <c r="N571" s="2">
        <v>45507</v>
      </c>
    </row>
    <row r="572" spans="1:14" x14ac:dyDescent="0.3">
      <c r="A572" t="s">
        <v>22</v>
      </c>
      <c r="B572" t="s">
        <v>31</v>
      </c>
      <c r="C572" t="s">
        <v>42</v>
      </c>
      <c r="D572" t="s">
        <v>60</v>
      </c>
      <c r="E572" t="s">
        <v>62</v>
      </c>
      <c r="F572" t="s">
        <v>67</v>
      </c>
      <c r="G572">
        <v>3064.87</v>
      </c>
      <c r="H572">
        <v>0</v>
      </c>
      <c r="I572">
        <v>3064.87</v>
      </c>
      <c r="J572">
        <v>4</v>
      </c>
      <c r="K572">
        <v>12259.48</v>
      </c>
      <c r="L572">
        <v>1838.92</v>
      </c>
      <c r="M572" s="2">
        <v>45400</v>
      </c>
      <c r="N572" s="2">
        <v>45405</v>
      </c>
    </row>
    <row r="573" spans="1:14" x14ac:dyDescent="0.3">
      <c r="A573" t="s">
        <v>19</v>
      </c>
      <c r="B573" t="s">
        <v>33</v>
      </c>
      <c r="C573" t="s">
        <v>56</v>
      </c>
      <c r="D573" t="s">
        <v>60</v>
      </c>
      <c r="E573" t="s">
        <v>64</v>
      </c>
      <c r="F573" t="s">
        <v>72</v>
      </c>
      <c r="G573">
        <v>1830.55</v>
      </c>
      <c r="H573">
        <v>20</v>
      </c>
      <c r="I573">
        <v>1464.44</v>
      </c>
      <c r="J573">
        <v>5</v>
      </c>
      <c r="K573">
        <v>7322.2</v>
      </c>
      <c r="L573">
        <v>1098.33</v>
      </c>
      <c r="M573" s="2">
        <v>45524</v>
      </c>
      <c r="N573" s="2">
        <v>45528</v>
      </c>
    </row>
    <row r="574" spans="1:14" x14ac:dyDescent="0.3">
      <c r="A574" t="s">
        <v>17</v>
      </c>
      <c r="B574" t="s">
        <v>32</v>
      </c>
      <c r="C574" t="s">
        <v>43</v>
      </c>
      <c r="D574" t="s">
        <v>58</v>
      </c>
      <c r="E574" t="s">
        <v>63</v>
      </c>
      <c r="F574" t="s">
        <v>75</v>
      </c>
      <c r="G574">
        <v>7853.87</v>
      </c>
      <c r="H574">
        <v>0</v>
      </c>
      <c r="I574">
        <v>7853.87</v>
      </c>
      <c r="J574">
        <v>5</v>
      </c>
      <c r="K574">
        <v>39269.35</v>
      </c>
      <c r="L574">
        <v>9817.34</v>
      </c>
      <c r="M574" s="2">
        <v>45615</v>
      </c>
      <c r="N574" s="2">
        <v>45617</v>
      </c>
    </row>
    <row r="575" spans="1:14" x14ac:dyDescent="0.3">
      <c r="A575" t="s">
        <v>18</v>
      </c>
      <c r="B575" t="s">
        <v>33</v>
      </c>
      <c r="C575" t="s">
        <v>56</v>
      </c>
      <c r="D575" t="s">
        <v>60</v>
      </c>
      <c r="E575" t="s">
        <v>64</v>
      </c>
      <c r="F575" t="s">
        <v>74</v>
      </c>
      <c r="G575">
        <v>46253.2</v>
      </c>
      <c r="H575">
        <v>30</v>
      </c>
      <c r="I575">
        <v>32377.239999999991</v>
      </c>
      <c r="J575">
        <v>5</v>
      </c>
      <c r="K575">
        <v>161886.20000000001</v>
      </c>
      <c r="L575">
        <v>24282.93</v>
      </c>
      <c r="M575" s="2">
        <v>45471</v>
      </c>
      <c r="N575" s="2">
        <v>45481</v>
      </c>
    </row>
    <row r="576" spans="1:14" x14ac:dyDescent="0.3">
      <c r="A576" t="s">
        <v>26</v>
      </c>
      <c r="B576" t="s">
        <v>32</v>
      </c>
      <c r="C576" t="s">
        <v>43</v>
      </c>
      <c r="D576" t="s">
        <v>58</v>
      </c>
      <c r="E576" t="s">
        <v>64</v>
      </c>
      <c r="F576" t="s">
        <v>74</v>
      </c>
      <c r="G576">
        <v>36834.910000000003</v>
      </c>
      <c r="H576">
        <v>20</v>
      </c>
      <c r="I576">
        <v>29467.928</v>
      </c>
      <c r="J576">
        <v>4</v>
      </c>
      <c r="K576">
        <v>117871.71</v>
      </c>
      <c r="L576">
        <v>29467.93</v>
      </c>
      <c r="M576" s="2">
        <v>45771</v>
      </c>
      <c r="N576" s="2">
        <v>45777</v>
      </c>
    </row>
    <row r="577" spans="1:14" x14ac:dyDescent="0.3">
      <c r="A577" t="s">
        <v>23</v>
      </c>
      <c r="B577" t="s">
        <v>35</v>
      </c>
      <c r="C577" t="s">
        <v>46</v>
      </c>
      <c r="D577" t="s">
        <v>59</v>
      </c>
      <c r="E577" t="s">
        <v>63</v>
      </c>
      <c r="F577" t="s">
        <v>73</v>
      </c>
      <c r="G577">
        <v>29190.560000000001</v>
      </c>
      <c r="H577">
        <v>30</v>
      </c>
      <c r="I577">
        <v>20433.392</v>
      </c>
      <c r="J577">
        <v>5</v>
      </c>
      <c r="K577">
        <v>102166.96</v>
      </c>
      <c r="L577">
        <v>35758.44</v>
      </c>
      <c r="M577" s="2">
        <v>45378</v>
      </c>
      <c r="N577" s="2">
        <v>45381</v>
      </c>
    </row>
    <row r="578" spans="1:14" x14ac:dyDescent="0.3">
      <c r="A578" t="s">
        <v>22</v>
      </c>
      <c r="B578" t="s">
        <v>31</v>
      </c>
      <c r="C578" t="s">
        <v>36</v>
      </c>
      <c r="D578" t="s">
        <v>58</v>
      </c>
      <c r="E578" t="s">
        <v>63</v>
      </c>
      <c r="F578" t="s">
        <v>68</v>
      </c>
      <c r="G578">
        <v>3185.45</v>
      </c>
      <c r="H578">
        <v>20</v>
      </c>
      <c r="I578">
        <v>2548.36</v>
      </c>
      <c r="J578">
        <v>2</v>
      </c>
      <c r="K578">
        <v>5096.72</v>
      </c>
      <c r="L578">
        <v>1274.18</v>
      </c>
      <c r="M578" s="2">
        <v>45789</v>
      </c>
      <c r="N578" s="2">
        <v>45798</v>
      </c>
    </row>
    <row r="579" spans="1:14" x14ac:dyDescent="0.3">
      <c r="A579" t="s">
        <v>30</v>
      </c>
      <c r="B579" t="s">
        <v>33</v>
      </c>
      <c r="C579" t="s">
        <v>53</v>
      </c>
      <c r="D579" t="s">
        <v>58</v>
      </c>
      <c r="E579" t="s">
        <v>63</v>
      </c>
      <c r="F579" t="s">
        <v>73</v>
      </c>
      <c r="G579">
        <v>13812.68</v>
      </c>
      <c r="H579">
        <v>0</v>
      </c>
      <c r="I579">
        <v>13812.68</v>
      </c>
      <c r="J579">
        <v>5</v>
      </c>
      <c r="K579">
        <v>69063.399999999994</v>
      </c>
      <c r="L579">
        <v>17265.849999999999</v>
      </c>
      <c r="M579" s="2">
        <v>45426</v>
      </c>
      <c r="N579" s="2">
        <v>45433</v>
      </c>
    </row>
    <row r="580" spans="1:14" x14ac:dyDescent="0.3">
      <c r="A580" t="s">
        <v>29</v>
      </c>
      <c r="B580" t="s">
        <v>35</v>
      </c>
      <c r="C580" t="s">
        <v>38</v>
      </c>
      <c r="D580" t="s">
        <v>59</v>
      </c>
      <c r="E580" t="s">
        <v>63</v>
      </c>
      <c r="F580" t="s">
        <v>68</v>
      </c>
      <c r="G580">
        <v>21094.48</v>
      </c>
      <c r="H580">
        <v>5</v>
      </c>
      <c r="I580">
        <v>20039.756000000001</v>
      </c>
      <c r="J580">
        <v>2</v>
      </c>
      <c r="K580">
        <v>40079.51</v>
      </c>
      <c r="L580">
        <v>14027.83</v>
      </c>
      <c r="M580" s="2">
        <v>45369</v>
      </c>
      <c r="N580" s="2">
        <v>45377</v>
      </c>
    </row>
    <row r="581" spans="1:14" x14ac:dyDescent="0.3">
      <c r="A581" t="s">
        <v>29</v>
      </c>
      <c r="B581" t="s">
        <v>35</v>
      </c>
      <c r="C581" t="s">
        <v>38</v>
      </c>
      <c r="D581" t="s">
        <v>59</v>
      </c>
      <c r="E581" t="s">
        <v>63</v>
      </c>
      <c r="F581" t="s">
        <v>75</v>
      </c>
      <c r="G581">
        <v>20975.13</v>
      </c>
      <c r="H581">
        <v>15</v>
      </c>
      <c r="I581">
        <v>17828.860499999999</v>
      </c>
      <c r="J581">
        <v>5</v>
      </c>
      <c r="K581">
        <v>89144.3</v>
      </c>
      <c r="L581">
        <v>31200.5</v>
      </c>
      <c r="M581" s="2">
        <v>45547</v>
      </c>
      <c r="N581" s="2">
        <v>45556</v>
      </c>
    </row>
    <row r="582" spans="1:14" x14ac:dyDescent="0.3">
      <c r="A582" t="s">
        <v>27</v>
      </c>
      <c r="B582" t="s">
        <v>35</v>
      </c>
      <c r="C582" t="s">
        <v>44</v>
      </c>
      <c r="D582" t="s">
        <v>60</v>
      </c>
      <c r="E582" t="s">
        <v>64</v>
      </c>
      <c r="F582" t="s">
        <v>76</v>
      </c>
      <c r="G582">
        <v>7001.03</v>
      </c>
      <c r="H582">
        <v>0</v>
      </c>
      <c r="I582">
        <v>7001.03</v>
      </c>
      <c r="J582">
        <v>5</v>
      </c>
      <c r="K582">
        <v>35005.15</v>
      </c>
      <c r="L582">
        <v>5250.77</v>
      </c>
      <c r="M582" s="2">
        <v>45677</v>
      </c>
      <c r="N582" s="2">
        <v>45686</v>
      </c>
    </row>
    <row r="583" spans="1:14" x14ac:dyDescent="0.3">
      <c r="A583" t="s">
        <v>18</v>
      </c>
      <c r="B583" t="s">
        <v>33</v>
      </c>
      <c r="C583" t="s">
        <v>57</v>
      </c>
      <c r="D583" t="s">
        <v>60</v>
      </c>
      <c r="E583" t="s">
        <v>61</v>
      </c>
      <c r="F583" t="s">
        <v>65</v>
      </c>
      <c r="G583">
        <v>41536.76</v>
      </c>
      <c r="H583">
        <v>20</v>
      </c>
      <c r="I583">
        <v>33229.408000000003</v>
      </c>
      <c r="J583">
        <v>4</v>
      </c>
      <c r="K583">
        <v>132917.63</v>
      </c>
      <c r="L583">
        <v>19937.64</v>
      </c>
      <c r="M583" s="2">
        <v>45530</v>
      </c>
      <c r="N583" s="2">
        <v>45534</v>
      </c>
    </row>
    <row r="584" spans="1:14" x14ac:dyDescent="0.3">
      <c r="A584" t="s">
        <v>17</v>
      </c>
      <c r="B584" t="s">
        <v>32</v>
      </c>
      <c r="C584" t="s">
        <v>43</v>
      </c>
      <c r="D584" t="s">
        <v>58</v>
      </c>
      <c r="E584" t="s">
        <v>64</v>
      </c>
      <c r="F584" t="s">
        <v>72</v>
      </c>
      <c r="G584">
        <v>8339.91</v>
      </c>
      <c r="H584">
        <v>10</v>
      </c>
      <c r="I584">
        <v>7505.9189999999999</v>
      </c>
      <c r="J584">
        <v>4</v>
      </c>
      <c r="K584">
        <v>30023.68</v>
      </c>
      <c r="L584">
        <v>7505.92</v>
      </c>
      <c r="M584" s="2">
        <v>45359</v>
      </c>
      <c r="N584" s="2">
        <v>45365</v>
      </c>
    </row>
    <row r="585" spans="1:14" x14ac:dyDescent="0.3">
      <c r="A585" t="s">
        <v>29</v>
      </c>
      <c r="B585" t="s">
        <v>35</v>
      </c>
      <c r="C585" t="s">
        <v>38</v>
      </c>
      <c r="D585" t="s">
        <v>59</v>
      </c>
      <c r="E585" t="s">
        <v>62</v>
      </c>
      <c r="F585" t="s">
        <v>69</v>
      </c>
      <c r="G585">
        <v>22219.08</v>
      </c>
      <c r="H585">
        <v>25</v>
      </c>
      <c r="I585">
        <v>16664.310000000001</v>
      </c>
      <c r="J585">
        <v>4</v>
      </c>
      <c r="K585">
        <v>66657.240000000005</v>
      </c>
      <c r="L585">
        <v>23330.03</v>
      </c>
      <c r="M585" s="2">
        <v>45463</v>
      </c>
      <c r="N585" s="2">
        <v>45466</v>
      </c>
    </row>
    <row r="586" spans="1:14" x14ac:dyDescent="0.3">
      <c r="A586" t="s">
        <v>26</v>
      </c>
      <c r="B586" t="s">
        <v>32</v>
      </c>
      <c r="C586" t="s">
        <v>37</v>
      </c>
      <c r="D586" t="s">
        <v>59</v>
      </c>
      <c r="E586" t="s">
        <v>64</v>
      </c>
      <c r="F586" t="s">
        <v>74</v>
      </c>
      <c r="G586">
        <v>44882.8</v>
      </c>
      <c r="H586">
        <v>0</v>
      </c>
      <c r="I586">
        <v>44882.8</v>
      </c>
      <c r="J586">
        <v>1</v>
      </c>
      <c r="K586">
        <v>44882.8</v>
      </c>
      <c r="L586">
        <v>15708.98</v>
      </c>
      <c r="M586" s="2">
        <v>45857</v>
      </c>
      <c r="N586" s="2">
        <v>45866</v>
      </c>
    </row>
    <row r="587" spans="1:14" x14ac:dyDescent="0.3">
      <c r="A587" t="s">
        <v>25</v>
      </c>
      <c r="B587" t="s">
        <v>34</v>
      </c>
      <c r="C587" t="s">
        <v>52</v>
      </c>
      <c r="D587" t="s">
        <v>60</v>
      </c>
      <c r="E587" t="s">
        <v>61</v>
      </c>
      <c r="F587" t="s">
        <v>71</v>
      </c>
      <c r="G587">
        <v>672.18</v>
      </c>
      <c r="H587">
        <v>15</v>
      </c>
      <c r="I587">
        <v>571.35299999999995</v>
      </c>
      <c r="J587">
        <v>3</v>
      </c>
      <c r="K587">
        <v>1714.06</v>
      </c>
      <c r="L587">
        <v>257.11</v>
      </c>
      <c r="M587" s="2">
        <v>45584</v>
      </c>
      <c r="N587" s="2">
        <v>45593</v>
      </c>
    </row>
    <row r="588" spans="1:14" x14ac:dyDescent="0.3">
      <c r="A588" t="s">
        <v>24</v>
      </c>
      <c r="B588" t="s">
        <v>32</v>
      </c>
      <c r="C588" t="s">
        <v>43</v>
      </c>
      <c r="D588" t="s">
        <v>58</v>
      </c>
      <c r="E588" t="s">
        <v>62</v>
      </c>
      <c r="F588" t="s">
        <v>66</v>
      </c>
      <c r="G588">
        <v>26595.81</v>
      </c>
      <c r="H588">
        <v>20</v>
      </c>
      <c r="I588">
        <v>21276.648000000001</v>
      </c>
      <c r="J588">
        <v>1</v>
      </c>
      <c r="K588">
        <v>21276.65</v>
      </c>
      <c r="L588">
        <v>5319.16</v>
      </c>
      <c r="M588" s="2">
        <v>45733</v>
      </c>
      <c r="N588" s="2">
        <v>45739</v>
      </c>
    </row>
    <row r="589" spans="1:14" x14ac:dyDescent="0.3">
      <c r="A589" t="s">
        <v>27</v>
      </c>
      <c r="B589" t="s">
        <v>35</v>
      </c>
      <c r="C589" t="s">
        <v>46</v>
      </c>
      <c r="D589" t="s">
        <v>59</v>
      </c>
      <c r="E589" t="s">
        <v>63</v>
      </c>
      <c r="F589" t="s">
        <v>75</v>
      </c>
      <c r="G589">
        <v>9045.32</v>
      </c>
      <c r="H589">
        <v>20</v>
      </c>
      <c r="I589">
        <v>7236.2560000000003</v>
      </c>
      <c r="J589">
        <v>4</v>
      </c>
      <c r="K589">
        <v>28945.02</v>
      </c>
      <c r="L589">
        <v>10130.76</v>
      </c>
      <c r="M589" s="2">
        <v>45837</v>
      </c>
      <c r="N589" s="2">
        <v>45845</v>
      </c>
    </row>
    <row r="590" spans="1:14" x14ac:dyDescent="0.3">
      <c r="A590" t="s">
        <v>17</v>
      </c>
      <c r="B590" t="s">
        <v>32</v>
      </c>
      <c r="C590" t="s">
        <v>54</v>
      </c>
      <c r="D590" t="s">
        <v>60</v>
      </c>
      <c r="E590" t="s">
        <v>64</v>
      </c>
      <c r="F590" t="s">
        <v>74</v>
      </c>
      <c r="G590">
        <v>7286.46</v>
      </c>
      <c r="H590">
        <v>0</v>
      </c>
      <c r="I590">
        <v>7286.46</v>
      </c>
      <c r="J590">
        <v>2</v>
      </c>
      <c r="K590">
        <v>14572.92</v>
      </c>
      <c r="L590">
        <v>2185.94</v>
      </c>
      <c r="M590" s="2">
        <v>45592</v>
      </c>
      <c r="N590" s="2">
        <v>45599</v>
      </c>
    </row>
    <row r="591" spans="1:14" x14ac:dyDescent="0.3">
      <c r="A591" t="s">
        <v>22</v>
      </c>
      <c r="B591" t="s">
        <v>31</v>
      </c>
      <c r="C591" t="s">
        <v>36</v>
      </c>
      <c r="D591" t="s">
        <v>58</v>
      </c>
      <c r="E591" t="s">
        <v>61</v>
      </c>
      <c r="F591" t="s">
        <v>71</v>
      </c>
      <c r="G591">
        <v>3331.2</v>
      </c>
      <c r="H591">
        <v>20</v>
      </c>
      <c r="I591">
        <v>2664.96</v>
      </c>
      <c r="J591">
        <v>2</v>
      </c>
      <c r="K591">
        <v>5329.92</v>
      </c>
      <c r="L591">
        <v>1332.48</v>
      </c>
      <c r="M591" s="2">
        <v>45825</v>
      </c>
      <c r="N591" s="2">
        <v>45834</v>
      </c>
    </row>
    <row r="592" spans="1:14" x14ac:dyDescent="0.3">
      <c r="A592" t="s">
        <v>17</v>
      </c>
      <c r="B592" t="s">
        <v>32</v>
      </c>
      <c r="C592" t="s">
        <v>43</v>
      </c>
      <c r="D592" t="s">
        <v>58</v>
      </c>
      <c r="E592" t="s">
        <v>63</v>
      </c>
      <c r="F592" t="s">
        <v>73</v>
      </c>
      <c r="G592">
        <v>7626.35</v>
      </c>
      <c r="H592">
        <v>0</v>
      </c>
      <c r="I592">
        <v>7626.35</v>
      </c>
      <c r="J592">
        <v>1</v>
      </c>
      <c r="K592">
        <v>7626.35</v>
      </c>
      <c r="L592">
        <v>1906.59</v>
      </c>
      <c r="M592" s="2">
        <v>45496</v>
      </c>
      <c r="N592" s="2">
        <v>45501</v>
      </c>
    </row>
    <row r="593" spans="1:14" x14ac:dyDescent="0.3">
      <c r="A593" t="s">
        <v>29</v>
      </c>
      <c r="B593" t="s">
        <v>35</v>
      </c>
      <c r="C593" t="s">
        <v>46</v>
      </c>
      <c r="D593" t="s">
        <v>59</v>
      </c>
      <c r="E593" t="s">
        <v>62</v>
      </c>
      <c r="F593" t="s">
        <v>67</v>
      </c>
      <c r="G593">
        <v>22040.32</v>
      </c>
      <c r="H593">
        <v>5</v>
      </c>
      <c r="I593">
        <v>20938.304</v>
      </c>
      <c r="J593">
        <v>2</v>
      </c>
      <c r="K593">
        <v>41876.61</v>
      </c>
      <c r="L593">
        <v>14656.81</v>
      </c>
      <c r="M593" s="2">
        <v>45586</v>
      </c>
      <c r="N593" s="2">
        <v>45590</v>
      </c>
    </row>
    <row r="594" spans="1:14" x14ac:dyDescent="0.3">
      <c r="A594" t="s">
        <v>24</v>
      </c>
      <c r="B594" t="s">
        <v>32</v>
      </c>
      <c r="C594" t="s">
        <v>54</v>
      </c>
      <c r="D594" t="s">
        <v>60</v>
      </c>
      <c r="E594" t="s">
        <v>64</v>
      </c>
      <c r="F594" t="s">
        <v>76</v>
      </c>
      <c r="G594">
        <v>22050.84</v>
      </c>
      <c r="H594">
        <v>25</v>
      </c>
      <c r="I594">
        <v>16538.13</v>
      </c>
      <c r="J594">
        <v>5</v>
      </c>
      <c r="K594">
        <v>82690.649999999994</v>
      </c>
      <c r="L594">
        <v>12403.6</v>
      </c>
      <c r="M594" s="2">
        <v>45489</v>
      </c>
      <c r="N594" s="2">
        <v>45495</v>
      </c>
    </row>
    <row r="595" spans="1:14" x14ac:dyDescent="0.3">
      <c r="A595" t="s">
        <v>30</v>
      </c>
      <c r="B595" t="s">
        <v>33</v>
      </c>
      <c r="C595" t="s">
        <v>57</v>
      </c>
      <c r="D595" t="s">
        <v>60</v>
      </c>
      <c r="E595" t="s">
        <v>64</v>
      </c>
      <c r="F595" t="s">
        <v>74</v>
      </c>
      <c r="G595">
        <v>13633</v>
      </c>
      <c r="H595">
        <v>0</v>
      </c>
      <c r="I595">
        <v>13633</v>
      </c>
      <c r="J595">
        <v>5</v>
      </c>
      <c r="K595">
        <v>68165</v>
      </c>
      <c r="L595">
        <v>10224.75</v>
      </c>
      <c r="M595" s="2">
        <v>45796</v>
      </c>
      <c r="N595" s="2">
        <v>45799</v>
      </c>
    </row>
    <row r="596" spans="1:14" x14ac:dyDescent="0.3">
      <c r="A596" t="s">
        <v>17</v>
      </c>
      <c r="B596" t="s">
        <v>32</v>
      </c>
      <c r="C596" t="s">
        <v>37</v>
      </c>
      <c r="D596" t="s">
        <v>59</v>
      </c>
      <c r="E596" t="s">
        <v>63</v>
      </c>
      <c r="F596" t="s">
        <v>73</v>
      </c>
      <c r="G596">
        <v>9433.6299999999992</v>
      </c>
      <c r="H596">
        <v>20</v>
      </c>
      <c r="I596">
        <v>7546.9040000000005</v>
      </c>
      <c r="J596">
        <v>4</v>
      </c>
      <c r="K596">
        <v>30187.62</v>
      </c>
      <c r="L596">
        <v>10565.67</v>
      </c>
      <c r="M596" s="2">
        <v>45666</v>
      </c>
      <c r="N596" s="2">
        <v>45675</v>
      </c>
    </row>
    <row r="597" spans="1:14" x14ac:dyDescent="0.3">
      <c r="A597" t="s">
        <v>16</v>
      </c>
      <c r="B597" t="s">
        <v>31</v>
      </c>
      <c r="C597" t="s">
        <v>36</v>
      </c>
      <c r="D597" t="s">
        <v>58</v>
      </c>
      <c r="E597" t="s">
        <v>64</v>
      </c>
      <c r="F597" t="s">
        <v>76</v>
      </c>
      <c r="G597">
        <v>2770.56</v>
      </c>
      <c r="H597">
        <v>0</v>
      </c>
      <c r="I597">
        <v>2770.56</v>
      </c>
      <c r="J597">
        <v>2</v>
      </c>
      <c r="K597">
        <v>5541.12</v>
      </c>
      <c r="L597">
        <v>1385.28</v>
      </c>
      <c r="M597" s="2">
        <v>45755</v>
      </c>
      <c r="N597" s="2">
        <v>45759</v>
      </c>
    </row>
    <row r="598" spans="1:14" x14ac:dyDescent="0.3">
      <c r="A598" t="s">
        <v>28</v>
      </c>
      <c r="B598" t="s">
        <v>34</v>
      </c>
      <c r="C598" t="s">
        <v>51</v>
      </c>
      <c r="D598" t="s">
        <v>59</v>
      </c>
      <c r="E598" t="s">
        <v>64</v>
      </c>
      <c r="F598" t="s">
        <v>74</v>
      </c>
      <c r="G598">
        <v>1971.41</v>
      </c>
      <c r="H598">
        <v>0</v>
      </c>
      <c r="I598">
        <v>1971.41</v>
      </c>
      <c r="J598">
        <v>4</v>
      </c>
      <c r="K598">
        <v>7885.64</v>
      </c>
      <c r="L598">
        <v>2759.97</v>
      </c>
      <c r="M598" s="2">
        <v>45771</v>
      </c>
      <c r="N598" s="2">
        <v>45781</v>
      </c>
    </row>
    <row r="599" spans="1:14" x14ac:dyDescent="0.3">
      <c r="A599" t="s">
        <v>20</v>
      </c>
      <c r="B599" t="s">
        <v>32</v>
      </c>
      <c r="C599" t="s">
        <v>43</v>
      </c>
      <c r="D599" t="s">
        <v>58</v>
      </c>
      <c r="E599" t="s">
        <v>62</v>
      </c>
      <c r="F599" t="s">
        <v>69</v>
      </c>
      <c r="G599">
        <v>32467.41</v>
      </c>
      <c r="H599">
        <v>15</v>
      </c>
      <c r="I599">
        <v>27597.298500000001</v>
      </c>
      <c r="J599">
        <v>2</v>
      </c>
      <c r="K599">
        <v>55194.6</v>
      </c>
      <c r="L599">
        <v>13798.65</v>
      </c>
      <c r="M599" s="2">
        <v>45778</v>
      </c>
      <c r="N599" s="2">
        <v>45782</v>
      </c>
    </row>
    <row r="600" spans="1:14" x14ac:dyDescent="0.3">
      <c r="A600" t="s">
        <v>19</v>
      </c>
      <c r="B600" t="s">
        <v>33</v>
      </c>
      <c r="C600" t="s">
        <v>50</v>
      </c>
      <c r="D600" t="s">
        <v>59</v>
      </c>
      <c r="E600" t="s">
        <v>62</v>
      </c>
      <c r="F600" t="s">
        <v>67</v>
      </c>
      <c r="G600">
        <v>2408.5300000000002</v>
      </c>
      <c r="H600">
        <v>30</v>
      </c>
      <c r="I600">
        <v>1685.971</v>
      </c>
      <c r="J600">
        <v>1</v>
      </c>
      <c r="K600">
        <v>1685.97</v>
      </c>
      <c r="L600">
        <v>590.09</v>
      </c>
      <c r="M600" s="2">
        <v>45678</v>
      </c>
      <c r="N600" s="2">
        <v>45686</v>
      </c>
    </row>
    <row r="601" spans="1:14" x14ac:dyDescent="0.3">
      <c r="A601" t="s">
        <v>29</v>
      </c>
      <c r="B601" t="s">
        <v>35</v>
      </c>
      <c r="C601" t="s">
        <v>46</v>
      </c>
      <c r="D601" t="s">
        <v>59</v>
      </c>
      <c r="E601" t="s">
        <v>64</v>
      </c>
      <c r="F601" t="s">
        <v>72</v>
      </c>
      <c r="G601">
        <v>24354.13</v>
      </c>
      <c r="H601">
        <v>20</v>
      </c>
      <c r="I601">
        <v>19483.304</v>
      </c>
      <c r="J601">
        <v>1</v>
      </c>
      <c r="K601">
        <v>19483.3</v>
      </c>
      <c r="L601">
        <v>6819.15</v>
      </c>
      <c r="M601" s="2">
        <v>45371</v>
      </c>
      <c r="N601" s="2">
        <v>45376</v>
      </c>
    </row>
    <row r="602" spans="1:14" x14ac:dyDescent="0.3">
      <c r="A602" t="s">
        <v>18</v>
      </c>
      <c r="B602" t="s">
        <v>33</v>
      </c>
      <c r="C602" t="s">
        <v>53</v>
      </c>
      <c r="D602" t="s">
        <v>58</v>
      </c>
      <c r="E602" t="s">
        <v>64</v>
      </c>
      <c r="F602" t="s">
        <v>74</v>
      </c>
      <c r="G602">
        <v>56323.99</v>
      </c>
      <c r="H602">
        <v>25</v>
      </c>
      <c r="I602">
        <v>42242.9925</v>
      </c>
      <c r="J602">
        <v>2</v>
      </c>
      <c r="K602">
        <v>84485.99</v>
      </c>
      <c r="L602">
        <v>21121.5</v>
      </c>
      <c r="M602" s="2">
        <v>45867</v>
      </c>
      <c r="N602" s="2">
        <v>45869</v>
      </c>
    </row>
    <row r="603" spans="1:14" x14ac:dyDescent="0.3">
      <c r="A603" t="s">
        <v>25</v>
      </c>
      <c r="B603" t="s">
        <v>34</v>
      </c>
      <c r="C603" t="s">
        <v>45</v>
      </c>
      <c r="D603" t="s">
        <v>59</v>
      </c>
      <c r="E603" t="s">
        <v>63</v>
      </c>
      <c r="F603" t="s">
        <v>75</v>
      </c>
      <c r="G603">
        <v>870.42</v>
      </c>
      <c r="H603">
        <v>0</v>
      </c>
      <c r="I603">
        <v>870.42</v>
      </c>
      <c r="J603">
        <v>2</v>
      </c>
      <c r="K603">
        <v>1740.84</v>
      </c>
      <c r="L603">
        <v>609.29</v>
      </c>
      <c r="M603" s="2">
        <v>45555</v>
      </c>
      <c r="N603" s="2">
        <v>45558</v>
      </c>
    </row>
    <row r="604" spans="1:14" x14ac:dyDescent="0.3">
      <c r="A604" t="s">
        <v>28</v>
      </c>
      <c r="B604" t="s">
        <v>34</v>
      </c>
      <c r="C604" t="s">
        <v>41</v>
      </c>
      <c r="D604" t="s">
        <v>60</v>
      </c>
      <c r="E604" t="s">
        <v>62</v>
      </c>
      <c r="F604" t="s">
        <v>67</v>
      </c>
      <c r="G604">
        <v>1390.28</v>
      </c>
      <c r="H604">
        <v>10</v>
      </c>
      <c r="I604">
        <v>1251.252</v>
      </c>
      <c r="J604">
        <v>4</v>
      </c>
      <c r="K604">
        <v>5005.01</v>
      </c>
      <c r="L604">
        <v>750.75</v>
      </c>
      <c r="M604" s="2">
        <v>45811</v>
      </c>
      <c r="N604" s="2">
        <v>45816</v>
      </c>
    </row>
    <row r="605" spans="1:14" x14ac:dyDescent="0.3">
      <c r="A605" t="s">
        <v>22</v>
      </c>
      <c r="B605" t="s">
        <v>31</v>
      </c>
      <c r="C605" t="s">
        <v>36</v>
      </c>
      <c r="D605" t="s">
        <v>58</v>
      </c>
      <c r="E605" t="s">
        <v>64</v>
      </c>
      <c r="F605" t="s">
        <v>74</v>
      </c>
      <c r="G605">
        <v>3943.85</v>
      </c>
      <c r="H605">
        <v>20</v>
      </c>
      <c r="I605">
        <v>3155.08</v>
      </c>
      <c r="J605">
        <v>2</v>
      </c>
      <c r="K605">
        <v>6310.16</v>
      </c>
      <c r="L605">
        <v>1577.54</v>
      </c>
      <c r="M605" s="2">
        <v>45467</v>
      </c>
      <c r="N605" s="2">
        <v>45472</v>
      </c>
    </row>
    <row r="606" spans="1:14" x14ac:dyDescent="0.3">
      <c r="A606" t="s">
        <v>27</v>
      </c>
      <c r="B606" t="s">
        <v>35</v>
      </c>
      <c r="C606" t="s">
        <v>44</v>
      </c>
      <c r="D606" t="s">
        <v>60</v>
      </c>
      <c r="E606" t="s">
        <v>61</v>
      </c>
      <c r="F606" t="s">
        <v>65</v>
      </c>
      <c r="G606">
        <v>6600.14</v>
      </c>
      <c r="H606">
        <v>25</v>
      </c>
      <c r="I606">
        <v>4950.1049999999996</v>
      </c>
      <c r="J606">
        <v>3</v>
      </c>
      <c r="K606">
        <v>14850.32</v>
      </c>
      <c r="L606">
        <v>2227.5500000000002</v>
      </c>
      <c r="M606" s="2">
        <v>45725</v>
      </c>
      <c r="N606" s="2">
        <v>45729</v>
      </c>
    </row>
    <row r="607" spans="1:14" x14ac:dyDescent="0.3">
      <c r="A607" t="s">
        <v>22</v>
      </c>
      <c r="B607" t="s">
        <v>31</v>
      </c>
      <c r="C607" t="s">
        <v>42</v>
      </c>
      <c r="D607" t="s">
        <v>60</v>
      </c>
      <c r="E607" t="s">
        <v>62</v>
      </c>
      <c r="F607" t="s">
        <v>66</v>
      </c>
      <c r="G607">
        <v>2964.63</v>
      </c>
      <c r="H607">
        <v>0</v>
      </c>
      <c r="I607">
        <v>2964.63</v>
      </c>
      <c r="J607">
        <v>4</v>
      </c>
      <c r="K607">
        <v>11858.52</v>
      </c>
      <c r="L607">
        <v>1778.78</v>
      </c>
      <c r="M607" s="2">
        <v>45671</v>
      </c>
      <c r="N607" s="2">
        <v>45678</v>
      </c>
    </row>
    <row r="608" spans="1:14" x14ac:dyDescent="0.3">
      <c r="A608" t="s">
        <v>19</v>
      </c>
      <c r="B608" t="s">
        <v>33</v>
      </c>
      <c r="C608" t="s">
        <v>38</v>
      </c>
      <c r="D608" t="s">
        <v>59</v>
      </c>
      <c r="E608" t="s">
        <v>63</v>
      </c>
      <c r="F608" t="s">
        <v>75</v>
      </c>
      <c r="G608">
        <v>2351.89</v>
      </c>
      <c r="H608">
        <v>25</v>
      </c>
      <c r="I608">
        <v>1763.9175</v>
      </c>
      <c r="J608">
        <v>1</v>
      </c>
      <c r="K608">
        <v>1763.92</v>
      </c>
      <c r="L608">
        <v>617.37</v>
      </c>
      <c r="M608" s="2">
        <v>45576</v>
      </c>
      <c r="N608" s="2">
        <v>45578</v>
      </c>
    </row>
    <row r="609" spans="1:14" x14ac:dyDescent="0.3">
      <c r="A609" t="s">
        <v>16</v>
      </c>
      <c r="B609" t="s">
        <v>31</v>
      </c>
      <c r="C609" t="s">
        <v>47</v>
      </c>
      <c r="D609" t="s">
        <v>59</v>
      </c>
      <c r="E609" t="s">
        <v>62</v>
      </c>
      <c r="F609" t="s">
        <v>67</v>
      </c>
      <c r="G609">
        <v>2963.75</v>
      </c>
      <c r="H609">
        <v>0</v>
      </c>
      <c r="I609">
        <v>2963.75</v>
      </c>
      <c r="J609">
        <v>4</v>
      </c>
      <c r="K609">
        <v>11855</v>
      </c>
      <c r="L609">
        <v>4149.25</v>
      </c>
      <c r="M609" s="2">
        <v>45424</v>
      </c>
      <c r="N609" s="2">
        <v>45429</v>
      </c>
    </row>
    <row r="610" spans="1:14" x14ac:dyDescent="0.3">
      <c r="A610" t="s">
        <v>28</v>
      </c>
      <c r="B610" t="s">
        <v>34</v>
      </c>
      <c r="C610" t="s">
        <v>49</v>
      </c>
      <c r="D610" t="s">
        <v>59</v>
      </c>
      <c r="E610" t="s">
        <v>61</v>
      </c>
      <c r="F610" t="s">
        <v>70</v>
      </c>
      <c r="G610">
        <v>1827.19</v>
      </c>
      <c r="H610">
        <v>0</v>
      </c>
      <c r="I610">
        <v>1827.19</v>
      </c>
      <c r="J610">
        <v>5</v>
      </c>
      <c r="K610">
        <v>9135.9500000000007</v>
      </c>
      <c r="L610">
        <v>3197.58</v>
      </c>
      <c r="M610" s="2">
        <v>45364</v>
      </c>
      <c r="N610" s="2">
        <v>45373</v>
      </c>
    </row>
    <row r="611" spans="1:14" x14ac:dyDescent="0.3">
      <c r="A611" t="s">
        <v>18</v>
      </c>
      <c r="B611" t="s">
        <v>33</v>
      </c>
      <c r="C611" t="s">
        <v>56</v>
      </c>
      <c r="D611" t="s">
        <v>60</v>
      </c>
      <c r="E611" t="s">
        <v>64</v>
      </c>
      <c r="F611" t="s">
        <v>72</v>
      </c>
      <c r="G611">
        <v>46808.27</v>
      </c>
      <c r="H611">
        <v>25</v>
      </c>
      <c r="I611">
        <v>35106.202499999999</v>
      </c>
      <c r="J611">
        <v>4</v>
      </c>
      <c r="K611">
        <v>140424.81</v>
      </c>
      <c r="L611">
        <v>21063.72</v>
      </c>
      <c r="M611" s="2">
        <v>45479</v>
      </c>
      <c r="N611" s="2">
        <v>45481</v>
      </c>
    </row>
    <row r="612" spans="1:14" x14ac:dyDescent="0.3">
      <c r="A612" t="s">
        <v>22</v>
      </c>
      <c r="B612" t="s">
        <v>31</v>
      </c>
      <c r="C612" t="s">
        <v>47</v>
      </c>
      <c r="D612" t="s">
        <v>59</v>
      </c>
      <c r="E612" t="s">
        <v>64</v>
      </c>
      <c r="F612" t="s">
        <v>74</v>
      </c>
      <c r="G612">
        <v>4407.78</v>
      </c>
      <c r="H612">
        <v>20</v>
      </c>
      <c r="I612">
        <v>3526.2240000000002</v>
      </c>
      <c r="J612">
        <v>1</v>
      </c>
      <c r="K612">
        <v>3526.22</v>
      </c>
      <c r="L612">
        <v>1234.18</v>
      </c>
      <c r="M612" s="2">
        <v>45559</v>
      </c>
      <c r="N612" s="2">
        <v>45566</v>
      </c>
    </row>
    <row r="613" spans="1:14" x14ac:dyDescent="0.3">
      <c r="A613" t="s">
        <v>28</v>
      </c>
      <c r="B613" t="s">
        <v>34</v>
      </c>
      <c r="C613" t="s">
        <v>45</v>
      </c>
      <c r="D613" t="s">
        <v>59</v>
      </c>
      <c r="E613" t="s">
        <v>62</v>
      </c>
      <c r="F613" t="s">
        <v>66</v>
      </c>
      <c r="G613">
        <v>1939.43</v>
      </c>
      <c r="H613">
        <v>10</v>
      </c>
      <c r="I613">
        <v>1745.4870000000001</v>
      </c>
      <c r="J613">
        <v>4</v>
      </c>
      <c r="K613">
        <v>6981.95</v>
      </c>
      <c r="L613">
        <v>2443.6799999999998</v>
      </c>
      <c r="M613" s="2">
        <v>45406</v>
      </c>
      <c r="N613" s="2">
        <v>45412</v>
      </c>
    </row>
    <row r="614" spans="1:14" x14ac:dyDescent="0.3">
      <c r="A614" t="s">
        <v>22</v>
      </c>
      <c r="B614" t="s">
        <v>31</v>
      </c>
      <c r="C614" t="s">
        <v>36</v>
      </c>
      <c r="D614" t="s">
        <v>58</v>
      </c>
      <c r="E614" t="s">
        <v>64</v>
      </c>
      <c r="F614" t="s">
        <v>74</v>
      </c>
      <c r="G614">
        <v>3956.73</v>
      </c>
      <c r="H614">
        <v>25</v>
      </c>
      <c r="I614">
        <v>2967.5475000000001</v>
      </c>
      <c r="J614">
        <v>4</v>
      </c>
      <c r="K614">
        <v>11870.19</v>
      </c>
      <c r="L614">
        <v>2967.55</v>
      </c>
      <c r="M614" s="2">
        <v>45553</v>
      </c>
      <c r="N614" s="2">
        <v>45557</v>
      </c>
    </row>
    <row r="615" spans="1:14" x14ac:dyDescent="0.3">
      <c r="A615" t="s">
        <v>22</v>
      </c>
      <c r="B615" t="s">
        <v>31</v>
      </c>
      <c r="C615" t="s">
        <v>47</v>
      </c>
      <c r="D615" t="s">
        <v>59</v>
      </c>
      <c r="E615" t="s">
        <v>61</v>
      </c>
      <c r="F615" t="s">
        <v>71</v>
      </c>
      <c r="G615">
        <v>4066.28</v>
      </c>
      <c r="H615">
        <v>0</v>
      </c>
      <c r="I615">
        <v>4066.28</v>
      </c>
      <c r="J615">
        <v>2</v>
      </c>
      <c r="K615">
        <v>8132.56</v>
      </c>
      <c r="L615">
        <v>2846.4</v>
      </c>
      <c r="M615" s="2">
        <v>45726</v>
      </c>
      <c r="N615" s="2">
        <v>45730</v>
      </c>
    </row>
    <row r="616" spans="1:14" x14ac:dyDescent="0.3">
      <c r="A616" t="s">
        <v>26</v>
      </c>
      <c r="B616" t="s">
        <v>32</v>
      </c>
      <c r="C616" t="s">
        <v>37</v>
      </c>
      <c r="D616" t="s">
        <v>59</v>
      </c>
      <c r="E616" t="s">
        <v>64</v>
      </c>
      <c r="F616" t="s">
        <v>72</v>
      </c>
      <c r="G616">
        <v>46286.91</v>
      </c>
      <c r="H616">
        <v>5</v>
      </c>
      <c r="I616">
        <v>43972.5645</v>
      </c>
      <c r="J616">
        <v>2</v>
      </c>
      <c r="K616">
        <v>87945.13</v>
      </c>
      <c r="L616">
        <v>30780.799999999999</v>
      </c>
      <c r="M616" s="2">
        <v>45350</v>
      </c>
      <c r="N616" s="2">
        <v>45356</v>
      </c>
    </row>
    <row r="617" spans="1:14" x14ac:dyDescent="0.3">
      <c r="A617" t="s">
        <v>28</v>
      </c>
      <c r="B617" t="s">
        <v>34</v>
      </c>
      <c r="C617" t="s">
        <v>51</v>
      </c>
      <c r="D617" t="s">
        <v>59</v>
      </c>
      <c r="E617" t="s">
        <v>62</v>
      </c>
      <c r="F617" t="s">
        <v>67</v>
      </c>
      <c r="G617">
        <v>1912.84</v>
      </c>
      <c r="H617">
        <v>25</v>
      </c>
      <c r="I617">
        <v>1434.63</v>
      </c>
      <c r="J617">
        <v>2</v>
      </c>
      <c r="K617">
        <v>2869.26</v>
      </c>
      <c r="L617">
        <v>1004.24</v>
      </c>
      <c r="M617" s="2">
        <v>45708</v>
      </c>
      <c r="N617" s="2">
        <v>45711</v>
      </c>
    </row>
    <row r="618" spans="1:14" x14ac:dyDescent="0.3">
      <c r="A618" t="s">
        <v>25</v>
      </c>
      <c r="B618" t="s">
        <v>34</v>
      </c>
      <c r="C618" t="s">
        <v>55</v>
      </c>
      <c r="D618" t="s">
        <v>58</v>
      </c>
      <c r="E618" t="s">
        <v>64</v>
      </c>
      <c r="F618" t="s">
        <v>76</v>
      </c>
      <c r="G618">
        <v>890.85</v>
      </c>
      <c r="H618">
        <v>30</v>
      </c>
      <c r="I618">
        <v>623.59500000000003</v>
      </c>
      <c r="J618">
        <v>2</v>
      </c>
      <c r="K618">
        <v>1247.19</v>
      </c>
      <c r="L618">
        <v>311.8</v>
      </c>
      <c r="M618" s="2">
        <v>45530</v>
      </c>
      <c r="N618" s="2">
        <v>45540</v>
      </c>
    </row>
    <row r="619" spans="1:14" x14ac:dyDescent="0.3">
      <c r="A619" t="s">
        <v>19</v>
      </c>
      <c r="B619" t="s">
        <v>33</v>
      </c>
      <c r="C619" t="s">
        <v>50</v>
      </c>
      <c r="D619" t="s">
        <v>59</v>
      </c>
      <c r="E619" t="s">
        <v>63</v>
      </c>
      <c r="F619" t="s">
        <v>68</v>
      </c>
      <c r="G619">
        <v>2198.81</v>
      </c>
      <c r="H619">
        <v>15</v>
      </c>
      <c r="I619">
        <v>1868.9884999999999</v>
      </c>
      <c r="J619">
        <v>4</v>
      </c>
      <c r="K619">
        <v>7475.95</v>
      </c>
      <c r="L619">
        <v>2616.58</v>
      </c>
      <c r="M619" s="2">
        <v>45641</v>
      </c>
      <c r="N619" s="2">
        <v>45648</v>
      </c>
    </row>
    <row r="620" spans="1:14" x14ac:dyDescent="0.3">
      <c r="A620" t="s">
        <v>26</v>
      </c>
      <c r="B620" t="s">
        <v>32</v>
      </c>
      <c r="C620" t="s">
        <v>37</v>
      </c>
      <c r="D620" t="s">
        <v>59</v>
      </c>
      <c r="E620" t="s">
        <v>62</v>
      </c>
      <c r="F620" t="s">
        <v>69</v>
      </c>
      <c r="G620">
        <v>43667.64</v>
      </c>
      <c r="H620">
        <v>25</v>
      </c>
      <c r="I620">
        <v>32750.73</v>
      </c>
      <c r="J620">
        <v>3</v>
      </c>
      <c r="K620">
        <v>98252.19</v>
      </c>
      <c r="L620">
        <v>34388.269999999997</v>
      </c>
      <c r="M620" s="2">
        <v>45469</v>
      </c>
      <c r="N620" s="2">
        <v>45477</v>
      </c>
    </row>
    <row r="621" spans="1:14" x14ac:dyDescent="0.3">
      <c r="A621" t="s">
        <v>17</v>
      </c>
      <c r="B621" t="s">
        <v>32</v>
      </c>
      <c r="C621" t="s">
        <v>43</v>
      </c>
      <c r="D621" t="s">
        <v>58</v>
      </c>
      <c r="E621" t="s">
        <v>64</v>
      </c>
      <c r="F621" t="s">
        <v>74</v>
      </c>
      <c r="G621">
        <v>8352.9699999999993</v>
      </c>
      <c r="H621">
        <v>30</v>
      </c>
      <c r="I621">
        <v>5847.0789999999988</v>
      </c>
      <c r="J621">
        <v>4</v>
      </c>
      <c r="K621">
        <v>23388.32</v>
      </c>
      <c r="L621">
        <v>5847.08</v>
      </c>
      <c r="M621" s="2">
        <v>45543</v>
      </c>
      <c r="N621" s="2">
        <v>45552</v>
      </c>
    </row>
    <row r="622" spans="1:14" x14ac:dyDescent="0.3">
      <c r="A622" t="s">
        <v>30</v>
      </c>
      <c r="B622" t="s">
        <v>33</v>
      </c>
      <c r="C622" t="s">
        <v>50</v>
      </c>
      <c r="D622" t="s">
        <v>59</v>
      </c>
      <c r="E622" t="s">
        <v>63</v>
      </c>
      <c r="F622" t="s">
        <v>68</v>
      </c>
      <c r="G622">
        <v>17090.89</v>
      </c>
      <c r="H622">
        <v>10</v>
      </c>
      <c r="I622">
        <v>15381.800999999999</v>
      </c>
      <c r="J622">
        <v>5</v>
      </c>
      <c r="K622">
        <v>76909.009999999995</v>
      </c>
      <c r="L622">
        <v>26918.15</v>
      </c>
      <c r="M622" s="2">
        <v>45473</v>
      </c>
      <c r="N622" s="2">
        <v>45477</v>
      </c>
    </row>
    <row r="623" spans="1:14" x14ac:dyDescent="0.3">
      <c r="A623" t="s">
        <v>19</v>
      </c>
      <c r="B623" t="s">
        <v>33</v>
      </c>
      <c r="C623" t="s">
        <v>38</v>
      </c>
      <c r="D623" t="s">
        <v>59</v>
      </c>
      <c r="E623" t="s">
        <v>62</v>
      </c>
      <c r="F623" t="s">
        <v>67</v>
      </c>
      <c r="G623">
        <v>2576.35</v>
      </c>
      <c r="H623">
        <v>30</v>
      </c>
      <c r="I623">
        <v>1803.4449999999999</v>
      </c>
      <c r="J623">
        <v>1</v>
      </c>
      <c r="K623">
        <v>1803.44</v>
      </c>
      <c r="L623">
        <v>631.20000000000005</v>
      </c>
      <c r="M623" s="2">
        <v>45585</v>
      </c>
      <c r="N623" s="2">
        <v>45593</v>
      </c>
    </row>
    <row r="624" spans="1:14" x14ac:dyDescent="0.3">
      <c r="A624" t="s">
        <v>18</v>
      </c>
      <c r="B624" t="s">
        <v>33</v>
      </c>
      <c r="C624" t="s">
        <v>57</v>
      </c>
      <c r="D624" t="s">
        <v>60</v>
      </c>
      <c r="E624" t="s">
        <v>63</v>
      </c>
      <c r="F624" t="s">
        <v>73</v>
      </c>
      <c r="G624">
        <v>40148.639999999999</v>
      </c>
      <c r="H624">
        <v>15</v>
      </c>
      <c r="I624">
        <v>34126.343999999997</v>
      </c>
      <c r="J624">
        <v>1</v>
      </c>
      <c r="K624">
        <v>34126.339999999997</v>
      </c>
      <c r="L624">
        <v>5118.95</v>
      </c>
      <c r="M624" s="2">
        <v>45463</v>
      </c>
      <c r="N624" s="2">
        <v>45473</v>
      </c>
    </row>
    <row r="625" spans="1:14" x14ac:dyDescent="0.3">
      <c r="A625" t="s">
        <v>28</v>
      </c>
      <c r="B625" t="s">
        <v>34</v>
      </c>
      <c r="C625" t="s">
        <v>55</v>
      </c>
      <c r="D625" t="s">
        <v>58</v>
      </c>
      <c r="E625" t="s">
        <v>61</v>
      </c>
      <c r="F625" t="s">
        <v>71</v>
      </c>
      <c r="G625">
        <v>1482.32</v>
      </c>
      <c r="H625">
        <v>15</v>
      </c>
      <c r="I625">
        <v>1259.972</v>
      </c>
      <c r="J625">
        <v>2</v>
      </c>
      <c r="K625">
        <v>2519.94</v>
      </c>
      <c r="L625">
        <v>629.99</v>
      </c>
      <c r="M625" s="2">
        <v>45727</v>
      </c>
      <c r="N625" s="2">
        <v>45736</v>
      </c>
    </row>
    <row r="626" spans="1:14" x14ac:dyDescent="0.3">
      <c r="A626" t="s">
        <v>26</v>
      </c>
      <c r="B626" t="s">
        <v>32</v>
      </c>
      <c r="C626" t="s">
        <v>54</v>
      </c>
      <c r="D626" t="s">
        <v>60</v>
      </c>
      <c r="E626" t="s">
        <v>63</v>
      </c>
      <c r="F626" t="s">
        <v>68</v>
      </c>
      <c r="G626">
        <v>28486.77</v>
      </c>
      <c r="H626">
        <v>0</v>
      </c>
      <c r="I626">
        <v>28486.77</v>
      </c>
      <c r="J626">
        <v>4</v>
      </c>
      <c r="K626">
        <v>113947.08</v>
      </c>
      <c r="L626">
        <v>17092.060000000001</v>
      </c>
      <c r="M626" s="2">
        <v>45677</v>
      </c>
      <c r="N626" s="2">
        <v>45687</v>
      </c>
    </row>
    <row r="627" spans="1:14" x14ac:dyDescent="0.3">
      <c r="A627" t="s">
        <v>24</v>
      </c>
      <c r="B627" t="s">
        <v>32</v>
      </c>
      <c r="C627" t="s">
        <v>43</v>
      </c>
      <c r="D627" t="s">
        <v>58</v>
      </c>
      <c r="E627" t="s">
        <v>62</v>
      </c>
      <c r="F627" t="s">
        <v>66</v>
      </c>
      <c r="G627">
        <v>25404.54</v>
      </c>
      <c r="H627">
        <v>5</v>
      </c>
      <c r="I627">
        <v>24134.312999999998</v>
      </c>
      <c r="J627">
        <v>5</v>
      </c>
      <c r="K627">
        <v>120671.56</v>
      </c>
      <c r="L627">
        <v>30167.89</v>
      </c>
      <c r="M627" s="2">
        <v>45626</v>
      </c>
      <c r="N627" s="2">
        <v>45636</v>
      </c>
    </row>
    <row r="628" spans="1:14" x14ac:dyDescent="0.3">
      <c r="A628" t="s">
        <v>21</v>
      </c>
      <c r="B628" t="s">
        <v>34</v>
      </c>
      <c r="C628" t="s">
        <v>49</v>
      </c>
      <c r="D628" t="s">
        <v>59</v>
      </c>
      <c r="E628" t="s">
        <v>63</v>
      </c>
      <c r="F628" t="s">
        <v>68</v>
      </c>
      <c r="G628">
        <v>3358.94</v>
      </c>
      <c r="H628">
        <v>20</v>
      </c>
      <c r="I628">
        <v>2687.152</v>
      </c>
      <c r="J628">
        <v>2</v>
      </c>
      <c r="K628">
        <v>5374.3</v>
      </c>
      <c r="L628">
        <v>1881</v>
      </c>
      <c r="M628" s="2">
        <v>45397</v>
      </c>
      <c r="N628" s="2">
        <v>45407</v>
      </c>
    </row>
    <row r="629" spans="1:14" x14ac:dyDescent="0.3">
      <c r="A629" t="s">
        <v>20</v>
      </c>
      <c r="B629" t="s">
        <v>32</v>
      </c>
      <c r="C629" t="s">
        <v>37</v>
      </c>
      <c r="D629" t="s">
        <v>59</v>
      </c>
      <c r="E629" t="s">
        <v>64</v>
      </c>
      <c r="F629" t="s">
        <v>74</v>
      </c>
      <c r="G629">
        <v>38457.35</v>
      </c>
      <c r="H629">
        <v>5</v>
      </c>
      <c r="I629">
        <v>36534.482499999998</v>
      </c>
      <c r="J629">
        <v>1</v>
      </c>
      <c r="K629">
        <v>36534.480000000003</v>
      </c>
      <c r="L629">
        <v>12787.07</v>
      </c>
      <c r="M629" s="2">
        <v>45787</v>
      </c>
      <c r="N629" s="2">
        <v>45795</v>
      </c>
    </row>
    <row r="630" spans="1:14" x14ac:dyDescent="0.3">
      <c r="A630" t="s">
        <v>29</v>
      </c>
      <c r="B630" t="s">
        <v>35</v>
      </c>
      <c r="C630" t="s">
        <v>48</v>
      </c>
      <c r="D630" t="s">
        <v>58</v>
      </c>
      <c r="E630" t="s">
        <v>63</v>
      </c>
      <c r="F630" t="s">
        <v>75</v>
      </c>
      <c r="G630">
        <v>16674.41</v>
      </c>
      <c r="H630">
        <v>10</v>
      </c>
      <c r="I630">
        <v>15006.968999999999</v>
      </c>
      <c r="J630">
        <v>1</v>
      </c>
      <c r="K630">
        <v>15006.97</v>
      </c>
      <c r="L630">
        <v>3751.74</v>
      </c>
      <c r="M630" s="2">
        <v>45859</v>
      </c>
      <c r="N630" s="2">
        <v>45862</v>
      </c>
    </row>
    <row r="631" spans="1:14" x14ac:dyDescent="0.3">
      <c r="A631" t="s">
        <v>23</v>
      </c>
      <c r="B631" t="s">
        <v>35</v>
      </c>
      <c r="C631" t="s">
        <v>46</v>
      </c>
      <c r="D631" t="s">
        <v>59</v>
      </c>
      <c r="E631" t="s">
        <v>64</v>
      </c>
      <c r="F631" t="s">
        <v>74</v>
      </c>
      <c r="G631">
        <v>33201.39</v>
      </c>
      <c r="H631">
        <v>0</v>
      </c>
      <c r="I631">
        <v>33201.39</v>
      </c>
      <c r="J631">
        <v>2</v>
      </c>
      <c r="K631">
        <v>66402.78</v>
      </c>
      <c r="L631">
        <v>23240.97</v>
      </c>
      <c r="M631" s="2">
        <v>45332</v>
      </c>
      <c r="N631" s="2">
        <v>45337</v>
      </c>
    </row>
    <row r="632" spans="1:14" x14ac:dyDescent="0.3">
      <c r="A632" t="s">
        <v>30</v>
      </c>
      <c r="B632" t="s">
        <v>33</v>
      </c>
      <c r="C632" t="s">
        <v>56</v>
      </c>
      <c r="D632" t="s">
        <v>60</v>
      </c>
      <c r="E632" t="s">
        <v>64</v>
      </c>
      <c r="F632" t="s">
        <v>72</v>
      </c>
      <c r="G632">
        <v>14230.83</v>
      </c>
      <c r="H632">
        <v>30</v>
      </c>
      <c r="I632">
        <v>9961.5810000000001</v>
      </c>
      <c r="J632">
        <v>5</v>
      </c>
      <c r="K632">
        <v>49807.9</v>
      </c>
      <c r="L632">
        <v>7471.18</v>
      </c>
      <c r="M632" s="2">
        <v>45735</v>
      </c>
      <c r="N632" s="2">
        <v>45742</v>
      </c>
    </row>
    <row r="633" spans="1:14" x14ac:dyDescent="0.3">
      <c r="A633" t="s">
        <v>16</v>
      </c>
      <c r="B633" t="s">
        <v>31</v>
      </c>
      <c r="C633" t="s">
        <v>42</v>
      </c>
      <c r="D633" t="s">
        <v>60</v>
      </c>
      <c r="E633" t="s">
        <v>62</v>
      </c>
      <c r="F633" t="s">
        <v>66</v>
      </c>
      <c r="G633">
        <v>2141.73</v>
      </c>
      <c r="H633">
        <v>5</v>
      </c>
      <c r="I633">
        <v>2034.6434999999999</v>
      </c>
      <c r="J633">
        <v>5</v>
      </c>
      <c r="K633">
        <v>10173.219999999999</v>
      </c>
      <c r="L633">
        <v>1525.98</v>
      </c>
      <c r="M633" s="2">
        <v>45593</v>
      </c>
      <c r="N633" s="2">
        <v>45601</v>
      </c>
    </row>
    <row r="634" spans="1:14" x14ac:dyDescent="0.3">
      <c r="A634" t="s">
        <v>21</v>
      </c>
      <c r="B634" t="s">
        <v>34</v>
      </c>
      <c r="C634" t="s">
        <v>55</v>
      </c>
      <c r="D634" t="s">
        <v>58</v>
      </c>
      <c r="E634" t="s">
        <v>62</v>
      </c>
      <c r="F634" t="s">
        <v>66</v>
      </c>
      <c r="G634">
        <v>3274.49</v>
      </c>
      <c r="H634">
        <v>15</v>
      </c>
      <c r="I634">
        <v>2783.3164999999999</v>
      </c>
      <c r="J634">
        <v>2</v>
      </c>
      <c r="K634">
        <v>5566.63</v>
      </c>
      <c r="L634">
        <v>1391.66</v>
      </c>
      <c r="M634" s="2">
        <v>45298</v>
      </c>
      <c r="N634" s="2">
        <v>45300</v>
      </c>
    </row>
    <row r="635" spans="1:14" x14ac:dyDescent="0.3">
      <c r="A635" t="s">
        <v>29</v>
      </c>
      <c r="B635" t="s">
        <v>35</v>
      </c>
      <c r="C635" t="s">
        <v>48</v>
      </c>
      <c r="D635" t="s">
        <v>58</v>
      </c>
      <c r="E635" t="s">
        <v>62</v>
      </c>
      <c r="F635" t="s">
        <v>66</v>
      </c>
      <c r="G635">
        <v>17923.62</v>
      </c>
      <c r="H635">
        <v>0</v>
      </c>
      <c r="I635">
        <v>17923.62</v>
      </c>
      <c r="J635">
        <v>5</v>
      </c>
      <c r="K635">
        <v>89618.1</v>
      </c>
      <c r="L635">
        <v>22404.53</v>
      </c>
      <c r="M635" s="2">
        <v>45484</v>
      </c>
      <c r="N635" s="2">
        <v>45491</v>
      </c>
    </row>
    <row r="636" spans="1:14" x14ac:dyDescent="0.3">
      <c r="A636" t="s">
        <v>30</v>
      </c>
      <c r="B636" t="s">
        <v>33</v>
      </c>
      <c r="C636" t="s">
        <v>57</v>
      </c>
      <c r="D636" t="s">
        <v>60</v>
      </c>
      <c r="E636" t="s">
        <v>62</v>
      </c>
      <c r="F636" t="s">
        <v>67</v>
      </c>
      <c r="G636">
        <v>12893.77</v>
      </c>
      <c r="H636">
        <v>30</v>
      </c>
      <c r="I636">
        <v>9025.6389999999992</v>
      </c>
      <c r="J636">
        <v>1</v>
      </c>
      <c r="K636">
        <v>9025.64</v>
      </c>
      <c r="L636">
        <v>1353.85</v>
      </c>
      <c r="M636" s="2">
        <v>45725</v>
      </c>
      <c r="N636" s="2">
        <v>45730</v>
      </c>
    </row>
    <row r="637" spans="1:14" x14ac:dyDescent="0.3">
      <c r="A637" t="s">
        <v>24</v>
      </c>
      <c r="B637" t="s">
        <v>32</v>
      </c>
      <c r="C637" t="s">
        <v>54</v>
      </c>
      <c r="D637" t="s">
        <v>60</v>
      </c>
      <c r="E637" t="s">
        <v>64</v>
      </c>
      <c r="F637" t="s">
        <v>74</v>
      </c>
      <c r="G637">
        <v>21923.39</v>
      </c>
      <c r="H637">
        <v>20</v>
      </c>
      <c r="I637">
        <v>17538.712</v>
      </c>
      <c r="J637">
        <v>3</v>
      </c>
      <c r="K637">
        <v>52616.14</v>
      </c>
      <c r="L637">
        <v>7892.42</v>
      </c>
      <c r="M637" s="2">
        <v>45657</v>
      </c>
      <c r="N637" s="2">
        <v>45659</v>
      </c>
    </row>
    <row r="638" spans="1:14" x14ac:dyDescent="0.3">
      <c r="A638" t="s">
        <v>21</v>
      </c>
      <c r="B638" t="s">
        <v>34</v>
      </c>
      <c r="C638" t="s">
        <v>51</v>
      </c>
      <c r="D638" t="s">
        <v>59</v>
      </c>
      <c r="E638" t="s">
        <v>62</v>
      </c>
      <c r="F638" t="s">
        <v>69</v>
      </c>
      <c r="G638">
        <v>3826.68</v>
      </c>
      <c r="H638">
        <v>25</v>
      </c>
      <c r="I638">
        <v>2870.01</v>
      </c>
      <c r="J638">
        <v>1</v>
      </c>
      <c r="K638">
        <v>2870.01</v>
      </c>
      <c r="L638">
        <v>1004.5</v>
      </c>
      <c r="M638" s="2">
        <v>45619</v>
      </c>
      <c r="N638" s="2">
        <v>45629</v>
      </c>
    </row>
    <row r="639" spans="1:14" x14ac:dyDescent="0.3">
      <c r="A639" t="s">
        <v>26</v>
      </c>
      <c r="B639" t="s">
        <v>32</v>
      </c>
      <c r="C639" t="s">
        <v>37</v>
      </c>
      <c r="D639" t="s">
        <v>59</v>
      </c>
      <c r="E639" t="s">
        <v>61</v>
      </c>
      <c r="F639" t="s">
        <v>71</v>
      </c>
      <c r="G639">
        <v>42744.52</v>
      </c>
      <c r="H639">
        <v>0</v>
      </c>
      <c r="I639">
        <v>42744.52</v>
      </c>
      <c r="J639">
        <v>5</v>
      </c>
      <c r="K639">
        <v>213722.6</v>
      </c>
      <c r="L639">
        <v>74802.91</v>
      </c>
      <c r="M639" s="2">
        <v>45729</v>
      </c>
      <c r="N639" s="2">
        <v>45733</v>
      </c>
    </row>
    <row r="640" spans="1:14" x14ac:dyDescent="0.3">
      <c r="A640" t="s">
        <v>30</v>
      </c>
      <c r="B640" t="s">
        <v>33</v>
      </c>
      <c r="C640" t="s">
        <v>56</v>
      </c>
      <c r="D640" t="s">
        <v>60</v>
      </c>
      <c r="E640" t="s">
        <v>61</v>
      </c>
      <c r="F640" t="s">
        <v>65</v>
      </c>
      <c r="G640">
        <v>12624.98</v>
      </c>
      <c r="H640">
        <v>10</v>
      </c>
      <c r="I640">
        <v>11362.482</v>
      </c>
      <c r="J640">
        <v>5</v>
      </c>
      <c r="K640">
        <v>56812.41</v>
      </c>
      <c r="L640">
        <v>8521.86</v>
      </c>
      <c r="M640" s="2">
        <v>45761</v>
      </c>
      <c r="N640" s="2">
        <v>45763</v>
      </c>
    </row>
    <row r="641" spans="1:14" x14ac:dyDescent="0.3">
      <c r="A641" t="s">
        <v>23</v>
      </c>
      <c r="B641" t="s">
        <v>35</v>
      </c>
      <c r="C641" t="s">
        <v>38</v>
      </c>
      <c r="D641" t="s">
        <v>59</v>
      </c>
      <c r="E641" t="s">
        <v>61</v>
      </c>
      <c r="F641" t="s">
        <v>70</v>
      </c>
      <c r="G641">
        <v>30279.69</v>
      </c>
      <c r="H641">
        <v>20</v>
      </c>
      <c r="I641">
        <v>24223.752</v>
      </c>
      <c r="J641">
        <v>2</v>
      </c>
      <c r="K641">
        <v>48447.5</v>
      </c>
      <c r="L641">
        <v>16956.62</v>
      </c>
      <c r="M641" s="2">
        <v>45462</v>
      </c>
      <c r="N641" s="2">
        <v>45469</v>
      </c>
    </row>
    <row r="642" spans="1:14" x14ac:dyDescent="0.3">
      <c r="A642" t="s">
        <v>22</v>
      </c>
      <c r="B642" t="s">
        <v>31</v>
      </c>
      <c r="C642" t="s">
        <v>47</v>
      </c>
      <c r="D642" t="s">
        <v>59</v>
      </c>
      <c r="E642" t="s">
        <v>62</v>
      </c>
      <c r="F642" t="s">
        <v>67</v>
      </c>
      <c r="G642">
        <v>4231.91</v>
      </c>
      <c r="H642">
        <v>20</v>
      </c>
      <c r="I642">
        <v>3385.5279999999998</v>
      </c>
      <c r="J642">
        <v>5</v>
      </c>
      <c r="K642">
        <v>16927.64</v>
      </c>
      <c r="L642">
        <v>5924.67</v>
      </c>
      <c r="M642" s="2">
        <v>45818</v>
      </c>
      <c r="N642" s="2">
        <v>45824</v>
      </c>
    </row>
    <row r="643" spans="1:14" x14ac:dyDescent="0.3">
      <c r="A643" t="s">
        <v>28</v>
      </c>
      <c r="B643" t="s">
        <v>34</v>
      </c>
      <c r="C643" t="s">
        <v>45</v>
      </c>
      <c r="D643" t="s">
        <v>59</v>
      </c>
      <c r="E643" t="s">
        <v>63</v>
      </c>
      <c r="F643" t="s">
        <v>75</v>
      </c>
      <c r="G643">
        <v>1659.99</v>
      </c>
      <c r="H643">
        <v>5</v>
      </c>
      <c r="I643">
        <v>1576.9905000000001</v>
      </c>
      <c r="J643">
        <v>2</v>
      </c>
      <c r="K643">
        <v>3153.98</v>
      </c>
      <c r="L643">
        <v>1103.8900000000001</v>
      </c>
      <c r="M643" s="2">
        <v>45413</v>
      </c>
      <c r="N643" s="2">
        <v>45423</v>
      </c>
    </row>
    <row r="644" spans="1:14" x14ac:dyDescent="0.3">
      <c r="A644" t="s">
        <v>21</v>
      </c>
      <c r="B644" t="s">
        <v>34</v>
      </c>
      <c r="C644" t="s">
        <v>49</v>
      </c>
      <c r="D644" t="s">
        <v>59</v>
      </c>
      <c r="E644" t="s">
        <v>64</v>
      </c>
      <c r="F644" t="s">
        <v>76</v>
      </c>
      <c r="G644">
        <v>3709.9</v>
      </c>
      <c r="H644">
        <v>10</v>
      </c>
      <c r="I644">
        <v>3338.91</v>
      </c>
      <c r="J644">
        <v>2</v>
      </c>
      <c r="K644">
        <v>6677.82</v>
      </c>
      <c r="L644">
        <v>2337.2399999999998</v>
      </c>
      <c r="M644" s="2">
        <v>45521</v>
      </c>
      <c r="N644" s="2">
        <v>45523</v>
      </c>
    </row>
    <row r="645" spans="1:14" x14ac:dyDescent="0.3">
      <c r="A645" t="s">
        <v>27</v>
      </c>
      <c r="B645" t="s">
        <v>35</v>
      </c>
      <c r="C645" t="s">
        <v>38</v>
      </c>
      <c r="D645" t="s">
        <v>59</v>
      </c>
      <c r="E645" t="s">
        <v>64</v>
      </c>
      <c r="F645" t="s">
        <v>72</v>
      </c>
      <c r="G645">
        <v>10798</v>
      </c>
      <c r="H645">
        <v>20</v>
      </c>
      <c r="I645">
        <v>8638.4</v>
      </c>
      <c r="J645">
        <v>2</v>
      </c>
      <c r="K645">
        <v>17276.8</v>
      </c>
      <c r="L645">
        <v>6046.88</v>
      </c>
      <c r="M645" s="2">
        <v>45446</v>
      </c>
      <c r="N645" s="2">
        <v>45449</v>
      </c>
    </row>
    <row r="646" spans="1:14" x14ac:dyDescent="0.3">
      <c r="A646" t="s">
        <v>29</v>
      </c>
      <c r="B646" t="s">
        <v>35</v>
      </c>
      <c r="C646" t="s">
        <v>48</v>
      </c>
      <c r="D646" t="s">
        <v>58</v>
      </c>
      <c r="E646" t="s">
        <v>63</v>
      </c>
      <c r="F646" t="s">
        <v>75</v>
      </c>
      <c r="G646">
        <v>16581.64</v>
      </c>
      <c r="H646">
        <v>0</v>
      </c>
      <c r="I646">
        <v>16581.64</v>
      </c>
      <c r="J646">
        <v>2</v>
      </c>
      <c r="K646">
        <v>33163.279999999999</v>
      </c>
      <c r="L646">
        <v>8290.82</v>
      </c>
      <c r="M646" s="2">
        <v>45793</v>
      </c>
      <c r="N646" s="2">
        <v>45801</v>
      </c>
    </row>
    <row r="647" spans="1:14" x14ac:dyDescent="0.3">
      <c r="A647" t="s">
        <v>20</v>
      </c>
      <c r="B647" t="s">
        <v>32</v>
      </c>
      <c r="C647" t="s">
        <v>54</v>
      </c>
      <c r="D647" t="s">
        <v>60</v>
      </c>
      <c r="E647" t="s">
        <v>62</v>
      </c>
      <c r="F647" t="s">
        <v>66</v>
      </c>
      <c r="G647">
        <v>25732.240000000002</v>
      </c>
      <c r="H647">
        <v>20</v>
      </c>
      <c r="I647">
        <v>20585.792000000001</v>
      </c>
      <c r="J647">
        <v>3</v>
      </c>
      <c r="K647">
        <v>61757.38</v>
      </c>
      <c r="L647">
        <v>9263.61</v>
      </c>
      <c r="M647" s="2">
        <v>45586</v>
      </c>
      <c r="N647" s="2">
        <v>45589</v>
      </c>
    </row>
    <row r="648" spans="1:14" x14ac:dyDescent="0.3">
      <c r="A648" t="s">
        <v>20</v>
      </c>
      <c r="B648" t="s">
        <v>32</v>
      </c>
      <c r="C648" t="s">
        <v>37</v>
      </c>
      <c r="D648" t="s">
        <v>59</v>
      </c>
      <c r="E648" t="s">
        <v>61</v>
      </c>
      <c r="F648" t="s">
        <v>71</v>
      </c>
      <c r="G648">
        <v>33718.18</v>
      </c>
      <c r="H648">
        <v>15</v>
      </c>
      <c r="I648">
        <v>28660.453000000001</v>
      </c>
      <c r="J648">
        <v>3</v>
      </c>
      <c r="K648">
        <v>85981.36</v>
      </c>
      <c r="L648">
        <v>30093.48</v>
      </c>
      <c r="M648" s="2">
        <v>45533</v>
      </c>
      <c r="N648" s="2">
        <v>45543</v>
      </c>
    </row>
    <row r="649" spans="1:14" x14ac:dyDescent="0.3">
      <c r="A649" t="s">
        <v>24</v>
      </c>
      <c r="B649" t="s">
        <v>32</v>
      </c>
      <c r="C649" t="s">
        <v>54</v>
      </c>
      <c r="D649" t="s">
        <v>60</v>
      </c>
      <c r="E649" t="s">
        <v>61</v>
      </c>
      <c r="F649" t="s">
        <v>71</v>
      </c>
      <c r="G649">
        <v>20277.25</v>
      </c>
      <c r="H649">
        <v>30</v>
      </c>
      <c r="I649">
        <v>14194.075000000001</v>
      </c>
      <c r="J649">
        <v>1</v>
      </c>
      <c r="K649">
        <v>14194.07</v>
      </c>
      <c r="L649">
        <v>2129.11</v>
      </c>
      <c r="M649" s="2">
        <v>45483</v>
      </c>
      <c r="N649" s="2">
        <v>45485</v>
      </c>
    </row>
    <row r="650" spans="1:14" x14ac:dyDescent="0.3">
      <c r="A650" t="s">
        <v>30</v>
      </c>
      <c r="B650" t="s">
        <v>33</v>
      </c>
      <c r="C650" t="s">
        <v>38</v>
      </c>
      <c r="D650" t="s">
        <v>59</v>
      </c>
      <c r="E650" t="s">
        <v>64</v>
      </c>
      <c r="F650" t="s">
        <v>76</v>
      </c>
      <c r="G650">
        <v>19766.05</v>
      </c>
      <c r="H650">
        <v>0</v>
      </c>
      <c r="I650">
        <v>19766.05</v>
      </c>
      <c r="J650">
        <v>1</v>
      </c>
      <c r="K650">
        <v>19766.05</v>
      </c>
      <c r="L650">
        <v>6918.12</v>
      </c>
      <c r="M650" s="2">
        <v>45431</v>
      </c>
      <c r="N650" s="2">
        <v>45434</v>
      </c>
    </row>
    <row r="651" spans="1:14" x14ac:dyDescent="0.3">
      <c r="A651" t="s">
        <v>28</v>
      </c>
      <c r="B651" t="s">
        <v>34</v>
      </c>
      <c r="C651" t="s">
        <v>49</v>
      </c>
      <c r="D651" t="s">
        <v>59</v>
      </c>
      <c r="E651" t="s">
        <v>61</v>
      </c>
      <c r="F651" t="s">
        <v>71</v>
      </c>
      <c r="G651">
        <v>1831.6</v>
      </c>
      <c r="H651">
        <v>5</v>
      </c>
      <c r="I651">
        <v>1740.02</v>
      </c>
      <c r="J651">
        <v>1</v>
      </c>
      <c r="K651">
        <v>1740.02</v>
      </c>
      <c r="L651">
        <v>609.01</v>
      </c>
      <c r="M651" s="2">
        <v>45713</v>
      </c>
      <c r="N651" s="2">
        <v>45715</v>
      </c>
    </row>
    <row r="652" spans="1:14" x14ac:dyDescent="0.3">
      <c r="A652" t="s">
        <v>17</v>
      </c>
      <c r="B652" t="s">
        <v>32</v>
      </c>
      <c r="C652" t="s">
        <v>37</v>
      </c>
      <c r="D652" t="s">
        <v>59</v>
      </c>
      <c r="E652" t="s">
        <v>62</v>
      </c>
      <c r="F652" t="s">
        <v>69</v>
      </c>
      <c r="G652">
        <v>10256.59</v>
      </c>
      <c r="H652">
        <v>20</v>
      </c>
      <c r="I652">
        <v>8205.2720000000008</v>
      </c>
      <c r="J652">
        <v>1</v>
      </c>
      <c r="K652">
        <v>8205.27</v>
      </c>
      <c r="L652">
        <v>2871.84</v>
      </c>
      <c r="M652" s="2">
        <v>45607</v>
      </c>
      <c r="N652" s="2">
        <v>45612</v>
      </c>
    </row>
    <row r="653" spans="1:14" x14ac:dyDescent="0.3">
      <c r="A653" t="s">
        <v>22</v>
      </c>
      <c r="B653" t="s">
        <v>31</v>
      </c>
      <c r="C653" t="s">
        <v>42</v>
      </c>
      <c r="D653" t="s">
        <v>60</v>
      </c>
      <c r="E653" t="s">
        <v>62</v>
      </c>
      <c r="F653" t="s">
        <v>69</v>
      </c>
      <c r="G653">
        <v>3024.07</v>
      </c>
      <c r="H653">
        <v>5</v>
      </c>
      <c r="I653">
        <v>2872.8665000000001</v>
      </c>
      <c r="J653">
        <v>2</v>
      </c>
      <c r="K653">
        <v>5745.73</v>
      </c>
      <c r="L653">
        <v>861.86</v>
      </c>
      <c r="M653" s="2">
        <v>45457</v>
      </c>
      <c r="N653" s="2">
        <v>45464</v>
      </c>
    </row>
    <row r="654" spans="1:14" x14ac:dyDescent="0.3">
      <c r="A654" t="s">
        <v>27</v>
      </c>
      <c r="B654" t="s">
        <v>35</v>
      </c>
      <c r="C654" t="s">
        <v>44</v>
      </c>
      <c r="D654" t="s">
        <v>60</v>
      </c>
      <c r="E654" t="s">
        <v>64</v>
      </c>
      <c r="F654" t="s">
        <v>72</v>
      </c>
      <c r="G654">
        <v>7268.7</v>
      </c>
      <c r="H654">
        <v>20</v>
      </c>
      <c r="I654">
        <v>5814.96</v>
      </c>
      <c r="J654">
        <v>1</v>
      </c>
      <c r="K654">
        <v>5814.96</v>
      </c>
      <c r="L654">
        <v>872.24</v>
      </c>
      <c r="M654" s="2">
        <v>45332</v>
      </c>
      <c r="N654" s="2">
        <v>45335</v>
      </c>
    </row>
    <row r="655" spans="1:14" x14ac:dyDescent="0.3">
      <c r="A655" t="s">
        <v>26</v>
      </c>
      <c r="B655" t="s">
        <v>32</v>
      </c>
      <c r="C655" t="s">
        <v>43</v>
      </c>
      <c r="D655" t="s">
        <v>58</v>
      </c>
      <c r="E655" t="s">
        <v>61</v>
      </c>
      <c r="F655" t="s">
        <v>70</v>
      </c>
      <c r="G655">
        <v>34279.96</v>
      </c>
      <c r="H655">
        <v>20</v>
      </c>
      <c r="I655">
        <v>27423.968000000001</v>
      </c>
      <c r="J655">
        <v>3</v>
      </c>
      <c r="K655">
        <v>82271.899999999994</v>
      </c>
      <c r="L655">
        <v>20567.97</v>
      </c>
      <c r="M655" s="2">
        <v>45716</v>
      </c>
      <c r="N655" s="2">
        <v>45725</v>
      </c>
    </row>
    <row r="656" spans="1:14" x14ac:dyDescent="0.3">
      <c r="A656" t="s">
        <v>17</v>
      </c>
      <c r="B656" t="s">
        <v>32</v>
      </c>
      <c r="C656" t="s">
        <v>54</v>
      </c>
      <c r="D656" t="s">
        <v>60</v>
      </c>
      <c r="E656" t="s">
        <v>61</v>
      </c>
      <c r="F656" t="s">
        <v>70</v>
      </c>
      <c r="G656">
        <v>6988.32</v>
      </c>
      <c r="H656">
        <v>5</v>
      </c>
      <c r="I656">
        <v>6638.9040000000005</v>
      </c>
      <c r="J656">
        <v>5</v>
      </c>
      <c r="K656">
        <v>33194.519999999997</v>
      </c>
      <c r="L656">
        <v>4979.18</v>
      </c>
      <c r="M656" s="2">
        <v>45811</v>
      </c>
      <c r="N656" s="2">
        <v>45815</v>
      </c>
    </row>
    <row r="657" spans="1:14" x14ac:dyDescent="0.3">
      <c r="A657" t="s">
        <v>19</v>
      </c>
      <c r="B657" t="s">
        <v>33</v>
      </c>
      <c r="C657" t="s">
        <v>38</v>
      </c>
      <c r="D657" t="s">
        <v>59</v>
      </c>
      <c r="E657" t="s">
        <v>62</v>
      </c>
      <c r="F657" t="s">
        <v>67</v>
      </c>
      <c r="G657">
        <v>2460.91</v>
      </c>
      <c r="H657">
        <v>10</v>
      </c>
      <c r="I657">
        <v>2214.819</v>
      </c>
      <c r="J657">
        <v>1</v>
      </c>
      <c r="K657">
        <v>2214.8200000000002</v>
      </c>
      <c r="L657">
        <v>775.19</v>
      </c>
      <c r="M657" s="2">
        <v>45674</v>
      </c>
      <c r="N657" s="2">
        <v>45681</v>
      </c>
    </row>
    <row r="658" spans="1:14" x14ac:dyDescent="0.3">
      <c r="A658" t="s">
        <v>28</v>
      </c>
      <c r="B658" t="s">
        <v>34</v>
      </c>
      <c r="C658" t="s">
        <v>51</v>
      </c>
      <c r="D658" t="s">
        <v>59</v>
      </c>
      <c r="E658" t="s">
        <v>63</v>
      </c>
      <c r="F658" t="s">
        <v>75</v>
      </c>
      <c r="G658">
        <v>1772.54</v>
      </c>
      <c r="H658">
        <v>20</v>
      </c>
      <c r="I658">
        <v>1418.0319999999999</v>
      </c>
      <c r="J658">
        <v>4</v>
      </c>
      <c r="K658">
        <v>5672.13</v>
      </c>
      <c r="L658">
        <v>1985.25</v>
      </c>
      <c r="M658" s="2">
        <v>45523</v>
      </c>
      <c r="N658" s="2">
        <v>45530</v>
      </c>
    </row>
    <row r="659" spans="1:14" x14ac:dyDescent="0.3">
      <c r="A659" t="s">
        <v>28</v>
      </c>
      <c r="B659" t="s">
        <v>34</v>
      </c>
      <c r="C659" t="s">
        <v>51</v>
      </c>
      <c r="D659" t="s">
        <v>59</v>
      </c>
      <c r="E659" t="s">
        <v>62</v>
      </c>
      <c r="F659" t="s">
        <v>69</v>
      </c>
      <c r="G659">
        <v>1875.01</v>
      </c>
      <c r="H659">
        <v>30</v>
      </c>
      <c r="I659">
        <v>1312.5070000000001</v>
      </c>
      <c r="J659">
        <v>1</v>
      </c>
      <c r="K659">
        <v>1312.51</v>
      </c>
      <c r="L659">
        <v>459.38</v>
      </c>
      <c r="M659" s="2">
        <v>45645</v>
      </c>
      <c r="N659" s="2">
        <v>45650</v>
      </c>
    </row>
    <row r="660" spans="1:14" x14ac:dyDescent="0.3">
      <c r="A660" t="s">
        <v>29</v>
      </c>
      <c r="B660" t="s">
        <v>35</v>
      </c>
      <c r="C660" t="s">
        <v>48</v>
      </c>
      <c r="D660" t="s">
        <v>58</v>
      </c>
      <c r="E660" t="s">
        <v>63</v>
      </c>
      <c r="F660" t="s">
        <v>68</v>
      </c>
      <c r="G660">
        <v>17168.05</v>
      </c>
      <c r="H660">
        <v>5</v>
      </c>
      <c r="I660">
        <v>16309.647499999999</v>
      </c>
      <c r="J660">
        <v>3</v>
      </c>
      <c r="K660">
        <v>48928.94</v>
      </c>
      <c r="L660">
        <v>12232.24</v>
      </c>
      <c r="M660" s="2">
        <v>45684</v>
      </c>
      <c r="N660" s="2">
        <v>45688</v>
      </c>
    </row>
    <row r="661" spans="1:14" x14ac:dyDescent="0.3">
      <c r="A661" t="s">
        <v>23</v>
      </c>
      <c r="B661" t="s">
        <v>35</v>
      </c>
      <c r="C661" t="s">
        <v>44</v>
      </c>
      <c r="D661" t="s">
        <v>60</v>
      </c>
      <c r="E661" t="s">
        <v>61</v>
      </c>
      <c r="F661" t="s">
        <v>70</v>
      </c>
      <c r="G661">
        <v>21549.52</v>
      </c>
      <c r="H661">
        <v>30</v>
      </c>
      <c r="I661">
        <v>15084.664000000001</v>
      </c>
      <c r="J661">
        <v>2</v>
      </c>
      <c r="K661">
        <v>30169.33</v>
      </c>
      <c r="L661">
        <v>4525.3999999999996</v>
      </c>
      <c r="M661" s="2">
        <v>45454</v>
      </c>
      <c r="N661" s="2">
        <v>45459</v>
      </c>
    </row>
    <row r="662" spans="1:14" x14ac:dyDescent="0.3">
      <c r="A662" t="s">
        <v>29</v>
      </c>
      <c r="B662" t="s">
        <v>35</v>
      </c>
      <c r="C662" t="s">
        <v>48</v>
      </c>
      <c r="D662" t="s">
        <v>58</v>
      </c>
      <c r="E662" t="s">
        <v>61</v>
      </c>
      <c r="F662" t="s">
        <v>71</v>
      </c>
      <c r="G662">
        <v>17104.27</v>
      </c>
      <c r="H662">
        <v>20</v>
      </c>
      <c r="I662">
        <v>13683.415999999999</v>
      </c>
      <c r="J662">
        <v>4</v>
      </c>
      <c r="K662">
        <v>54733.66</v>
      </c>
      <c r="L662">
        <v>13683.42</v>
      </c>
      <c r="M662" s="2">
        <v>45847</v>
      </c>
      <c r="N662" s="2">
        <v>45854</v>
      </c>
    </row>
    <row r="663" spans="1:14" x14ac:dyDescent="0.3">
      <c r="A663" t="s">
        <v>27</v>
      </c>
      <c r="B663" t="s">
        <v>35</v>
      </c>
      <c r="C663" t="s">
        <v>38</v>
      </c>
      <c r="D663" t="s">
        <v>59</v>
      </c>
      <c r="E663" t="s">
        <v>63</v>
      </c>
      <c r="F663" t="s">
        <v>73</v>
      </c>
      <c r="G663">
        <v>8720.5400000000009</v>
      </c>
      <c r="H663">
        <v>25</v>
      </c>
      <c r="I663">
        <v>6540.4050000000007</v>
      </c>
      <c r="J663">
        <v>3</v>
      </c>
      <c r="K663">
        <v>19621.22</v>
      </c>
      <c r="L663">
        <v>6867.43</v>
      </c>
      <c r="M663" s="2">
        <v>45661</v>
      </c>
      <c r="N663" s="2">
        <v>45666</v>
      </c>
    </row>
    <row r="664" spans="1:14" x14ac:dyDescent="0.3">
      <c r="A664" t="s">
        <v>30</v>
      </c>
      <c r="B664" t="s">
        <v>33</v>
      </c>
      <c r="C664" t="s">
        <v>38</v>
      </c>
      <c r="D664" t="s">
        <v>59</v>
      </c>
      <c r="E664" t="s">
        <v>61</v>
      </c>
      <c r="F664" t="s">
        <v>71</v>
      </c>
      <c r="G664">
        <v>16989.16</v>
      </c>
      <c r="H664">
        <v>30</v>
      </c>
      <c r="I664">
        <v>11892.412</v>
      </c>
      <c r="J664">
        <v>3</v>
      </c>
      <c r="K664">
        <v>35677.24</v>
      </c>
      <c r="L664">
        <v>12487.03</v>
      </c>
      <c r="M664" s="2">
        <v>45314</v>
      </c>
      <c r="N664" s="2">
        <v>45324</v>
      </c>
    </row>
    <row r="665" spans="1:14" x14ac:dyDescent="0.3">
      <c r="A665" t="s">
        <v>21</v>
      </c>
      <c r="B665" t="s">
        <v>34</v>
      </c>
      <c r="C665" t="s">
        <v>49</v>
      </c>
      <c r="D665" t="s">
        <v>59</v>
      </c>
      <c r="E665" t="s">
        <v>62</v>
      </c>
      <c r="F665" t="s">
        <v>69</v>
      </c>
      <c r="G665">
        <v>3826.4</v>
      </c>
      <c r="H665">
        <v>0</v>
      </c>
      <c r="I665">
        <v>3826.4</v>
      </c>
      <c r="J665">
        <v>1</v>
      </c>
      <c r="K665">
        <v>3826.4</v>
      </c>
      <c r="L665">
        <v>1339.24</v>
      </c>
      <c r="M665" s="2">
        <v>45793</v>
      </c>
      <c r="N665" s="2">
        <v>45801</v>
      </c>
    </row>
    <row r="666" spans="1:14" x14ac:dyDescent="0.3">
      <c r="A666" t="s">
        <v>22</v>
      </c>
      <c r="B666" t="s">
        <v>31</v>
      </c>
      <c r="C666" t="s">
        <v>36</v>
      </c>
      <c r="D666" t="s">
        <v>58</v>
      </c>
      <c r="E666" t="s">
        <v>61</v>
      </c>
      <c r="F666" t="s">
        <v>70</v>
      </c>
      <c r="G666">
        <v>3306.26</v>
      </c>
      <c r="H666">
        <v>0</v>
      </c>
      <c r="I666">
        <v>3306.26</v>
      </c>
      <c r="J666">
        <v>5</v>
      </c>
      <c r="K666">
        <v>16531.3</v>
      </c>
      <c r="L666">
        <v>4132.82</v>
      </c>
      <c r="M666" s="2">
        <v>45833</v>
      </c>
      <c r="N666" s="2">
        <v>45838</v>
      </c>
    </row>
    <row r="667" spans="1:14" x14ac:dyDescent="0.3">
      <c r="A667" t="s">
        <v>25</v>
      </c>
      <c r="B667" t="s">
        <v>34</v>
      </c>
      <c r="C667" t="s">
        <v>45</v>
      </c>
      <c r="D667" t="s">
        <v>59</v>
      </c>
      <c r="E667" t="s">
        <v>63</v>
      </c>
      <c r="F667" t="s">
        <v>73</v>
      </c>
      <c r="G667">
        <v>879.44</v>
      </c>
      <c r="H667">
        <v>0</v>
      </c>
      <c r="I667">
        <v>879.44</v>
      </c>
      <c r="J667">
        <v>3</v>
      </c>
      <c r="K667">
        <v>2638.32</v>
      </c>
      <c r="L667">
        <v>923.41</v>
      </c>
      <c r="M667" s="2">
        <v>45420</v>
      </c>
      <c r="N667" s="2">
        <v>45424</v>
      </c>
    </row>
    <row r="668" spans="1:14" x14ac:dyDescent="0.3">
      <c r="A668" t="s">
        <v>17</v>
      </c>
      <c r="B668" t="s">
        <v>32</v>
      </c>
      <c r="C668" t="s">
        <v>37</v>
      </c>
      <c r="D668" t="s">
        <v>59</v>
      </c>
      <c r="E668" t="s">
        <v>64</v>
      </c>
      <c r="F668" t="s">
        <v>76</v>
      </c>
      <c r="G668">
        <v>10536.13</v>
      </c>
      <c r="H668">
        <v>30</v>
      </c>
      <c r="I668">
        <v>7375.2909999999993</v>
      </c>
      <c r="J668">
        <v>5</v>
      </c>
      <c r="K668">
        <v>36876.449999999997</v>
      </c>
      <c r="L668">
        <v>12906.76</v>
      </c>
      <c r="M668" s="2">
        <v>45350</v>
      </c>
      <c r="N668" s="2">
        <v>45360</v>
      </c>
    </row>
    <row r="669" spans="1:14" x14ac:dyDescent="0.3">
      <c r="A669" t="s">
        <v>21</v>
      </c>
      <c r="B669" t="s">
        <v>34</v>
      </c>
      <c r="C669" t="s">
        <v>52</v>
      </c>
      <c r="D669" t="s">
        <v>60</v>
      </c>
      <c r="E669" t="s">
        <v>61</v>
      </c>
      <c r="F669" t="s">
        <v>71</v>
      </c>
      <c r="G669">
        <v>2575.9499999999998</v>
      </c>
      <c r="H669">
        <v>5</v>
      </c>
      <c r="I669">
        <v>2447.1525000000001</v>
      </c>
      <c r="J669">
        <v>5</v>
      </c>
      <c r="K669">
        <v>12235.76</v>
      </c>
      <c r="L669">
        <v>1835.36</v>
      </c>
      <c r="M669" s="2">
        <v>45302</v>
      </c>
      <c r="N669" s="2">
        <v>45309</v>
      </c>
    </row>
    <row r="670" spans="1:14" x14ac:dyDescent="0.3">
      <c r="A670" t="s">
        <v>19</v>
      </c>
      <c r="B670" t="s">
        <v>33</v>
      </c>
      <c r="C670" t="s">
        <v>38</v>
      </c>
      <c r="D670" t="s">
        <v>59</v>
      </c>
      <c r="E670" t="s">
        <v>63</v>
      </c>
      <c r="F670" t="s">
        <v>75</v>
      </c>
      <c r="G670">
        <v>2276</v>
      </c>
      <c r="H670">
        <v>20</v>
      </c>
      <c r="I670">
        <v>1820.8</v>
      </c>
      <c r="J670">
        <v>5</v>
      </c>
      <c r="K670">
        <v>9104</v>
      </c>
      <c r="L670">
        <v>3186.4</v>
      </c>
      <c r="M670" s="2">
        <v>45632</v>
      </c>
      <c r="N670" s="2">
        <v>45635</v>
      </c>
    </row>
    <row r="671" spans="1:14" x14ac:dyDescent="0.3">
      <c r="A671" t="s">
        <v>18</v>
      </c>
      <c r="B671" t="s">
        <v>33</v>
      </c>
      <c r="C671" t="s">
        <v>50</v>
      </c>
      <c r="D671" t="s">
        <v>59</v>
      </c>
      <c r="E671" t="s">
        <v>62</v>
      </c>
      <c r="F671" t="s">
        <v>69</v>
      </c>
      <c r="G671">
        <v>63264.76</v>
      </c>
      <c r="H671">
        <v>0</v>
      </c>
      <c r="I671">
        <v>63264.76</v>
      </c>
      <c r="J671">
        <v>4</v>
      </c>
      <c r="K671">
        <v>253059.04</v>
      </c>
      <c r="L671">
        <v>88570.66</v>
      </c>
      <c r="M671" s="2">
        <v>45790</v>
      </c>
      <c r="N671" s="2">
        <v>45793</v>
      </c>
    </row>
    <row r="672" spans="1:14" x14ac:dyDescent="0.3">
      <c r="A672" t="s">
        <v>22</v>
      </c>
      <c r="B672" t="s">
        <v>31</v>
      </c>
      <c r="C672" t="s">
        <v>36</v>
      </c>
      <c r="D672" t="s">
        <v>58</v>
      </c>
      <c r="E672" t="s">
        <v>62</v>
      </c>
      <c r="F672" t="s">
        <v>69</v>
      </c>
      <c r="G672">
        <v>3807.07</v>
      </c>
      <c r="H672">
        <v>30</v>
      </c>
      <c r="I672">
        <v>2664.9490000000001</v>
      </c>
      <c r="J672">
        <v>4</v>
      </c>
      <c r="K672">
        <v>10659.8</v>
      </c>
      <c r="L672">
        <v>2664.95</v>
      </c>
      <c r="M672" s="2">
        <v>45663</v>
      </c>
      <c r="N672" s="2">
        <v>45671</v>
      </c>
    </row>
    <row r="673" spans="1:14" x14ac:dyDescent="0.3">
      <c r="A673" t="s">
        <v>30</v>
      </c>
      <c r="B673" t="s">
        <v>33</v>
      </c>
      <c r="C673" t="s">
        <v>50</v>
      </c>
      <c r="D673" t="s">
        <v>59</v>
      </c>
      <c r="E673" t="s">
        <v>62</v>
      </c>
      <c r="F673" t="s">
        <v>66</v>
      </c>
      <c r="G673">
        <v>19265.060000000001</v>
      </c>
      <c r="H673">
        <v>30</v>
      </c>
      <c r="I673">
        <v>13485.541999999999</v>
      </c>
      <c r="J673">
        <v>3</v>
      </c>
      <c r="K673">
        <v>40456.629999999997</v>
      </c>
      <c r="L673">
        <v>14159.82</v>
      </c>
      <c r="M673" s="2">
        <v>45639</v>
      </c>
      <c r="N673" s="2">
        <v>45648</v>
      </c>
    </row>
    <row r="674" spans="1:14" x14ac:dyDescent="0.3">
      <c r="A674" t="s">
        <v>28</v>
      </c>
      <c r="B674" t="s">
        <v>34</v>
      </c>
      <c r="C674" t="s">
        <v>51</v>
      </c>
      <c r="D674" t="s">
        <v>59</v>
      </c>
      <c r="E674" t="s">
        <v>64</v>
      </c>
      <c r="F674" t="s">
        <v>72</v>
      </c>
      <c r="G674">
        <v>2000.83</v>
      </c>
      <c r="H674">
        <v>10</v>
      </c>
      <c r="I674">
        <v>1800.7470000000001</v>
      </c>
      <c r="J674">
        <v>5</v>
      </c>
      <c r="K674">
        <v>9003.74</v>
      </c>
      <c r="L674">
        <v>3151.31</v>
      </c>
      <c r="M674" s="2">
        <v>45563</v>
      </c>
      <c r="N674" s="2">
        <v>45570</v>
      </c>
    </row>
    <row r="675" spans="1:14" x14ac:dyDescent="0.3">
      <c r="A675" t="s">
        <v>18</v>
      </c>
      <c r="B675" t="s">
        <v>33</v>
      </c>
      <c r="C675" t="s">
        <v>50</v>
      </c>
      <c r="D675" t="s">
        <v>59</v>
      </c>
      <c r="E675" t="s">
        <v>62</v>
      </c>
      <c r="F675" t="s">
        <v>66</v>
      </c>
      <c r="G675">
        <v>62414.02</v>
      </c>
      <c r="H675">
        <v>20</v>
      </c>
      <c r="I675">
        <v>49931.216</v>
      </c>
      <c r="J675">
        <v>3</v>
      </c>
      <c r="K675">
        <v>149793.65</v>
      </c>
      <c r="L675">
        <v>52427.78</v>
      </c>
      <c r="M675" s="2">
        <v>45597</v>
      </c>
      <c r="N675" s="2">
        <v>45601</v>
      </c>
    </row>
    <row r="676" spans="1:14" x14ac:dyDescent="0.3">
      <c r="A676" t="s">
        <v>26</v>
      </c>
      <c r="B676" t="s">
        <v>32</v>
      </c>
      <c r="C676" t="s">
        <v>40</v>
      </c>
      <c r="D676" t="s">
        <v>59</v>
      </c>
      <c r="E676" t="s">
        <v>64</v>
      </c>
      <c r="F676" t="s">
        <v>74</v>
      </c>
      <c r="G676">
        <v>45996.82</v>
      </c>
      <c r="H676">
        <v>0</v>
      </c>
      <c r="I676">
        <v>45996.82</v>
      </c>
      <c r="J676">
        <v>5</v>
      </c>
      <c r="K676">
        <v>229984.1</v>
      </c>
      <c r="L676">
        <v>80494.429999999993</v>
      </c>
      <c r="M676" s="2">
        <v>45614</v>
      </c>
      <c r="N676" s="2">
        <v>45618</v>
      </c>
    </row>
    <row r="677" spans="1:14" x14ac:dyDescent="0.3">
      <c r="A677" t="s">
        <v>16</v>
      </c>
      <c r="B677" t="s">
        <v>31</v>
      </c>
      <c r="C677" t="s">
        <v>42</v>
      </c>
      <c r="D677" t="s">
        <v>60</v>
      </c>
      <c r="E677" t="s">
        <v>64</v>
      </c>
      <c r="F677" t="s">
        <v>72</v>
      </c>
      <c r="G677">
        <v>2340.79</v>
      </c>
      <c r="H677">
        <v>10</v>
      </c>
      <c r="I677">
        <v>2106.7109999999998</v>
      </c>
      <c r="J677">
        <v>1</v>
      </c>
      <c r="K677">
        <v>2106.71</v>
      </c>
      <c r="L677">
        <v>316.01</v>
      </c>
      <c r="M677" s="2">
        <v>45677</v>
      </c>
      <c r="N677" s="2">
        <v>45679</v>
      </c>
    </row>
    <row r="678" spans="1:14" x14ac:dyDescent="0.3">
      <c r="A678" t="s">
        <v>19</v>
      </c>
      <c r="B678" t="s">
        <v>33</v>
      </c>
      <c r="C678" t="s">
        <v>39</v>
      </c>
      <c r="D678" t="s">
        <v>58</v>
      </c>
      <c r="E678" t="s">
        <v>64</v>
      </c>
      <c r="F678" t="s">
        <v>76</v>
      </c>
      <c r="G678">
        <v>2158.9899999999998</v>
      </c>
      <c r="H678">
        <v>5</v>
      </c>
      <c r="I678">
        <v>2051.0405000000001</v>
      </c>
      <c r="J678">
        <v>3</v>
      </c>
      <c r="K678">
        <v>6153.12</v>
      </c>
      <c r="L678">
        <v>1538.28</v>
      </c>
      <c r="M678" s="2">
        <v>45642</v>
      </c>
      <c r="N678" s="2">
        <v>45651</v>
      </c>
    </row>
    <row r="679" spans="1:14" x14ac:dyDescent="0.3">
      <c r="A679" t="s">
        <v>25</v>
      </c>
      <c r="B679" t="s">
        <v>34</v>
      </c>
      <c r="C679" t="s">
        <v>41</v>
      </c>
      <c r="D679" t="s">
        <v>60</v>
      </c>
      <c r="E679" t="s">
        <v>62</v>
      </c>
      <c r="F679" t="s">
        <v>66</v>
      </c>
      <c r="G679">
        <v>718.64</v>
      </c>
      <c r="H679">
        <v>0</v>
      </c>
      <c r="I679">
        <v>718.64</v>
      </c>
      <c r="J679">
        <v>4</v>
      </c>
      <c r="K679">
        <v>2874.56</v>
      </c>
      <c r="L679">
        <v>431.18</v>
      </c>
      <c r="M679" s="2">
        <v>45617</v>
      </c>
      <c r="N679" s="2">
        <v>45621</v>
      </c>
    </row>
    <row r="680" spans="1:14" x14ac:dyDescent="0.3">
      <c r="A680" t="s">
        <v>29</v>
      </c>
      <c r="B680" t="s">
        <v>35</v>
      </c>
      <c r="C680" t="s">
        <v>38</v>
      </c>
      <c r="D680" t="s">
        <v>59</v>
      </c>
      <c r="E680" t="s">
        <v>62</v>
      </c>
      <c r="F680" t="s">
        <v>67</v>
      </c>
      <c r="G680">
        <v>21590.03</v>
      </c>
      <c r="H680">
        <v>15</v>
      </c>
      <c r="I680">
        <v>18351.5255</v>
      </c>
      <c r="J680">
        <v>4</v>
      </c>
      <c r="K680">
        <v>73406.100000000006</v>
      </c>
      <c r="L680">
        <v>25692.14</v>
      </c>
      <c r="M680" s="2">
        <v>45812</v>
      </c>
      <c r="N680" s="2">
        <v>45820</v>
      </c>
    </row>
    <row r="681" spans="1:14" x14ac:dyDescent="0.3">
      <c r="A681" t="s">
        <v>22</v>
      </c>
      <c r="B681" t="s">
        <v>31</v>
      </c>
      <c r="C681" t="s">
        <v>42</v>
      </c>
      <c r="D681" t="s">
        <v>60</v>
      </c>
      <c r="E681" t="s">
        <v>61</v>
      </c>
      <c r="F681" t="s">
        <v>70</v>
      </c>
      <c r="G681">
        <v>2834.68</v>
      </c>
      <c r="H681">
        <v>15</v>
      </c>
      <c r="I681">
        <v>2409.4780000000001</v>
      </c>
      <c r="J681">
        <v>5</v>
      </c>
      <c r="K681">
        <v>12047.39</v>
      </c>
      <c r="L681">
        <v>1807.11</v>
      </c>
      <c r="M681" s="2">
        <v>45312</v>
      </c>
      <c r="N681" s="2">
        <v>45316</v>
      </c>
    </row>
    <row r="682" spans="1:14" x14ac:dyDescent="0.3">
      <c r="A682" t="s">
        <v>26</v>
      </c>
      <c r="B682" t="s">
        <v>32</v>
      </c>
      <c r="C682" t="s">
        <v>43</v>
      </c>
      <c r="D682" t="s">
        <v>58</v>
      </c>
      <c r="E682" t="s">
        <v>62</v>
      </c>
      <c r="F682" t="s">
        <v>67</v>
      </c>
      <c r="G682">
        <v>36198.18</v>
      </c>
      <c r="H682">
        <v>25</v>
      </c>
      <c r="I682">
        <v>27148.634999999998</v>
      </c>
      <c r="J682">
        <v>5</v>
      </c>
      <c r="K682">
        <v>135743.18</v>
      </c>
      <c r="L682">
        <v>33935.79</v>
      </c>
      <c r="M682" s="2">
        <v>45546</v>
      </c>
      <c r="N682" s="2">
        <v>45552</v>
      </c>
    </row>
    <row r="683" spans="1:14" x14ac:dyDescent="0.3">
      <c r="A683" t="s">
        <v>30</v>
      </c>
      <c r="B683" t="s">
        <v>33</v>
      </c>
      <c r="C683" t="s">
        <v>57</v>
      </c>
      <c r="D683" t="s">
        <v>60</v>
      </c>
      <c r="E683" t="s">
        <v>63</v>
      </c>
      <c r="F683" t="s">
        <v>75</v>
      </c>
      <c r="G683">
        <v>12431.49</v>
      </c>
      <c r="H683">
        <v>5</v>
      </c>
      <c r="I683">
        <v>11809.915499999999</v>
      </c>
      <c r="J683">
        <v>1</v>
      </c>
      <c r="K683">
        <v>11809.92</v>
      </c>
      <c r="L683">
        <v>1771.49</v>
      </c>
      <c r="M683" s="2">
        <v>45420</v>
      </c>
      <c r="N683" s="2">
        <v>45430</v>
      </c>
    </row>
    <row r="684" spans="1:14" x14ac:dyDescent="0.3">
      <c r="A684" t="s">
        <v>29</v>
      </c>
      <c r="B684" t="s">
        <v>35</v>
      </c>
      <c r="C684" t="s">
        <v>38</v>
      </c>
      <c r="D684" t="s">
        <v>59</v>
      </c>
      <c r="E684" t="s">
        <v>62</v>
      </c>
      <c r="F684" t="s">
        <v>69</v>
      </c>
      <c r="G684">
        <v>23367.54</v>
      </c>
      <c r="H684">
        <v>25</v>
      </c>
      <c r="I684">
        <v>17525.654999999999</v>
      </c>
      <c r="J684">
        <v>2</v>
      </c>
      <c r="K684">
        <v>35051.31</v>
      </c>
      <c r="L684">
        <v>12267.96</v>
      </c>
      <c r="M684" s="2">
        <v>45468</v>
      </c>
      <c r="N684" s="2">
        <v>45475</v>
      </c>
    </row>
    <row r="685" spans="1:14" x14ac:dyDescent="0.3">
      <c r="A685" t="s">
        <v>28</v>
      </c>
      <c r="B685" t="s">
        <v>34</v>
      </c>
      <c r="C685" t="s">
        <v>55</v>
      </c>
      <c r="D685" t="s">
        <v>58</v>
      </c>
      <c r="E685" t="s">
        <v>61</v>
      </c>
      <c r="F685" t="s">
        <v>70</v>
      </c>
      <c r="G685">
        <v>1498.45</v>
      </c>
      <c r="H685">
        <v>15</v>
      </c>
      <c r="I685">
        <v>1273.6824999999999</v>
      </c>
      <c r="J685">
        <v>2</v>
      </c>
      <c r="K685">
        <v>2547.37</v>
      </c>
      <c r="L685">
        <v>636.84</v>
      </c>
      <c r="M685" s="2">
        <v>45520</v>
      </c>
      <c r="N685" s="2">
        <v>45529</v>
      </c>
    </row>
    <row r="686" spans="1:14" x14ac:dyDescent="0.3">
      <c r="A686" t="s">
        <v>18</v>
      </c>
      <c r="B686" t="s">
        <v>33</v>
      </c>
      <c r="C686" t="s">
        <v>50</v>
      </c>
      <c r="D686" t="s">
        <v>59</v>
      </c>
      <c r="E686" t="s">
        <v>61</v>
      </c>
      <c r="F686" t="s">
        <v>71</v>
      </c>
      <c r="G686">
        <v>58318.57</v>
      </c>
      <c r="H686">
        <v>0</v>
      </c>
      <c r="I686">
        <v>58318.57</v>
      </c>
      <c r="J686">
        <v>5</v>
      </c>
      <c r="K686">
        <v>291592.84999999998</v>
      </c>
      <c r="L686">
        <v>102057.5</v>
      </c>
      <c r="M686" s="2">
        <v>45569</v>
      </c>
      <c r="N686" s="2">
        <v>45578</v>
      </c>
    </row>
    <row r="687" spans="1:14" x14ac:dyDescent="0.3">
      <c r="A687" t="s">
        <v>22</v>
      </c>
      <c r="B687" t="s">
        <v>31</v>
      </c>
      <c r="C687" t="s">
        <v>36</v>
      </c>
      <c r="D687" t="s">
        <v>58</v>
      </c>
      <c r="E687" t="s">
        <v>63</v>
      </c>
      <c r="F687" t="s">
        <v>73</v>
      </c>
      <c r="G687">
        <v>3172.92</v>
      </c>
      <c r="H687">
        <v>20</v>
      </c>
      <c r="I687">
        <v>2538.3359999999998</v>
      </c>
      <c r="J687">
        <v>2</v>
      </c>
      <c r="K687">
        <v>5076.67</v>
      </c>
      <c r="L687">
        <v>1269.17</v>
      </c>
      <c r="M687" s="2">
        <v>45771</v>
      </c>
      <c r="N687" s="2">
        <v>45776</v>
      </c>
    </row>
    <row r="688" spans="1:14" x14ac:dyDescent="0.3">
      <c r="A688" t="s">
        <v>27</v>
      </c>
      <c r="B688" t="s">
        <v>35</v>
      </c>
      <c r="C688" t="s">
        <v>38</v>
      </c>
      <c r="D688" t="s">
        <v>59</v>
      </c>
      <c r="E688" t="s">
        <v>63</v>
      </c>
      <c r="F688" t="s">
        <v>68</v>
      </c>
      <c r="G688">
        <v>9305.23</v>
      </c>
      <c r="H688">
        <v>10</v>
      </c>
      <c r="I688">
        <v>8374.7070000000003</v>
      </c>
      <c r="J688">
        <v>4</v>
      </c>
      <c r="K688">
        <v>33498.83</v>
      </c>
      <c r="L688">
        <v>11724.59</v>
      </c>
      <c r="M688" s="2">
        <v>45335</v>
      </c>
      <c r="N688" s="2">
        <v>45339</v>
      </c>
    </row>
    <row r="689" spans="1:14" x14ac:dyDescent="0.3">
      <c r="A689" t="s">
        <v>22</v>
      </c>
      <c r="B689" t="s">
        <v>31</v>
      </c>
      <c r="C689" t="s">
        <v>36</v>
      </c>
      <c r="D689" t="s">
        <v>58</v>
      </c>
      <c r="E689" t="s">
        <v>63</v>
      </c>
      <c r="F689" t="s">
        <v>68</v>
      </c>
      <c r="G689">
        <v>3319.23</v>
      </c>
      <c r="H689">
        <v>15</v>
      </c>
      <c r="I689">
        <v>2821.3454999999999</v>
      </c>
      <c r="J689">
        <v>3</v>
      </c>
      <c r="K689">
        <v>8464.0400000000009</v>
      </c>
      <c r="L689">
        <v>2116.0100000000002</v>
      </c>
      <c r="M689" s="2">
        <v>45523</v>
      </c>
      <c r="N689" s="2">
        <v>45528</v>
      </c>
    </row>
    <row r="690" spans="1:14" x14ac:dyDescent="0.3">
      <c r="A690" t="s">
        <v>18</v>
      </c>
      <c r="B690" t="s">
        <v>33</v>
      </c>
      <c r="C690" t="s">
        <v>39</v>
      </c>
      <c r="D690" t="s">
        <v>58</v>
      </c>
      <c r="E690" t="s">
        <v>61</v>
      </c>
      <c r="F690" t="s">
        <v>70</v>
      </c>
      <c r="G690">
        <v>48287.32</v>
      </c>
      <c r="H690">
        <v>25</v>
      </c>
      <c r="I690">
        <v>36215.49</v>
      </c>
      <c r="J690">
        <v>4</v>
      </c>
      <c r="K690">
        <v>144861.96</v>
      </c>
      <c r="L690">
        <v>36215.49</v>
      </c>
      <c r="M690" s="2">
        <v>45337</v>
      </c>
      <c r="N690" s="2">
        <v>45344</v>
      </c>
    </row>
    <row r="691" spans="1:14" x14ac:dyDescent="0.3">
      <c r="A691" t="s">
        <v>21</v>
      </c>
      <c r="B691" t="s">
        <v>34</v>
      </c>
      <c r="C691" t="s">
        <v>55</v>
      </c>
      <c r="D691" t="s">
        <v>58</v>
      </c>
      <c r="E691" t="s">
        <v>63</v>
      </c>
      <c r="F691" t="s">
        <v>68</v>
      </c>
      <c r="G691">
        <v>2990.52</v>
      </c>
      <c r="H691">
        <v>10</v>
      </c>
      <c r="I691">
        <v>2691.4679999999998</v>
      </c>
      <c r="J691">
        <v>5</v>
      </c>
      <c r="K691">
        <v>13457.34</v>
      </c>
      <c r="L691">
        <v>3364.34</v>
      </c>
      <c r="M691" s="2">
        <v>45615</v>
      </c>
      <c r="N691" s="2">
        <v>45622</v>
      </c>
    </row>
    <row r="692" spans="1:14" x14ac:dyDescent="0.3">
      <c r="A692" t="s">
        <v>26</v>
      </c>
      <c r="B692" t="s">
        <v>32</v>
      </c>
      <c r="C692" t="s">
        <v>54</v>
      </c>
      <c r="D692" t="s">
        <v>60</v>
      </c>
      <c r="E692" t="s">
        <v>64</v>
      </c>
      <c r="F692" t="s">
        <v>76</v>
      </c>
      <c r="G692">
        <v>31028.54</v>
      </c>
      <c r="H692">
        <v>25</v>
      </c>
      <c r="I692">
        <v>23271.404999999999</v>
      </c>
      <c r="J692">
        <v>3</v>
      </c>
      <c r="K692">
        <v>69814.210000000006</v>
      </c>
      <c r="L692">
        <v>10472.129999999999</v>
      </c>
      <c r="M692" s="2">
        <v>45357</v>
      </c>
      <c r="N692" s="2">
        <v>45361</v>
      </c>
    </row>
    <row r="693" spans="1:14" x14ac:dyDescent="0.3">
      <c r="A693" t="s">
        <v>28</v>
      </c>
      <c r="B693" t="s">
        <v>34</v>
      </c>
      <c r="C693" t="s">
        <v>51</v>
      </c>
      <c r="D693" t="s">
        <v>59</v>
      </c>
      <c r="E693" t="s">
        <v>62</v>
      </c>
      <c r="F693" t="s">
        <v>69</v>
      </c>
      <c r="G693">
        <v>1872.02</v>
      </c>
      <c r="H693">
        <v>5</v>
      </c>
      <c r="I693">
        <v>1778.4190000000001</v>
      </c>
      <c r="J693">
        <v>1</v>
      </c>
      <c r="K693">
        <v>1778.42</v>
      </c>
      <c r="L693">
        <v>622.45000000000005</v>
      </c>
      <c r="M693" s="2">
        <v>45585</v>
      </c>
      <c r="N693" s="2">
        <v>45590</v>
      </c>
    </row>
    <row r="694" spans="1:14" x14ac:dyDescent="0.3">
      <c r="A694" t="s">
        <v>30</v>
      </c>
      <c r="B694" t="s">
        <v>33</v>
      </c>
      <c r="C694" t="s">
        <v>39</v>
      </c>
      <c r="D694" t="s">
        <v>58</v>
      </c>
      <c r="E694" t="s">
        <v>63</v>
      </c>
      <c r="F694" t="s">
        <v>73</v>
      </c>
      <c r="G694">
        <v>13954.31</v>
      </c>
      <c r="H694">
        <v>0</v>
      </c>
      <c r="I694">
        <v>13954.31</v>
      </c>
      <c r="J694">
        <v>3</v>
      </c>
      <c r="K694">
        <v>41862.93</v>
      </c>
      <c r="L694">
        <v>10465.73</v>
      </c>
      <c r="M694" s="2">
        <v>45639</v>
      </c>
      <c r="N694" s="2">
        <v>45649</v>
      </c>
    </row>
    <row r="695" spans="1:14" x14ac:dyDescent="0.3">
      <c r="A695" t="s">
        <v>24</v>
      </c>
      <c r="B695" t="s">
        <v>32</v>
      </c>
      <c r="C695" t="s">
        <v>40</v>
      </c>
      <c r="D695" t="s">
        <v>59</v>
      </c>
      <c r="E695" t="s">
        <v>63</v>
      </c>
      <c r="F695" t="s">
        <v>75</v>
      </c>
      <c r="G695">
        <v>29530.27</v>
      </c>
      <c r="H695">
        <v>10</v>
      </c>
      <c r="I695">
        <v>26577.242999999999</v>
      </c>
      <c r="J695">
        <v>5</v>
      </c>
      <c r="K695">
        <v>132886.22</v>
      </c>
      <c r="L695">
        <v>46510.18</v>
      </c>
      <c r="M695" s="2">
        <v>45782</v>
      </c>
      <c r="N695" s="2">
        <v>45786</v>
      </c>
    </row>
    <row r="696" spans="1:14" x14ac:dyDescent="0.3">
      <c r="A696" t="s">
        <v>22</v>
      </c>
      <c r="B696" t="s">
        <v>31</v>
      </c>
      <c r="C696" t="s">
        <v>47</v>
      </c>
      <c r="D696" t="s">
        <v>59</v>
      </c>
      <c r="E696" t="s">
        <v>64</v>
      </c>
      <c r="F696" t="s">
        <v>76</v>
      </c>
      <c r="G696">
        <v>4429.3599999999997</v>
      </c>
      <c r="H696">
        <v>5</v>
      </c>
      <c r="I696">
        <v>4207.8919999999998</v>
      </c>
      <c r="J696">
        <v>4</v>
      </c>
      <c r="K696">
        <v>16831.57</v>
      </c>
      <c r="L696">
        <v>5891.05</v>
      </c>
      <c r="M696" s="2">
        <v>45803</v>
      </c>
      <c r="N696" s="2">
        <v>45809</v>
      </c>
    </row>
    <row r="697" spans="1:14" x14ac:dyDescent="0.3">
      <c r="A697" t="s">
        <v>16</v>
      </c>
      <c r="B697" t="s">
        <v>31</v>
      </c>
      <c r="C697" t="s">
        <v>47</v>
      </c>
      <c r="D697" t="s">
        <v>59</v>
      </c>
      <c r="E697" t="s">
        <v>64</v>
      </c>
      <c r="F697" t="s">
        <v>72</v>
      </c>
      <c r="G697">
        <v>3156.14</v>
      </c>
      <c r="H697">
        <v>15</v>
      </c>
      <c r="I697">
        <v>2682.7190000000001</v>
      </c>
      <c r="J697">
        <v>3</v>
      </c>
      <c r="K697">
        <v>8048.16</v>
      </c>
      <c r="L697">
        <v>2816.86</v>
      </c>
      <c r="M697" s="2">
        <v>45545</v>
      </c>
      <c r="N697" s="2">
        <v>45547</v>
      </c>
    </row>
    <row r="698" spans="1:14" x14ac:dyDescent="0.3">
      <c r="A698" t="s">
        <v>26</v>
      </c>
      <c r="B698" t="s">
        <v>32</v>
      </c>
      <c r="C698" t="s">
        <v>37</v>
      </c>
      <c r="D698" t="s">
        <v>59</v>
      </c>
      <c r="E698" t="s">
        <v>64</v>
      </c>
      <c r="F698" t="s">
        <v>74</v>
      </c>
      <c r="G698">
        <v>46618.66</v>
      </c>
      <c r="H698">
        <v>20</v>
      </c>
      <c r="I698">
        <v>37294.928000000007</v>
      </c>
      <c r="J698">
        <v>2</v>
      </c>
      <c r="K698">
        <v>74589.86</v>
      </c>
      <c r="L698">
        <v>26106.45</v>
      </c>
      <c r="M698" s="2">
        <v>45298</v>
      </c>
      <c r="N698" s="2">
        <v>45306</v>
      </c>
    </row>
    <row r="699" spans="1:14" x14ac:dyDescent="0.3">
      <c r="A699" t="s">
        <v>16</v>
      </c>
      <c r="B699" t="s">
        <v>31</v>
      </c>
      <c r="C699" t="s">
        <v>42</v>
      </c>
      <c r="D699" t="s">
        <v>60</v>
      </c>
      <c r="E699" t="s">
        <v>63</v>
      </c>
      <c r="F699" t="s">
        <v>68</v>
      </c>
      <c r="G699">
        <v>2090.37</v>
      </c>
      <c r="H699">
        <v>5</v>
      </c>
      <c r="I699">
        <v>1985.8515</v>
      </c>
      <c r="J699">
        <v>4</v>
      </c>
      <c r="K699">
        <v>7943.41</v>
      </c>
      <c r="L699">
        <v>1191.51</v>
      </c>
      <c r="M699" s="2">
        <v>45464</v>
      </c>
      <c r="N699" s="2">
        <v>45470</v>
      </c>
    </row>
    <row r="700" spans="1:14" x14ac:dyDescent="0.3">
      <c r="A700" t="s">
        <v>25</v>
      </c>
      <c r="B700" t="s">
        <v>34</v>
      </c>
      <c r="C700" t="s">
        <v>51</v>
      </c>
      <c r="D700" t="s">
        <v>59</v>
      </c>
      <c r="E700" t="s">
        <v>61</v>
      </c>
      <c r="F700" t="s">
        <v>70</v>
      </c>
      <c r="G700">
        <v>943.53</v>
      </c>
      <c r="H700">
        <v>5</v>
      </c>
      <c r="I700">
        <v>896.35349999999994</v>
      </c>
      <c r="J700">
        <v>2</v>
      </c>
      <c r="K700">
        <v>1792.71</v>
      </c>
      <c r="L700">
        <v>627.45000000000005</v>
      </c>
      <c r="M700" s="2">
        <v>45701</v>
      </c>
      <c r="N700" s="2">
        <v>45711</v>
      </c>
    </row>
    <row r="701" spans="1:14" x14ac:dyDescent="0.3">
      <c r="A701" t="s">
        <v>27</v>
      </c>
      <c r="B701" t="s">
        <v>35</v>
      </c>
      <c r="C701" t="s">
        <v>48</v>
      </c>
      <c r="D701" t="s">
        <v>58</v>
      </c>
      <c r="E701" t="s">
        <v>61</v>
      </c>
      <c r="F701" t="s">
        <v>71</v>
      </c>
      <c r="G701">
        <v>8018.33</v>
      </c>
      <c r="H701">
        <v>5</v>
      </c>
      <c r="I701">
        <v>7617.4134999999997</v>
      </c>
      <c r="J701">
        <v>1</v>
      </c>
      <c r="K701">
        <v>7617.41</v>
      </c>
      <c r="L701">
        <v>1904.35</v>
      </c>
      <c r="M701" s="2">
        <v>45327</v>
      </c>
      <c r="N701" s="2">
        <v>45331</v>
      </c>
    </row>
    <row r="702" spans="1:14" x14ac:dyDescent="0.3">
      <c r="A702" t="s">
        <v>29</v>
      </c>
      <c r="B702" t="s">
        <v>35</v>
      </c>
      <c r="C702" t="s">
        <v>48</v>
      </c>
      <c r="D702" t="s">
        <v>58</v>
      </c>
      <c r="E702" t="s">
        <v>63</v>
      </c>
      <c r="F702" t="s">
        <v>75</v>
      </c>
      <c r="G702">
        <v>17022.14</v>
      </c>
      <c r="H702">
        <v>25</v>
      </c>
      <c r="I702">
        <v>12766.605</v>
      </c>
      <c r="J702">
        <v>2</v>
      </c>
      <c r="K702">
        <v>25533.21</v>
      </c>
      <c r="L702">
        <v>6383.3</v>
      </c>
      <c r="M702" s="2">
        <v>45336</v>
      </c>
      <c r="N702" s="2">
        <v>45340</v>
      </c>
    </row>
    <row r="703" spans="1:14" x14ac:dyDescent="0.3">
      <c r="A703" t="s">
        <v>20</v>
      </c>
      <c r="B703" t="s">
        <v>32</v>
      </c>
      <c r="C703" t="s">
        <v>54</v>
      </c>
      <c r="D703" t="s">
        <v>60</v>
      </c>
      <c r="E703" t="s">
        <v>62</v>
      </c>
      <c r="F703" t="s">
        <v>67</v>
      </c>
      <c r="G703">
        <v>27370.98</v>
      </c>
      <c r="H703">
        <v>5</v>
      </c>
      <c r="I703">
        <v>26002.431</v>
      </c>
      <c r="J703">
        <v>3</v>
      </c>
      <c r="K703">
        <v>78007.289999999994</v>
      </c>
      <c r="L703">
        <v>11701.09</v>
      </c>
      <c r="M703" s="2">
        <v>45640</v>
      </c>
      <c r="N703" s="2">
        <v>45648</v>
      </c>
    </row>
    <row r="704" spans="1:14" x14ac:dyDescent="0.3">
      <c r="A704" t="s">
        <v>24</v>
      </c>
      <c r="B704" t="s">
        <v>32</v>
      </c>
      <c r="C704" t="s">
        <v>54</v>
      </c>
      <c r="D704" t="s">
        <v>60</v>
      </c>
      <c r="E704" t="s">
        <v>64</v>
      </c>
      <c r="F704" t="s">
        <v>72</v>
      </c>
      <c r="G704">
        <v>23069.06</v>
      </c>
      <c r="H704">
        <v>5</v>
      </c>
      <c r="I704">
        <v>21915.607</v>
      </c>
      <c r="J704">
        <v>4</v>
      </c>
      <c r="K704">
        <v>87662.43</v>
      </c>
      <c r="L704">
        <v>13149.36</v>
      </c>
      <c r="M704" s="2">
        <v>45624</v>
      </c>
      <c r="N704" s="2">
        <v>45630</v>
      </c>
    </row>
    <row r="705" spans="1:14" x14ac:dyDescent="0.3">
      <c r="A705" t="s">
        <v>19</v>
      </c>
      <c r="B705" t="s">
        <v>33</v>
      </c>
      <c r="C705" t="s">
        <v>39</v>
      </c>
      <c r="D705" t="s">
        <v>58</v>
      </c>
      <c r="E705" t="s">
        <v>62</v>
      </c>
      <c r="F705" t="s">
        <v>69</v>
      </c>
      <c r="G705">
        <v>2006.33</v>
      </c>
      <c r="H705">
        <v>30</v>
      </c>
      <c r="I705">
        <v>1404.431</v>
      </c>
      <c r="J705">
        <v>2</v>
      </c>
      <c r="K705">
        <v>2808.86</v>
      </c>
      <c r="L705">
        <v>702.22</v>
      </c>
      <c r="M705" s="2">
        <v>45785</v>
      </c>
      <c r="N705" s="2">
        <v>45793</v>
      </c>
    </row>
    <row r="706" spans="1:14" x14ac:dyDescent="0.3">
      <c r="A706" t="s">
        <v>23</v>
      </c>
      <c r="B706" t="s">
        <v>35</v>
      </c>
      <c r="C706" t="s">
        <v>46</v>
      </c>
      <c r="D706" t="s">
        <v>59</v>
      </c>
      <c r="E706" t="s">
        <v>61</v>
      </c>
      <c r="F706" t="s">
        <v>71</v>
      </c>
      <c r="G706">
        <v>28839.599999999999</v>
      </c>
      <c r="H706">
        <v>20</v>
      </c>
      <c r="I706">
        <v>23071.68</v>
      </c>
      <c r="J706">
        <v>5</v>
      </c>
      <c r="K706">
        <v>115358.39999999999</v>
      </c>
      <c r="L706">
        <v>40375.440000000002</v>
      </c>
      <c r="M706" s="2">
        <v>45473</v>
      </c>
      <c r="N706" s="2">
        <v>45482</v>
      </c>
    </row>
    <row r="707" spans="1:14" x14ac:dyDescent="0.3">
      <c r="A707" t="s">
        <v>20</v>
      </c>
      <c r="B707" t="s">
        <v>32</v>
      </c>
      <c r="C707" t="s">
        <v>54</v>
      </c>
      <c r="D707" t="s">
        <v>60</v>
      </c>
      <c r="E707" t="s">
        <v>61</v>
      </c>
      <c r="F707" t="s">
        <v>71</v>
      </c>
      <c r="G707">
        <v>24141.19</v>
      </c>
      <c r="H707">
        <v>15</v>
      </c>
      <c r="I707">
        <v>20520.011500000001</v>
      </c>
      <c r="J707">
        <v>3</v>
      </c>
      <c r="K707">
        <v>61560.03</v>
      </c>
      <c r="L707">
        <v>9234</v>
      </c>
      <c r="M707" s="2">
        <v>45716</v>
      </c>
      <c r="N707" s="2">
        <v>45722</v>
      </c>
    </row>
    <row r="708" spans="1:14" x14ac:dyDescent="0.3">
      <c r="A708" t="s">
        <v>22</v>
      </c>
      <c r="B708" t="s">
        <v>31</v>
      </c>
      <c r="C708" t="s">
        <v>42</v>
      </c>
      <c r="D708" t="s">
        <v>60</v>
      </c>
      <c r="E708" t="s">
        <v>62</v>
      </c>
      <c r="F708" t="s">
        <v>66</v>
      </c>
      <c r="G708">
        <v>3095.67</v>
      </c>
      <c r="H708">
        <v>10</v>
      </c>
      <c r="I708">
        <v>2786.1030000000001</v>
      </c>
      <c r="J708">
        <v>1</v>
      </c>
      <c r="K708">
        <v>2786.1</v>
      </c>
      <c r="L708">
        <v>417.91</v>
      </c>
      <c r="M708" s="2">
        <v>45519</v>
      </c>
      <c r="N708" s="2">
        <v>45526</v>
      </c>
    </row>
    <row r="709" spans="1:14" x14ac:dyDescent="0.3">
      <c r="A709" t="s">
        <v>28</v>
      </c>
      <c r="B709" t="s">
        <v>34</v>
      </c>
      <c r="C709" t="s">
        <v>55</v>
      </c>
      <c r="D709" t="s">
        <v>58</v>
      </c>
      <c r="E709" t="s">
        <v>64</v>
      </c>
      <c r="F709" t="s">
        <v>76</v>
      </c>
      <c r="G709">
        <v>1587.92</v>
      </c>
      <c r="H709">
        <v>25</v>
      </c>
      <c r="I709">
        <v>1190.94</v>
      </c>
      <c r="J709">
        <v>4</v>
      </c>
      <c r="K709">
        <v>4763.76</v>
      </c>
      <c r="L709">
        <v>1190.94</v>
      </c>
      <c r="M709" s="2">
        <v>45695</v>
      </c>
      <c r="N709" s="2">
        <v>45698</v>
      </c>
    </row>
    <row r="710" spans="1:14" x14ac:dyDescent="0.3">
      <c r="A710" t="s">
        <v>19</v>
      </c>
      <c r="B710" t="s">
        <v>33</v>
      </c>
      <c r="C710" t="s">
        <v>56</v>
      </c>
      <c r="D710" t="s">
        <v>60</v>
      </c>
      <c r="E710" t="s">
        <v>63</v>
      </c>
      <c r="F710" t="s">
        <v>73</v>
      </c>
      <c r="G710">
        <v>1587.89</v>
      </c>
      <c r="H710">
        <v>30</v>
      </c>
      <c r="I710">
        <v>1111.5229999999999</v>
      </c>
      <c r="J710">
        <v>4</v>
      </c>
      <c r="K710">
        <v>4446.09</v>
      </c>
      <c r="L710">
        <v>666.91</v>
      </c>
      <c r="M710" s="2">
        <v>45615</v>
      </c>
      <c r="N710" s="2">
        <v>45623</v>
      </c>
    </row>
    <row r="711" spans="1:14" x14ac:dyDescent="0.3">
      <c r="A711" t="s">
        <v>16</v>
      </c>
      <c r="B711" t="s">
        <v>31</v>
      </c>
      <c r="C711" t="s">
        <v>36</v>
      </c>
      <c r="D711" t="s">
        <v>58</v>
      </c>
      <c r="E711" t="s">
        <v>62</v>
      </c>
      <c r="F711" t="s">
        <v>66</v>
      </c>
      <c r="G711">
        <v>2527.73</v>
      </c>
      <c r="H711">
        <v>30</v>
      </c>
      <c r="I711">
        <v>1769.4110000000001</v>
      </c>
      <c r="J711">
        <v>2</v>
      </c>
      <c r="K711">
        <v>3538.82</v>
      </c>
      <c r="L711">
        <v>884.71</v>
      </c>
      <c r="M711" s="2">
        <v>45489</v>
      </c>
      <c r="N711" s="2">
        <v>45493</v>
      </c>
    </row>
    <row r="712" spans="1:14" x14ac:dyDescent="0.3">
      <c r="A712" t="s">
        <v>18</v>
      </c>
      <c r="B712" t="s">
        <v>33</v>
      </c>
      <c r="C712" t="s">
        <v>38</v>
      </c>
      <c r="D712" t="s">
        <v>59</v>
      </c>
      <c r="E712" t="s">
        <v>63</v>
      </c>
      <c r="F712" t="s">
        <v>75</v>
      </c>
      <c r="G712">
        <v>57212.49</v>
      </c>
      <c r="H712">
        <v>30</v>
      </c>
      <c r="I712">
        <v>40048.742999999988</v>
      </c>
      <c r="J712">
        <v>4</v>
      </c>
      <c r="K712">
        <v>160194.97</v>
      </c>
      <c r="L712">
        <v>56068.24</v>
      </c>
      <c r="M712" s="2">
        <v>45845</v>
      </c>
      <c r="N712" s="2">
        <v>45855</v>
      </c>
    </row>
    <row r="713" spans="1:14" x14ac:dyDescent="0.3">
      <c r="A713" t="s">
        <v>29</v>
      </c>
      <c r="B713" t="s">
        <v>35</v>
      </c>
      <c r="C713" t="s">
        <v>44</v>
      </c>
      <c r="D713" t="s">
        <v>60</v>
      </c>
      <c r="E713" t="s">
        <v>64</v>
      </c>
      <c r="F713" t="s">
        <v>76</v>
      </c>
      <c r="G713">
        <v>16059.24</v>
      </c>
      <c r="H713">
        <v>15</v>
      </c>
      <c r="I713">
        <v>13650.353999999999</v>
      </c>
      <c r="J713">
        <v>3</v>
      </c>
      <c r="K713">
        <v>40951.06</v>
      </c>
      <c r="L713">
        <v>6142.66</v>
      </c>
      <c r="M713" s="2">
        <v>45770</v>
      </c>
      <c r="N713" s="2">
        <v>45774</v>
      </c>
    </row>
    <row r="714" spans="1:14" x14ac:dyDescent="0.3">
      <c r="A714" t="s">
        <v>17</v>
      </c>
      <c r="B714" t="s">
        <v>32</v>
      </c>
      <c r="C714" t="s">
        <v>54</v>
      </c>
      <c r="D714" t="s">
        <v>60</v>
      </c>
      <c r="E714" t="s">
        <v>61</v>
      </c>
      <c r="F714" t="s">
        <v>70</v>
      </c>
      <c r="G714">
        <v>6846.34</v>
      </c>
      <c r="H714">
        <v>10</v>
      </c>
      <c r="I714">
        <v>6161.7060000000001</v>
      </c>
      <c r="J714">
        <v>2</v>
      </c>
      <c r="K714">
        <v>12323.41</v>
      </c>
      <c r="L714">
        <v>1848.51</v>
      </c>
      <c r="M714" s="2">
        <v>45541</v>
      </c>
      <c r="N714" s="2">
        <v>45550</v>
      </c>
    </row>
    <row r="715" spans="1:14" x14ac:dyDescent="0.3">
      <c r="A715" t="s">
        <v>29</v>
      </c>
      <c r="B715" t="s">
        <v>35</v>
      </c>
      <c r="C715" t="s">
        <v>44</v>
      </c>
      <c r="D715" t="s">
        <v>60</v>
      </c>
      <c r="E715" t="s">
        <v>61</v>
      </c>
      <c r="F715" t="s">
        <v>65</v>
      </c>
      <c r="G715">
        <v>15617.21</v>
      </c>
      <c r="H715">
        <v>5</v>
      </c>
      <c r="I715">
        <v>14836.3495</v>
      </c>
      <c r="J715">
        <v>1</v>
      </c>
      <c r="K715">
        <v>14836.35</v>
      </c>
      <c r="L715">
        <v>2225.4499999999998</v>
      </c>
      <c r="M715" s="2">
        <v>45621</v>
      </c>
      <c r="N715" s="2">
        <v>45629</v>
      </c>
    </row>
    <row r="716" spans="1:14" x14ac:dyDescent="0.3">
      <c r="A716" t="s">
        <v>22</v>
      </c>
      <c r="B716" t="s">
        <v>31</v>
      </c>
      <c r="C716" t="s">
        <v>42</v>
      </c>
      <c r="D716" t="s">
        <v>60</v>
      </c>
      <c r="E716" t="s">
        <v>64</v>
      </c>
      <c r="F716" t="s">
        <v>74</v>
      </c>
      <c r="G716">
        <v>3316.45</v>
      </c>
      <c r="H716">
        <v>5</v>
      </c>
      <c r="I716">
        <v>3150.6275000000001</v>
      </c>
      <c r="J716">
        <v>5</v>
      </c>
      <c r="K716">
        <v>15753.14</v>
      </c>
      <c r="L716">
        <v>2362.9699999999998</v>
      </c>
      <c r="M716" s="2">
        <v>45824</v>
      </c>
      <c r="N716" s="2">
        <v>45831</v>
      </c>
    </row>
    <row r="717" spans="1:14" x14ac:dyDescent="0.3">
      <c r="A717" t="s">
        <v>19</v>
      </c>
      <c r="B717" t="s">
        <v>33</v>
      </c>
      <c r="C717" t="s">
        <v>53</v>
      </c>
      <c r="D717" t="s">
        <v>58</v>
      </c>
      <c r="E717" t="s">
        <v>64</v>
      </c>
      <c r="F717" t="s">
        <v>74</v>
      </c>
      <c r="G717">
        <v>2190.59</v>
      </c>
      <c r="H717">
        <v>0</v>
      </c>
      <c r="I717">
        <v>2190.59</v>
      </c>
      <c r="J717">
        <v>3</v>
      </c>
      <c r="K717">
        <v>6571.77</v>
      </c>
      <c r="L717">
        <v>1642.94</v>
      </c>
      <c r="M717" s="2">
        <v>45727</v>
      </c>
      <c r="N717" s="2">
        <v>45729</v>
      </c>
    </row>
    <row r="718" spans="1:14" x14ac:dyDescent="0.3">
      <c r="A718" t="s">
        <v>17</v>
      </c>
      <c r="B718" t="s">
        <v>32</v>
      </c>
      <c r="C718" t="s">
        <v>43</v>
      </c>
      <c r="D718" t="s">
        <v>58</v>
      </c>
      <c r="E718" t="s">
        <v>61</v>
      </c>
      <c r="F718" t="s">
        <v>71</v>
      </c>
      <c r="G718">
        <v>7762.53</v>
      </c>
      <c r="H718">
        <v>15</v>
      </c>
      <c r="I718">
        <v>6598.1504999999997</v>
      </c>
      <c r="J718">
        <v>2</v>
      </c>
      <c r="K718">
        <v>13196.3</v>
      </c>
      <c r="L718">
        <v>3299.07</v>
      </c>
      <c r="M718" s="2">
        <v>45573</v>
      </c>
      <c r="N718" s="2">
        <v>45580</v>
      </c>
    </row>
    <row r="719" spans="1:14" x14ac:dyDescent="0.3">
      <c r="A719" t="s">
        <v>22</v>
      </c>
      <c r="B719" t="s">
        <v>31</v>
      </c>
      <c r="C719" t="s">
        <v>42</v>
      </c>
      <c r="D719" t="s">
        <v>60</v>
      </c>
      <c r="E719" t="s">
        <v>62</v>
      </c>
      <c r="F719" t="s">
        <v>67</v>
      </c>
      <c r="G719">
        <v>3052.84</v>
      </c>
      <c r="H719">
        <v>30</v>
      </c>
      <c r="I719">
        <v>2136.9879999999998</v>
      </c>
      <c r="J719">
        <v>3</v>
      </c>
      <c r="K719">
        <v>6410.96</v>
      </c>
      <c r="L719">
        <v>961.64</v>
      </c>
      <c r="M719" s="2">
        <v>45316</v>
      </c>
      <c r="N719" s="2">
        <v>45319</v>
      </c>
    </row>
    <row r="720" spans="1:14" x14ac:dyDescent="0.3">
      <c r="A720" t="s">
        <v>27</v>
      </c>
      <c r="B720" t="s">
        <v>35</v>
      </c>
      <c r="C720" t="s">
        <v>46</v>
      </c>
      <c r="D720" t="s">
        <v>59</v>
      </c>
      <c r="E720" t="s">
        <v>64</v>
      </c>
      <c r="F720" t="s">
        <v>74</v>
      </c>
      <c r="G720">
        <v>10405.14</v>
      </c>
      <c r="H720">
        <v>20</v>
      </c>
      <c r="I720">
        <v>8324.1119999999992</v>
      </c>
      <c r="J720">
        <v>2</v>
      </c>
      <c r="K720">
        <v>16648.22</v>
      </c>
      <c r="L720">
        <v>5826.88</v>
      </c>
      <c r="M720" s="2">
        <v>45817</v>
      </c>
      <c r="N720" s="2">
        <v>45823</v>
      </c>
    </row>
    <row r="721" spans="1:14" x14ac:dyDescent="0.3">
      <c r="A721" t="s">
        <v>23</v>
      </c>
      <c r="B721" t="s">
        <v>35</v>
      </c>
      <c r="C721" t="s">
        <v>38</v>
      </c>
      <c r="D721" t="s">
        <v>59</v>
      </c>
      <c r="E721" t="s">
        <v>61</v>
      </c>
      <c r="F721" t="s">
        <v>65</v>
      </c>
      <c r="G721">
        <v>29605.91</v>
      </c>
      <c r="H721">
        <v>10</v>
      </c>
      <c r="I721">
        <v>26645.319</v>
      </c>
      <c r="J721">
        <v>3</v>
      </c>
      <c r="K721">
        <v>79935.960000000006</v>
      </c>
      <c r="L721">
        <v>27977.59</v>
      </c>
      <c r="M721" s="2">
        <v>45586</v>
      </c>
      <c r="N721" s="2">
        <v>45595</v>
      </c>
    </row>
    <row r="722" spans="1:14" x14ac:dyDescent="0.3">
      <c r="A722" t="s">
        <v>27</v>
      </c>
      <c r="B722" t="s">
        <v>35</v>
      </c>
      <c r="C722" t="s">
        <v>44</v>
      </c>
      <c r="D722" t="s">
        <v>60</v>
      </c>
      <c r="E722" t="s">
        <v>61</v>
      </c>
      <c r="F722" t="s">
        <v>65</v>
      </c>
      <c r="G722">
        <v>6499.55</v>
      </c>
      <c r="H722">
        <v>10</v>
      </c>
      <c r="I722">
        <v>5849.5950000000003</v>
      </c>
      <c r="J722">
        <v>5</v>
      </c>
      <c r="K722">
        <v>29247.98</v>
      </c>
      <c r="L722">
        <v>4387.2</v>
      </c>
      <c r="M722" s="2">
        <v>45749</v>
      </c>
      <c r="N722" s="2">
        <v>45758</v>
      </c>
    </row>
    <row r="723" spans="1:14" x14ac:dyDescent="0.3">
      <c r="A723" t="s">
        <v>26</v>
      </c>
      <c r="B723" t="s">
        <v>32</v>
      </c>
      <c r="C723" t="s">
        <v>43</v>
      </c>
      <c r="D723" t="s">
        <v>58</v>
      </c>
      <c r="E723" t="s">
        <v>63</v>
      </c>
      <c r="F723" t="s">
        <v>68</v>
      </c>
      <c r="G723">
        <v>33092.76</v>
      </c>
      <c r="H723">
        <v>25</v>
      </c>
      <c r="I723">
        <v>24819.57</v>
      </c>
      <c r="J723">
        <v>4</v>
      </c>
      <c r="K723">
        <v>99278.28</v>
      </c>
      <c r="L723">
        <v>24819.57</v>
      </c>
      <c r="M723" s="2">
        <v>45303</v>
      </c>
      <c r="N723" s="2">
        <v>45310</v>
      </c>
    </row>
    <row r="724" spans="1:14" x14ac:dyDescent="0.3">
      <c r="A724" t="s">
        <v>27</v>
      </c>
      <c r="B724" t="s">
        <v>35</v>
      </c>
      <c r="C724" t="s">
        <v>44</v>
      </c>
      <c r="D724" t="s">
        <v>60</v>
      </c>
      <c r="E724" t="s">
        <v>62</v>
      </c>
      <c r="F724" t="s">
        <v>66</v>
      </c>
      <c r="G724">
        <v>7149.2</v>
      </c>
      <c r="H724">
        <v>30</v>
      </c>
      <c r="I724">
        <v>5004.4399999999996</v>
      </c>
      <c r="J724">
        <v>1</v>
      </c>
      <c r="K724">
        <v>5004.4399999999996</v>
      </c>
      <c r="L724">
        <v>750.67</v>
      </c>
      <c r="M724" s="2">
        <v>45774</v>
      </c>
      <c r="N724" s="2">
        <v>45784</v>
      </c>
    </row>
    <row r="725" spans="1:14" x14ac:dyDescent="0.3">
      <c r="A725" t="s">
        <v>19</v>
      </c>
      <c r="B725" t="s">
        <v>33</v>
      </c>
      <c r="C725" t="s">
        <v>53</v>
      </c>
      <c r="D725" t="s">
        <v>58</v>
      </c>
      <c r="E725" t="s">
        <v>61</v>
      </c>
      <c r="F725" t="s">
        <v>65</v>
      </c>
      <c r="G725">
        <v>1882.52</v>
      </c>
      <c r="H725">
        <v>0</v>
      </c>
      <c r="I725">
        <v>1882.52</v>
      </c>
      <c r="J725">
        <v>2</v>
      </c>
      <c r="K725">
        <v>3765.04</v>
      </c>
      <c r="L725">
        <v>941.26</v>
      </c>
      <c r="M725" s="2">
        <v>45620</v>
      </c>
      <c r="N725" s="2">
        <v>45626</v>
      </c>
    </row>
    <row r="726" spans="1:14" x14ac:dyDescent="0.3">
      <c r="A726" t="s">
        <v>30</v>
      </c>
      <c r="B726" t="s">
        <v>33</v>
      </c>
      <c r="C726" t="s">
        <v>53</v>
      </c>
      <c r="D726" t="s">
        <v>58</v>
      </c>
      <c r="E726" t="s">
        <v>63</v>
      </c>
      <c r="F726" t="s">
        <v>73</v>
      </c>
      <c r="G726">
        <v>14413.12</v>
      </c>
      <c r="H726">
        <v>20</v>
      </c>
      <c r="I726">
        <v>11530.495999999999</v>
      </c>
      <c r="J726">
        <v>2</v>
      </c>
      <c r="K726">
        <v>23060.99</v>
      </c>
      <c r="L726">
        <v>5765.25</v>
      </c>
      <c r="M726" s="2">
        <v>45633</v>
      </c>
      <c r="N726" s="2">
        <v>45635</v>
      </c>
    </row>
    <row r="727" spans="1:14" x14ac:dyDescent="0.3">
      <c r="A727" t="s">
        <v>28</v>
      </c>
      <c r="B727" t="s">
        <v>34</v>
      </c>
      <c r="C727" t="s">
        <v>45</v>
      </c>
      <c r="D727" t="s">
        <v>59</v>
      </c>
      <c r="E727" t="s">
        <v>61</v>
      </c>
      <c r="F727" t="s">
        <v>71</v>
      </c>
      <c r="G727">
        <v>1692.53</v>
      </c>
      <c r="H727">
        <v>25</v>
      </c>
      <c r="I727">
        <v>1269.3975</v>
      </c>
      <c r="J727">
        <v>4</v>
      </c>
      <c r="K727">
        <v>5077.59</v>
      </c>
      <c r="L727">
        <v>1777.16</v>
      </c>
      <c r="M727" s="2">
        <v>45648</v>
      </c>
      <c r="N727" s="2">
        <v>45651</v>
      </c>
    </row>
    <row r="728" spans="1:14" x14ac:dyDescent="0.3">
      <c r="A728" t="s">
        <v>25</v>
      </c>
      <c r="B728" t="s">
        <v>34</v>
      </c>
      <c r="C728" t="s">
        <v>41</v>
      </c>
      <c r="D728" t="s">
        <v>60</v>
      </c>
      <c r="E728" t="s">
        <v>63</v>
      </c>
      <c r="F728" t="s">
        <v>68</v>
      </c>
      <c r="G728">
        <v>654.01</v>
      </c>
      <c r="H728">
        <v>10</v>
      </c>
      <c r="I728">
        <v>588.60900000000004</v>
      </c>
      <c r="J728">
        <v>4</v>
      </c>
      <c r="K728">
        <v>2354.44</v>
      </c>
      <c r="L728">
        <v>353.17</v>
      </c>
      <c r="M728" s="2">
        <v>45834</v>
      </c>
      <c r="N728" s="2">
        <v>45842</v>
      </c>
    </row>
    <row r="729" spans="1:14" x14ac:dyDescent="0.3">
      <c r="A729" t="s">
        <v>28</v>
      </c>
      <c r="B729" t="s">
        <v>34</v>
      </c>
      <c r="C729" t="s">
        <v>52</v>
      </c>
      <c r="D729" t="s">
        <v>60</v>
      </c>
      <c r="E729" t="s">
        <v>62</v>
      </c>
      <c r="F729" t="s">
        <v>66</v>
      </c>
      <c r="G729">
        <v>1359.73</v>
      </c>
      <c r="H729">
        <v>5</v>
      </c>
      <c r="I729">
        <v>1291.7435</v>
      </c>
      <c r="J729">
        <v>5</v>
      </c>
      <c r="K729">
        <v>6458.72</v>
      </c>
      <c r="L729">
        <v>968.81</v>
      </c>
      <c r="M729" s="2">
        <v>45843</v>
      </c>
      <c r="N729" s="2">
        <v>45849</v>
      </c>
    </row>
    <row r="730" spans="1:14" x14ac:dyDescent="0.3">
      <c r="A730" t="s">
        <v>17</v>
      </c>
      <c r="B730" t="s">
        <v>32</v>
      </c>
      <c r="C730" t="s">
        <v>40</v>
      </c>
      <c r="D730" t="s">
        <v>59</v>
      </c>
      <c r="E730" t="s">
        <v>64</v>
      </c>
      <c r="F730" t="s">
        <v>76</v>
      </c>
      <c r="G730">
        <v>10144.43</v>
      </c>
      <c r="H730">
        <v>5</v>
      </c>
      <c r="I730">
        <v>9637.2085000000006</v>
      </c>
      <c r="J730">
        <v>1</v>
      </c>
      <c r="K730">
        <v>9637.2099999999991</v>
      </c>
      <c r="L730">
        <v>3373.02</v>
      </c>
      <c r="M730" s="2">
        <v>45488</v>
      </c>
      <c r="N730" s="2">
        <v>45494</v>
      </c>
    </row>
    <row r="731" spans="1:14" x14ac:dyDescent="0.3">
      <c r="A731" t="s">
        <v>24</v>
      </c>
      <c r="B731" t="s">
        <v>32</v>
      </c>
      <c r="C731" t="s">
        <v>40</v>
      </c>
      <c r="D731" t="s">
        <v>59</v>
      </c>
      <c r="E731" t="s">
        <v>63</v>
      </c>
      <c r="F731" t="s">
        <v>75</v>
      </c>
      <c r="G731">
        <v>27533.55</v>
      </c>
      <c r="H731">
        <v>30</v>
      </c>
      <c r="I731">
        <v>19273.485000000001</v>
      </c>
      <c r="J731">
        <v>4</v>
      </c>
      <c r="K731">
        <v>77093.94</v>
      </c>
      <c r="L731">
        <v>26982.880000000001</v>
      </c>
      <c r="M731" s="2">
        <v>45622</v>
      </c>
      <c r="N731" s="2">
        <v>45625</v>
      </c>
    </row>
    <row r="732" spans="1:14" x14ac:dyDescent="0.3">
      <c r="A732" t="s">
        <v>25</v>
      </c>
      <c r="B732" t="s">
        <v>34</v>
      </c>
      <c r="C732" t="s">
        <v>45</v>
      </c>
      <c r="D732" t="s">
        <v>59</v>
      </c>
      <c r="E732" t="s">
        <v>62</v>
      </c>
      <c r="F732" t="s">
        <v>69</v>
      </c>
      <c r="G732">
        <v>1006.65</v>
      </c>
      <c r="H732">
        <v>0</v>
      </c>
      <c r="I732">
        <v>1006.65</v>
      </c>
      <c r="J732">
        <v>4</v>
      </c>
      <c r="K732">
        <v>4026.6</v>
      </c>
      <c r="L732">
        <v>1409.31</v>
      </c>
      <c r="M732" s="2">
        <v>45430</v>
      </c>
      <c r="N732" s="2">
        <v>45440</v>
      </c>
    </row>
    <row r="733" spans="1:14" x14ac:dyDescent="0.3">
      <c r="A733" t="s">
        <v>26</v>
      </c>
      <c r="B733" t="s">
        <v>32</v>
      </c>
      <c r="C733" t="s">
        <v>40</v>
      </c>
      <c r="D733" t="s">
        <v>59</v>
      </c>
      <c r="E733" t="s">
        <v>62</v>
      </c>
      <c r="F733" t="s">
        <v>69</v>
      </c>
      <c r="G733">
        <v>45441.95</v>
      </c>
      <c r="H733">
        <v>5</v>
      </c>
      <c r="I733">
        <v>43169.852499999994</v>
      </c>
      <c r="J733">
        <v>1</v>
      </c>
      <c r="K733">
        <v>43169.85</v>
      </c>
      <c r="L733">
        <v>15109.45</v>
      </c>
      <c r="M733" s="2">
        <v>45339</v>
      </c>
      <c r="N733" s="2">
        <v>45342</v>
      </c>
    </row>
    <row r="734" spans="1:14" x14ac:dyDescent="0.3">
      <c r="A734" t="s">
        <v>25</v>
      </c>
      <c r="B734" t="s">
        <v>34</v>
      </c>
      <c r="C734" t="s">
        <v>45</v>
      </c>
      <c r="D734" t="s">
        <v>59</v>
      </c>
      <c r="E734" t="s">
        <v>64</v>
      </c>
      <c r="F734" t="s">
        <v>74</v>
      </c>
      <c r="G734">
        <v>1044.8</v>
      </c>
      <c r="H734">
        <v>25</v>
      </c>
      <c r="I734">
        <v>783.59999999999991</v>
      </c>
      <c r="J734">
        <v>1</v>
      </c>
      <c r="K734">
        <v>783.6</v>
      </c>
      <c r="L734">
        <v>274.26</v>
      </c>
      <c r="M734" s="2">
        <v>45588</v>
      </c>
      <c r="N734" s="2">
        <v>45590</v>
      </c>
    </row>
    <row r="735" spans="1:14" x14ac:dyDescent="0.3">
      <c r="A735" t="s">
        <v>19</v>
      </c>
      <c r="B735" t="s">
        <v>33</v>
      </c>
      <c r="C735" t="s">
        <v>53</v>
      </c>
      <c r="D735" t="s">
        <v>58</v>
      </c>
      <c r="E735" t="s">
        <v>64</v>
      </c>
      <c r="F735" t="s">
        <v>72</v>
      </c>
      <c r="G735">
        <v>2222.69</v>
      </c>
      <c r="H735">
        <v>25</v>
      </c>
      <c r="I735">
        <v>1667.0174999999999</v>
      </c>
      <c r="J735">
        <v>1</v>
      </c>
      <c r="K735">
        <v>1667.02</v>
      </c>
      <c r="L735">
        <v>416.75</v>
      </c>
      <c r="M735" s="2">
        <v>45388</v>
      </c>
      <c r="N735" s="2">
        <v>45390</v>
      </c>
    </row>
    <row r="736" spans="1:14" x14ac:dyDescent="0.3">
      <c r="A736" t="s">
        <v>21</v>
      </c>
      <c r="B736" t="s">
        <v>34</v>
      </c>
      <c r="C736" t="s">
        <v>51</v>
      </c>
      <c r="D736" t="s">
        <v>59</v>
      </c>
      <c r="E736" t="s">
        <v>64</v>
      </c>
      <c r="F736" t="s">
        <v>72</v>
      </c>
      <c r="G736">
        <v>3960.84</v>
      </c>
      <c r="H736">
        <v>25</v>
      </c>
      <c r="I736">
        <v>2970.63</v>
      </c>
      <c r="J736">
        <v>5</v>
      </c>
      <c r="K736">
        <v>14853.15</v>
      </c>
      <c r="L736">
        <v>5198.6000000000004</v>
      </c>
      <c r="M736" s="2">
        <v>45848</v>
      </c>
      <c r="N736" s="2">
        <v>45852</v>
      </c>
    </row>
    <row r="737" spans="1:14" x14ac:dyDescent="0.3">
      <c r="A737" t="s">
        <v>28</v>
      </c>
      <c r="B737" t="s">
        <v>34</v>
      </c>
      <c r="C737" t="s">
        <v>51</v>
      </c>
      <c r="D737" t="s">
        <v>59</v>
      </c>
      <c r="E737" t="s">
        <v>61</v>
      </c>
      <c r="F737" t="s">
        <v>71</v>
      </c>
      <c r="G737">
        <v>1801.08</v>
      </c>
      <c r="H737">
        <v>10</v>
      </c>
      <c r="I737">
        <v>1620.972</v>
      </c>
      <c r="J737">
        <v>5</v>
      </c>
      <c r="K737">
        <v>8104.86</v>
      </c>
      <c r="L737">
        <v>2836.7</v>
      </c>
      <c r="M737" s="2">
        <v>45727</v>
      </c>
      <c r="N737" s="2">
        <v>45737</v>
      </c>
    </row>
    <row r="738" spans="1:14" x14ac:dyDescent="0.3">
      <c r="A738" t="s">
        <v>23</v>
      </c>
      <c r="B738" t="s">
        <v>35</v>
      </c>
      <c r="C738" t="s">
        <v>48</v>
      </c>
      <c r="D738" t="s">
        <v>58</v>
      </c>
      <c r="E738" t="s">
        <v>61</v>
      </c>
      <c r="F738" t="s">
        <v>65</v>
      </c>
      <c r="G738">
        <v>24409.09</v>
      </c>
      <c r="H738">
        <v>25</v>
      </c>
      <c r="I738">
        <v>18306.817500000001</v>
      </c>
      <c r="J738">
        <v>1</v>
      </c>
      <c r="K738">
        <v>18306.82</v>
      </c>
      <c r="L738">
        <v>4576.7</v>
      </c>
      <c r="M738" s="2">
        <v>45410</v>
      </c>
      <c r="N738" s="2">
        <v>45420</v>
      </c>
    </row>
    <row r="739" spans="1:14" x14ac:dyDescent="0.3">
      <c r="A739" t="s">
        <v>17</v>
      </c>
      <c r="B739" t="s">
        <v>32</v>
      </c>
      <c r="C739" t="s">
        <v>40</v>
      </c>
      <c r="D739" t="s">
        <v>59</v>
      </c>
      <c r="E739" t="s">
        <v>63</v>
      </c>
      <c r="F739" t="s">
        <v>68</v>
      </c>
      <c r="G739">
        <v>9336.19</v>
      </c>
      <c r="H739">
        <v>30</v>
      </c>
      <c r="I739">
        <v>6535.3329999999996</v>
      </c>
      <c r="J739">
        <v>1</v>
      </c>
      <c r="K739">
        <v>6535.33</v>
      </c>
      <c r="L739">
        <v>2287.37</v>
      </c>
      <c r="M739" s="2">
        <v>45301</v>
      </c>
      <c r="N739" s="2">
        <v>45309</v>
      </c>
    </row>
    <row r="740" spans="1:14" x14ac:dyDescent="0.3">
      <c r="A740" t="s">
        <v>26</v>
      </c>
      <c r="B740" t="s">
        <v>32</v>
      </c>
      <c r="C740" t="s">
        <v>43</v>
      </c>
      <c r="D740" t="s">
        <v>58</v>
      </c>
      <c r="E740" t="s">
        <v>63</v>
      </c>
      <c r="F740" t="s">
        <v>75</v>
      </c>
      <c r="G740">
        <v>32037.75</v>
      </c>
      <c r="H740">
        <v>15</v>
      </c>
      <c r="I740">
        <v>27232.087500000001</v>
      </c>
      <c r="J740">
        <v>4</v>
      </c>
      <c r="K740">
        <v>108928.35</v>
      </c>
      <c r="L740">
        <v>27232.09</v>
      </c>
      <c r="M740" s="2">
        <v>45700</v>
      </c>
      <c r="N740" s="2">
        <v>45704</v>
      </c>
    </row>
    <row r="741" spans="1:14" x14ac:dyDescent="0.3">
      <c r="A741" t="s">
        <v>30</v>
      </c>
      <c r="B741" t="s">
        <v>33</v>
      </c>
      <c r="C741" t="s">
        <v>57</v>
      </c>
      <c r="D741" t="s">
        <v>60</v>
      </c>
      <c r="E741" t="s">
        <v>62</v>
      </c>
      <c r="F741" t="s">
        <v>69</v>
      </c>
      <c r="G741">
        <v>13654.93</v>
      </c>
      <c r="H741">
        <v>15</v>
      </c>
      <c r="I741">
        <v>11606.690500000001</v>
      </c>
      <c r="J741">
        <v>3</v>
      </c>
      <c r="K741">
        <v>34820.07</v>
      </c>
      <c r="L741">
        <v>5223.01</v>
      </c>
      <c r="M741" s="2">
        <v>45348</v>
      </c>
      <c r="N741" s="2">
        <v>45357</v>
      </c>
    </row>
    <row r="742" spans="1:14" x14ac:dyDescent="0.3">
      <c r="A742" t="s">
        <v>16</v>
      </c>
      <c r="B742" t="s">
        <v>31</v>
      </c>
      <c r="C742" t="s">
        <v>36</v>
      </c>
      <c r="D742" t="s">
        <v>58</v>
      </c>
      <c r="E742" t="s">
        <v>64</v>
      </c>
      <c r="F742" t="s">
        <v>74</v>
      </c>
      <c r="G742">
        <v>2568.31</v>
      </c>
      <c r="H742">
        <v>0</v>
      </c>
      <c r="I742">
        <v>2568.31</v>
      </c>
      <c r="J742">
        <v>1</v>
      </c>
      <c r="K742">
        <v>2568.31</v>
      </c>
      <c r="L742">
        <v>642.08000000000004</v>
      </c>
      <c r="M742" s="2">
        <v>45443</v>
      </c>
      <c r="N742" s="2">
        <v>45453</v>
      </c>
    </row>
    <row r="743" spans="1:14" x14ac:dyDescent="0.3">
      <c r="A743" t="s">
        <v>18</v>
      </c>
      <c r="B743" t="s">
        <v>33</v>
      </c>
      <c r="C743" t="s">
        <v>56</v>
      </c>
      <c r="D743" t="s">
        <v>60</v>
      </c>
      <c r="E743" t="s">
        <v>63</v>
      </c>
      <c r="F743" t="s">
        <v>75</v>
      </c>
      <c r="G743">
        <v>39645.949999999997</v>
      </c>
      <c r="H743">
        <v>10</v>
      </c>
      <c r="I743">
        <v>35681.355000000003</v>
      </c>
      <c r="J743">
        <v>5</v>
      </c>
      <c r="K743">
        <v>178406.77</v>
      </c>
      <c r="L743">
        <v>26761.02</v>
      </c>
      <c r="M743" s="2">
        <v>45440</v>
      </c>
      <c r="N743" s="2">
        <v>45443</v>
      </c>
    </row>
    <row r="744" spans="1:14" x14ac:dyDescent="0.3">
      <c r="A744" t="s">
        <v>25</v>
      </c>
      <c r="B744" t="s">
        <v>34</v>
      </c>
      <c r="C744" t="s">
        <v>41</v>
      </c>
      <c r="D744" t="s">
        <v>60</v>
      </c>
      <c r="E744" t="s">
        <v>63</v>
      </c>
      <c r="F744" t="s">
        <v>75</v>
      </c>
      <c r="G744">
        <v>620.75</v>
      </c>
      <c r="H744">
        <v>10</v>
      </c>
      <c r="I744">
        <v>558.67500000000007</v>
      </c>
      <c r="J744">
        <v>4</v>
      </c>
      <c r="K744">
        <v>2234.6999999999998</v>
      </c>
      <c r="L744">
        <v>335.2</v>
      </c>
      <c r="M744" s="2">
        <v>45318</v>
      </c>
      <c r="N744" s="2">
        <v>45325</v>
      </c>
    </row>
    <row r="745" spans="1:14" x14ac:dyDescent="0.3">
      <c r="A745" t="s">
        <v>18</v>
      </c>
      <c r="B745" t="s">
        <v>33</v>
      </c>
      <c r="C745" t="s">
        <v>39</v>
      </c>
      <c r="D745" t="s">
        <v>58</v>
      </c>
      <c r="E745" t="s">
        <v>62</v>
      </c>
      <c r="F745" t="s">
        <v>66</v>
      </c>
      <c r="G745">
        <v>52109.79</v>
      </c>
      <c r="H745">
        <v>5</v>
      </c>
      <c r="I745">
        <v>49504.300499999998</v>
      </c>
      <c r="J745">
        <v>1</v>
      </c>
      <c r="K745">
        <v>49504.3</v>
      </c>
      <c r="L745">
        <v>12376.08</v>
      </c>
      <c r="M745" s="2">
        <v>45799</v>
      </c>
      <c r="N745" s="2">
        <v>45803</v>
      </c>
    </row>
    <row r="746" spans="1:14" x14ac:dyDescent="0.3">
      <c r="A746" t="s">
        <v>16</v>
      </c>
      <c r="B746" t="s">
        <v>31</v>
      </c>
      <c r="C746" t="s">
        <v>47</v>
      </c>
      <c r="D746" t="s">
        <v>59</v>
      </c>
      <c r="E746" t="s">
        <v>63</v>
      </c>
      <c r="F746" t="s">
        <v>73</v>
      </c>
      <c r="G746">
        <v>2789.83</v>
      </c>
      <c r="H746">
        <v>5</v>
      </c>
      <c r="I746">
        <v>2650.3384999999998</v>
      </c>
      <c r="J746">
        <v>1</v>
      </c>
      <c r="K746">
        <v>2650.34</v>
      </c>
      <c r="L746">
        <v>927.62</v>
      </c>
      <c r="M746" s="2">
        <v>45764</v>
      </c>
      <c r="N746" s="2">
        <v>45773</v>
      </c>
    </row>
    <row r="747" spans="1:14" x14ac:dyDescent="0.3">
      <c r="A747" t="s">
        <v>26</v>
      </c>
      <c r="B747" t="s">
        <v>32</v>
      </c>
      <c r="C747" t="s">
        <v>37</v>
      </c>
      <c r="D747" t="s">
        <v>59</v>
      </c>
      <c r="E747" t="s">
        <v>63</v>
      </c>
      <c r="F747" t="s">
        <v>75</v>
      </c>
      <c r="G747">
        <v>39640.85</v>
      </c>
      <c r="H747">
        <v>0</v>
      </c>
      <c r="I747">
        <v>39640.85</v>
      </c>
      <c r="J747">
        <v>4</v>
      </c>
      <c r="K747">
        <v>158563.4</v>
      </c>
      <c r="L747">
        <v>55497.19</v>
      </c>
      <c r="M747" s="2">
        <v>45324</v>
      </c>
      <c r="N747" s="2">
        <v>45330</v>
      </c>
    </row>
    <row r="748" spans="1:14" x14ac:dyDescent="0.3">
      <c r="A748" t="s">
        <v>26</v>
      </c>
      <c r="B748" t="s">
        <v>32</v>
      </c>
      <c r="C748" t="s">
        <v>54</v>
      </c>
      <c r="D748" t="s">
        <v>60</v>
      </c>
      <c r="E748" t="s">
        <v>64</v>
      </c>
      <c r="F748" t="s">
        <v>74</v>
      </c>
      <c r="G748">
        <v>30688.29</v>
      </c>
      <c r="H748">
        <v>10</v>
      </c>
      <c r="I748">
        <v>27619.460999999999</v>
      </c>
      <c r="J748">
        <v>5</v>
      </c>
      <c r="K748">
        <v>138097.31</v>
      </c>
      <c r="L748">
        <v>20714.599999999999</v>
      </c>
      <c r="M748" s="2">
        <v>45602</v>
      </c>
      <c r="N748" s="2">
        <v>45612</v>
      </c>
    </row>
    <row r="749" spans="1:14" x14ac:dyDescent="0.3">
      <c r="A749" t="s">
        <v>25</v>
      </c>
      <c r="B749" t="s">
        <v>34</v>
      </c>
      <c r="C749" t="s">
        <v>41</v>
      </c>
      <c r="D749" t="s">
        <v>60</v>
      </c>
      <c r="E749" t="s">
        <v>62</v>
      </c>
      <c r="F749" t="s">
        <v>66</v>
      </c>
      <c r="G749">
        <v>709.25</v>
      </c>
      <c r="H749">
        <v>15</v>
      </c>
      <c r="I749">
        <v>602.86249999999995</v>
      </c>
      <c r="J749">
        <v>5</v>
      </c>
      <c r="K749">
        <v>3014.31</v>
      </c>
      <c r="L749">
        <v>452.15</v>
      </c>
      <c r="M749" s="2">
        <v>45607</v>
      </c>
      <c r="N749" s="2">
        <v>45614</v>
      </c>
    </row>
    <row r="750" spans="1:14" x14ac:dyDescent="0.3">
      <c r="A750" t="s">
        <v>18</v>
      </c>
      <c r="B750" t="s">
        <v>33</v>
      </c>
      <c r="C750" t="s">
        <v>53</v>
      </c>
      <c r="D750" t="s">
        <v>58</v>
      </c>
      <c r="E750" t="s">
        <v>62</v>
      </c>
      <c r="F750" t="s">
        <v>69</v>
      </c>
      <c r="G750">
        <v>52408.26</v>
      </c>
      <c r="H750">
        <v>5</v>
      </c>
      <c r="I750">
        <v>49787.847000000002</v>
      </c>
      <c r="J750">
        <v>4</v>
      </c>
      <c r="K750">
        <v>199151.39</v>
      </c>
      <c r="L750">
        <v>49787.85</v>
      </c>
      <c r="M750" s="2">
        <v>45387</v>
      </c>
      <c r="N750" s="2">
        <v>45394</v>
      </c>
    </row>
    <row r="751" spans="1:14" x14ac:dyDescent="0.3">
      <c r="A751" t="s">
        <v>30</v>
      </c>
      <c r="B751" t="s">
        <v>33</v>
      </c>
      <c r="C751" t="s">
        <v>39</v>
      </c>
      <c r="D751" t="s">
        <v>58</v>
      </c>
      <c r="E751" t="s">
        <v>64</v>
      </c>
      <c r="F751" t="s">
        <v>76</v>
      </c>
      <c r="G751">
        <v>16894.349999999999</v>
      </c>
      <c r="H751">
        <v>0</v>
      </c>
      <c r="I751">
        <v>16894.349999999999</v>
      </c>
      <c r="J751">
        <v>5</v>
      </c>
      <c r="K751">
        <v>84471.75</v>
      </c>
      <c r="L751">
        <v>21117.94</v>
      </c>
      <c r="M751" s="2">
        <v>45525</v>
      </c>
      <c r="N751" s="2">
        <v>45528</v>
      </c>
    </row>
    <row r="752" spans="1:14" x14ac:dyDescent="0.3">
      <c r="A752" t="s">
        <v>20</v>
      </c>
      <c r="B752" t="s">
        <v>32</v>
      </c>
      <c r="C752" t="s">
        <v>40</v>
      </c>
      <c r="D752" t="s">
        <v>59</v>
      </c>
      <c r="E752" t="s">
        <v>62</v>
      </c>
      <c r="F752" t="s">
        <v>67</v>
      </c>
      <c r="G752">
        <v>37006.300000000003</v>
      </c>
      <c r="H752">
        <v>5</v>
      </c>
      <c r="I752">
        <v>35155.985000000001</v>
      </c>
      <c r="J752">
        <v>1</v>
      </c>
      <c r="K752">
        <v>35155.99</v>
      </c>
      <c r="L752">
        <v>12304.6</v>
      </c>
      <c r="M752" s="2">
        <v>45805</v>
      </c>
      <c r="N752" s="2">
        <v>45808</v>
      </c>
    </row>
    <row r="753" spans="1:14" x14ac:dyDescent="0.3">
      <c r="A753" t="s">
        <v>29</v>
      </c>
      <c r="B753" t="s">
        <v>35</v>
      </c>
      <c r="C753" t="s">
        <v>46</v>
      </c>
      <c r="D753" t="s">
        <v>59</v>
      </c>
      <c r="E753" t="s">
        <v>63</v>
      </c>
      <c r="F753" t="s">
        <v>68</v>
      </c>
      <c r="G753">
        <v>20742.86</v>
      </c>
      <c r="H753">
        <v>15</v>
      </c>
      <c r="I753">
        <v>17631.431</v>
      </c>
      <c r="J753">
        <v>1</v>
      </c>
      <c r="K753">
        <v>17631.43</v>
      </c>
      <c r="L753">
        <v>6171</v>
      </c>
      <c r="M753" s="2">
        <v>45762</v>
      </c>
      <c r="N753" s="2">
        <v>45766</v>
      </c>
    </row>
    <row r="754" spans="1:14" x14ac:dyDescent="0.3">
      <c r="A754" t="s">
        <v>27</v>
      </c>
      <c r="B754" t="s">
        <v>35</v>
      </c>
      <c r="C754" t="s">
        <v>38</v>
      </c>
      <c r="D754" t="s">
        <v>59</v>
      </c>
      <c r="E754" t="s">
        <v>62</v>
      </c>
      <c r="F754" t="s">
        <v>67</v>
      </c>
      <c r="G754">
        <v>10331.290000000001</v>
      </c>
      <c r="H754">
        <v>5</v>
      </c>
      <c r="I754">
        <v>9814.7255000000005</v>
      </c>
      <c r="J754">
        <v>5</v>
      </c>
      <c r="K754">
        <v>49073.63</v>
      </c>
      <c r="L754">
        <v>17175.77</v>
      </c>
      <c r="M754" s="2">
        <v>45637</v>
      </c>
      <c r="N754" s="2">
        <v>45641</v>
      </c>
    </row>
    <row r="755" spans="1:14" x14ac:dyDescent="0.3">
      <c r="A755" t="s">
        <v>23</v>
      </c>
      <c r="B755" t="s">
        <v>35</v>
      </c>
      <c r="C755" t="s">
        <v>38</v>
      </c>
      <c r="D755" t="s">
        <v>59</v>
      </c>
      <c r="E755" t="s">
        <v>61</v>
      </c>
      <c r="F755" t="s">
        <v>65</v>
      </c>
      <c r="G755">
        <v>28931.64</v>
      </c>
      <c r="H755">
        <v>5</v>
      </c>
      <c r="I755">
        <v>27485.058000000001</v>
      </c>
      <c r="J755">
        <v>1</v>
      </c>
      <c r="K755">
        <v>27485.06</v>
      </c>
      <c r="L755">
        <v>9619.77</v>
      </c>
      <c r="M755" s="2">
        <v>45778</v>
      </c>
      <c r="N755" s="2">
        <v>45780</v>
      </c>
    </row>
    <row r="756" spans="1:14" x14ac:dyDescent="0.3">
      <c r="A756" t="s">
        <v>23</v>
      </c>
      <c r="B756" t="s">
        <v>35</v>
      </c>
      <c r="C756" t="s">
        <v>44</v>
      </c>
      <c r="D756" t="s">
        <v>60</v>
      </c>
      <c r="E756" t="s">
        <v>61</v>
      </c>
      <c r="F756" t="s">
        <v>65</v>
      </c>
      <c r="G756">
        <v>21404.67</v>
      </c>
      <c r="H756">
        <v>25</v>
      </c>
      <c r="I756">
        <v>16053.502500000001</v>
      </c>
      <c r="J756">
        <v>1</v>
      </c>
      <c r="K756">
        <v>16053.5</v>
      </c>
      <c r="L756">
        <v>2408.0300000000002</v>
      </c>
      <c r="M756" s="2">
        <v>45804</v>
      </c>
      <c r="N756" s="2">
        <v>45814</v>
      </c>
    </row>
    <row r="757" spans="1:14" x14ac:dyDescent="0.3">
      <c r="A757" t="s">
        <v>25</v>
      </c>
      <c r="B757" t="s">
        <v>34</v>
      </c>
      <c r="C757" t="s">
        <v>49</v>
      </c>
      <c r="D757" t="s">
        <v>59</v>
      </c>
      <c r="E757" t="s">
        <v>62</v>
      </c>
      <c r="F757" t="s">
        <v>66</v>
      </c>
      <c r="G757">
        <v>1008.01</v>
      </c>
      <c r="H757">
        <v>15</v>
      </c>
      <c r="I757">
        <v>856.80849999999998</v>
      </c>
      <c r="J757">
        <v>4</v>
      </c>
      <c r="K757">
        <v>3427.23</v>
      </c>
      <c r="L757">
        <v>1199.53</v>
      </c>
      <c r="M757" s="2">
        <v>45534</v>
      </c>
      <c r="N757" s="2">
        <v>45541</v>
      </c>
    </row>
    <row r="758" spans="1:14" x14ac:dyDescent="0.3">
      <c r="A758" t="s">
        <v>24</v>
      </c>
      <c r="B758" t="s">
        <v>32</v>
      </c>
      <c r="C758" t="s">
        <v>37</v>
      </c>
      <c r="D758" t="s">
        <v>59</v>
      </c>
      <c r="E758" t="s">
        <v>62</v>
      </c>
      <c r="F758" t="s">
        <v>69</v>
      </c>
      <c r="G758">
        <v>32669.11</v>
      </c>
      <c r="H758">
        <v>20</v>
      </c>
      <c r="I758">
        <v>26135.288</v>
      </c>
      <c r="J758">
        <v>5</v>
      </c>
      <c r="K758">
        <v>130676.44</v>
      </c>
      <c r="L758">
        <v>45736.75</v>
      </c>
      <c r="M758" s="2">
        <v>45609</v>
      </c>
      <c r="N758" s="2">
        <v>45616</v>
      </c>
    </row>
    <row r="759" spans="1:14" x14ac:dyDescent="0.3">
      <c r="A759" t="s">
        <v>24</v>
      </c>
      <c r="B759" t="s">
        <v>32</v>
      </c>
      <c r="C759" t="s">
        <v>43</v>
      </c>
      <c r="D759" t="s">
        <v>58</v>
      </c>
      <c r="E759" t="s">
        <v>64</v>
      </c>
      <c r="F759" t="s">
        <v>72</v>
      </c>
      <c r="G759">
        <v>27550.17</v>
      </c>
      <c r="H759">
        <v>15</v>
      </c>
      <c r="I759">
        <v>23417.644499999999</v>
      </c>
      <c r="J759">
        <v>2</v>
      </c>
      <c r="K759">
        <v>46835.29</v>
      </c>
      <c r="L759">
        <v>11708.82</v>
      </c>
      <c r="M759" s="2">
        <v>45589</v>
      </c>
      <c r="N759" s="2">
        <v>45598</v>
      </c>
    </row>
    <row r="760" spans="1:14" x14ac:dyDescent="0.3">
      <c r="A760" t="s">
        <v>27</v>
      </c>
      <c r="B760" t="s">
        <v>35</v>
      </c>
      <c r="C760" t="s">
        <v>46</v>
      </c>
      <c r="D760" t="s">
        <v>59</v>
      </c>
      <c r="E760" t="s">
        <v>64</v>
      </c>
      <c r="F760" t="s">
        <v>72</v>
      </c>
      <c r="G760">
        <v>10295.84</v>
      </c>
      <c r="H760">
        <v>10</v>
      </c>
      <c r="I760">
        <v>9266.2560000000012</v>
      </c>
      <c r="J760">
        <v>2</v>
      </c>
      <c r="K760">
        <v>18532.509999999998</v>
      </c>
      <c r="L760">
        <v>6486.38</v>
      </c>
      <c r="M760" s="2">
        <v>45700</v>
      </c>
      <c r="N760" s="2">
        <v>45710</v>
      </c>
    </row>
    <row r="761" spans="1:14" x14ac:dyDescent="0.3">
      <c r="A761" t="s">
        <v>30</v>
      </c>
      <c r="B761" t="s">
        <v>33</v>
      </c>
      <c r="C761" t="s">
        <v>39</v>
      </c>
      <c r="D761" t="s">
        <v>58</v>
      </c>
      <c r="E761" t="s">
        <v>61</v>
      </c>
      <c r="F761" t="s">
        <v>70</v>
      </c>
      <c r="G761">
        <v>14297.72</v>
      </c>
      <c r="H761">
        <v>10</v>
      </c>
      <c r="I761">
        <v>12867.948</v>
      </c>
      <c r="J761">
        <v>4</v>
      </c>
      <c r="K761">
        <v>51471.79</v>
      </c>
      <c r="L761">
        <v>12867.95</v>
      </c>
      <c r="M761" s="2">
        <v>45309</v>
      </c>
      <c r="N761" s="2">
        <v>45317</v>
      </c>
    </row>
    <row r="762" spans="1:14" x14ac:dyDescent="0.3">
      <c r="A762" t="s">
        <v>17</v>
      </c>
      <c r="B762" t="s">
        <v>32</v>
      </c>
      <c r="C762" t="s">
        <v>54</v>
      </c>
      <c r="D762" t="s">
        <v>60</v>
      </c>
      <c r="E762" t="s">
        <v>62</v>
      </c>
      <c r="F762" t="s">
        <v>67</v>
      </c>
      <c r="G762">
        <v>7030.41</v>
      </c>
      <c r="H762">
        <v>0</v>
      </c>
      <c r="I762">
        <v>7030.41</v>
      </c>
      <c r="J762">
        <v>2</v>
      </c>
      <c r="K762">
        <v>14060.82</v>
      </c>
      <c r="L762">
        <v>2109.12</v>
      </c>
      <c r="M762" s="2">
        <v>45380</v>
      </c>
      <c r="N762" s="2">
        <v>45389</v>
      </c>
    </row>
    <row r="763" spans="1:14" x14ac:dyDescent="0.3">
      <c r="A763" t="s">
        <v>22</v>
      </c>
      <c r="B763" t="s">
        <v>31</v>
      </c>
      <c r="C763" t="s">
        <v>47</v>
      </c>
      <c r="D763" t="s">
        <v>59</v>
      </c>
      <c r="E763" t="s">
        <v>63</v>
      </c>
      <c r="F763" t="s">
        <v>68</v>
      </c>
      <c r="G763">
        <v>3815.67</v>
      </c>
      <c r="H763">
        <v>20</v>
      </c>
      <c r="I763">
        <v>3052.5360000000001</v>
      </c>
      <c r="J763">
        <v>5</v>
      </c>
      <c r="K763">
        <v>15262.68</v>
      </c>
      <c r="L763">
        <v>5341.94</v>
      </c>
      <c r="M763" s="2">
        <v>45596</v>
      </c>
      <c r="N763" s="2">
        <v>45598</v>
      </c>
    </row>
    <row r="764" spans="1:14" x14ac:dyDescent="0.3">
      <c r="A764" t="s">
        <v>24</v>
      </c>
      <c r="B764" t="s">
        <v>32</v>
      </c>
      <c r="C764" t="s">
        <v>54</v>
      </c>
      <c r="D764" t="s">
        <v>60</v>
      </c>
      <c r="E764" t="s">
        <v>61</v>
      </c>
      <c r="F764" t="s">
        <v>70</v>
      </c>
      <c r="G764">
        <v>21170.71</v>
      </c>
      <c r="H764">
        <v>10</v>
      </c>
      <c r="I764">
        <v>19053.638999999999</v>
      </c>
      <c r="J764">
        <v>2</v>
      </c>
      <c r="K764">
        <v>38107.279999999999</v>
      </c>
      <c r="L764">
        <v>5716.09</v>
      </c>
      <c r="M764" s="2">
        <v>45626</v>
      </c>
      <c r="N764" s="2">
        <v>45633</v>
      </c>
    </row>
    <row r="765" spans="1:14" x14ac:dyDescent="0.3">
      <c r="A765" t="s">
        <v>18</v>
      </c>
      <c r="B765" t="s">
        <v>33</v>
      </c>
      <c r="C765" t="s">
        <v>56</v>
      </c>
      <c r="D765" t="s">
        <v>60</v>
      </c>
      <c r="E765" t="s">
        <v>64</v>
      </c>
      <c r="F765" t="s">
        <v>76</v>
      </c>
      <c r="G765">
        <v>47164.69</v>
      </c>
      <c r="H765">
        <v>20</v>
      </c>
      <c r="I765">
        <v>37731.752</v>
      </c>
      <c r="J765">
        <v>4</v>
      </c>
      <c r="K765">
        <v>150927.01</v>
      </c>
      <c r="L765">
        <v>22639.05</v>
      </c>
      <c r="M765" s="2">
        <v>45738</v>
      </c>
      <c r="N765" s="2">
        <v>45740</v>
      </c>
    </row>
    <row r="766" spans="1:14" x14ac:dyDescent="0.3">
      <c r="A766" t="s">
        <v>27</v>
      </c>
      <c r="B766" t="s">
        <v>35</v>
      </c>
      <c r="C766" t="s">
        <v>38</v>
      </c>
      <c r="D766" t="s">
        <v>59</v>
      </c>
      <c r="E766" t="s">
        <v>63</v>
      </c>
      <c r="F766" t="s">
        <v>68</v>
      </c>
      <c r="G766">
        <v>8994.77</v>
      </c>
      <c r="H766">
        <v>10</v>
      </c>
      <c r="I766">
        <v>8095.2930000000006</v>
      </c>
      <c r="J766">
        <v>2</v>
      </c>
      <c r="K766">
        <v>16190.59</v>
      </c>
      <c r="L766">
        <v>5666.71</v>
      </c>
      <c r="M766" s="2">
        <v>45526</v>
      </c>
      <c r="N766" s="2">
        <v>45531</v>
      </c>
    </row>
    <row r="767" spans="1:14" x14ac:dyDescent="0.3">
      <c r="A767" t="s">
        <v>25</v>
      </c>
      <c r="B767" t="s">
        <v>34</v>
      </c>
      <c r="C767" t="s">
        <v>45</v>
      </c>
      <c r="D767" t="s">
        <v>59</v>
      </c>
      <c r="E767" t="s">
        <v>64</v>
      </c>
      <c r="F767" t="s">
        <v>74</v>
      </c>
      <c r="G767">
        <v>993.57</v>
      </c>
      <c r="H767">
        <v>15</v>
      </c>
      <c r="I767">
        <v>844.53449999999998</v>
      </c>
      <c r="J767">
        <v>2</v>
      </c>
      <c r="K767">
        <v>1689.07</v>
      </c>
      <c r="L767">
        <v>591.16999999999996</v>
      </c>
      <c r="M767" s="2">
        <v>45338</v>
      </c>
      <c r="N767" s="2">
        <v>45342</v>
      </c>
    </row>
    <row r="768" spans="1:14" x14ac:dyDescent="0.3">
      <c r="A768" t="s">
        <v>19</v>
      </c>
      <c r="B768" t="s">
        <v>33</v>
      </c>
      <c r="C768" t="s">
        <v>56</v>
      </c>
      <c r="D768" t="s">
        <v>60</v>
      </c>
      <c r="E768" t="s">
        <v>61</v>
      </c>
      <c r="F768" t="s">
        <v>70</v>
      </c>
      <c r="G768">
        <v>1655.57</v>
      </c>
      <c r="H768">
        <v>30</v>
      </c>
      <c r="I768">
        <v>1158.8989999999999</v>
      </c>
      <c r="J768">
        <v>5</v>
      </c>
      <c r="K768">
        <v>5794.49</v>
      </c>
      <c r="L768">
        <v>869.17</v>
      </c>
      <c r="M768" s="2">
        <v>45471</v>
      </c>
      <c r="N768" s="2">
        <v>45478</v>
      </c>
    </row>
    <row r="769" spans="1:14" x14ac:dyDescent="0.3">
      <c r="A769" t="s">
        <v>24</v>
      </c>
      <c r="B769" t="s">
        <v>32</v>
      </c>
      <c r="C769" t="s">
        <v>40</v>
      </c>
      <c r="D769" t="s">
        <v>59</v>
      </c>
      <c r="E769" t="s">
        <v>62</v>
      </c>
      <c r="F769" t="s">
        <v>69</v>
      </c>
      <c r="G769">
        <v>31398.18</v>
      </c>
      <c r="H769">
        <v>25</v>
      </c>
      <c r="I769">
        <v>23548.634999999998</v>
      </c>
      <c r="J769">
        <v>1</v>
      </c>
      <c r="K769">
        <v>23548.639999999999</v>
      </c>
      <c r="L769">
        <v>8242.02</v>
      </c>
      <c r="M769" s="2">
        <v>45445</v>
      </c>
      <c r="N769" s="2">
        <v>45447</v>
      </c>
    </row>
    <row r="770" spans="1:14" x14ac:dyDescent="0.3">
      <c r="A770" t="s">
        <v>17</v>
      </c>
      <c r="B770" t="s">
        <v>32</v>
      </c>
      <c r="C770" t="s">
        <v>40</v>
      </c>
      <c r="D770" t="s">
        <v>59</v>
      </c>
      <c r="E770" t="s">
        <v>61</v>
      </c>
      <c r="F770" t="s">
        <v>70</v>
      </c>
      <c r="G770">
        <v>9147.98</v>
      </c>
      <c r="H770">
        <v>20</v>
      </c>
      <c r="I770">
        <v>7318.384</v>
      </c>
      <c r="J770">
        <v>3</v>
      </c>
      <c r="K770">
        <v>21955.15</v>
      </c>
      <c r="L770">
        <v>7684.3</v>
      </c>
      <c r="M770" s="2">
        <v>45504</v>
      </c>
      <c r="N770" s="2">
        <v>45514</v>
      </c>
    </row>
    <row r="771" spans="1:14" x14ac:dyDescent="0.3">
      <c r="A771" t="s">
        <v>22</v>
      </c>
      <c r="B771" t="s">
        <v>31</v>
      </c>
      <c r="C771" t="s">
        <v>42</v>
      </c>
      <c r="D771" t="s">
        <v>60</v>
      </c>
      <c r="E771" t="s">
        <v>61</v>
      </c>
      <c r="F771" t="s">
        <v>70</v>
      </c>
      <c r="G771">
        <v>2856.09</v>
      </c>
      <c r="H771">
        <v>15</v>
      </c>
      <c r="I771">
        <v>2427.6765</v>
      </c>
      <c r="J771">
        <v>5</v>
      </c>
      <c r="K771">
        <v>12138.38</v>
      </c>
      <c r="L771">
        <v>1820.76</v>
      </c>
      <c r="M771" s="2">
        <v>45495</v>
      </c>
      <c r="N771" s="2">
        <v>45503</v>
      </c>
    </row>
    <row r="772" spans="1:14" x14ac:dyDescent="0.3">
      <c r="A772" t="s">
        <v>26</v>
      </c>
      <c r="B772" t="s">
        <v>32</v>
      </c>
      <c r="C772" t="s">
        <v>37</v>
      </c>
      <c r="D772" t="s">
        <v>59</v>
      </c>
      <c r="E772" t="s">
        <v>61</v>
      </c>
      <c r="F772" t="s">
        <v>65</v>
      </c>
      <c r="G772">
        <v>42153.07</v>
      </c>
      <c r="H772">
        <v>5</v>
      </c>
      <c r="I772">
        <v>40045.416499999999</v>
      </c>
      <c r="J772">
        <v>1</v>
      </c>
      <c r="K772">
        <v>40045.42</v>
      </c>
      <c r="L772">
        <v>14015.9</v>
      </c>
      <c r="M772" s="2">
        <v>45345</v>
      </c>
      <c r="N772" s="2">
        <v>45352</v>
      </c>
    </row>
    <row r="773" spans="1:14" x14ac:dyDescent="0.3">
      <c r="A773" t="s">
        <v>28</v>
      </c>
      <c r="B773" t="s">
        <v>34</v>
      </c>
      <c r="C773" t="s">
        <v>52</v>
      </c>
      <c r="D773" t="s">
        <v>60</v>
      </c>
      <c r="E773" t="s">
        <v>61</v>
      </c>
      <c r="F773" t="s">
        <v>65</v>
      </c>
      <c r="G773">
        <v>1239.46</v>
      </c>
      <c r="H773">
        <v>10</v>
      </c>
      <c r="I773">
        <v>1115.5139999999999</v>
      </c>
      <c r="J773">
        <v>2</v>
      </c>
      <c r="K773">
        <v>2231.0300000000002</v>
      </c>
      <c r="L773">
        <v>334.65</v>
      </c>
      <c r="M773" s="2">
        <v>45503</v>
      </c>
      <c r="N773" s="2">
        <v>45510</v>
      </c>
    </row>
    <row r="774" spans="1:14" x14ac:dyDescent="0.3">
      <c r="A774" t="s">
        <v>27</v>
      </c>
      <c r="B774" t="s">
        <v>35</v>
      </c>
      <c r="C774" t="s">
        <v>48</v>
      </c>
      <c r="D774" t="s">
        <v>58</v>
      </c>
      <c r="E774" t="s">
        <v>64</v>
      </c>
      <c r="F774" t="s">
        <v>72</v>
      </c>
      <c r="G774">
        <v>8353.4699999999993</v>
      </c>
      <c r="H774">
        <v>10</v>
      </c>
      <c r="I774">
        <v>7518.1229999999996</v>
      </c>
      <c r="J774">
        <v>5</v>
      </c>
      <c r="K774">
        <v>37590.61</v>
      </c>
      <c r="L774">
        <v>9397.65</v>
      </c>
      <c r="M774" s="2">
        <v>45625</v>
      </c>
      <c r="N774" s="2">
        <v>45631</v>
      </c>
    </row>
    <row r="775" spans="1:14" x14ac:dyDescent="0.3">
      <c r="A775" t="s">
        <v>23</v>
      </c>
      <c r="B775" t="s">
        <v>35</v>
      </c>
      <c r="C775" t="s">
        <v>48</v>
      </c>
      <c r="D775" t="s">
        <v>58</v>
      </c>
      <c r="E775" t="s">
        <v>63</v>
      </c>
      <c r="F775" t="s">
        <v>75</v>
      </c>
      <c r="G775">
        <v>23319.22</v>
      </c>
      <c r="H775">
        <v>5</v>
      </c>
      <c r="I775">
        <v>22153.258999999998</v>
      </c>
      <c r="J775">
        <v>3</v>
      </c>
      <c r="K775">
        <v>66459.78</v>
      </c>
      <c r="L775">
        <v>16614.939999999999</v>
      </c>
      <c r="M775" s="2">
        <v>45821</v>
      </c>
      <c r="N775" s="2">
        <v>45825</v>
      </c>
    </row>
    <row r="776" spans="1:14" x14ac:dyDescent="0.3">
      <c r="A776" t="s">
        <v>27</v>
      </c>
      <c r="B776" t="s">
        <v>35</v>
      </c>
      <c r="C776" t="s">
        <v>46</v>
      </c>
      <c r="D776" t="s">
        <v>59</v>
      </c>
      <c r="E776" t="s">
        <v>64</v>
      </c>
      <c r="F776" t="s">
        <v>76</v>
      </c>
      <c r="G776">
        <v>9875.9</v>
      </c>
      <c r="H776">
        <v>0</v>
      </c>
      <c r="I776">
        <v>9875.9</v>
      </c>
      <c r="J776">
        <v>1</v>
      </c>
      <c r="K776">
        <v>9875.9</v>
      </c>
      <c r="L776">
        <v>3456.56</v>
      </c>
      <c r="M776" s="2">
        <v>45732</v>
      </c>
      <c r="N776" s="2">
        <v>45736</v>
      </c>
    </row>
    <row r="777" spans="1:14" x14ac:dyDescent="0.3">
      <c r="A777" t="s">
        <v>19</v>
      </c>
      <c r="B777" t="s">
        <v>33</v>
      </c>
      <c r="C777" t="s">
        <v>56</v>
      </c>
      <c r="D777" t="s">
        <v>60</v>
      </c>
      <c r="E777" t="s">
        <v>62</v>
      </c>
      <c r="F777" t="s">
        <v>67</v>
      </c>
      <c r="G777">
        <v>1823.51</v>
      </c>
      <c r="H777">
        <v>10</v>
      </c>
      <c r="I777">
        <v>1641.1590000000001</v>
      </c>
      <c r="J777">
        <v>4</v>
      </c>
      <c r="K777">
        <v>6564.64</v>
      </c>
      <c r="L777">
        <v>984.7</v>
      </c>
      <c r="M777" s="2">
        <v>45729</v>
      </c>
      <c r="N777" s="2">
        <v>45733</v>
      </c>
    </row>
    <row r="778" spans="1:14" x14ac:dyDescent="0.3">
      <c r="A778" t="s">
        <v>25</v>
      </c>
      <c r="B778" t="s">
        <v>34</v>
      </c>
      <c r="C778" t="s">
        <v>55</v>
      </c>
      <c r="D778" t="s">
        <v>58</v>
      </c>
      <c r="E778" t="s">
        <v>64</v>
      </c>
      <c r="F778" t="s">
        <v>72</v>
      </c>
      <c r="G778">
        <v>825.28</v>
      </c>
      <c r="H778">
        <v>0</v>
      </c>
      <c r="I778">
        <v>825.28</v>
      </c>
      <c r="J778">
        <v>5</v>
      </c>
      <c r="K778">
        <v>4126.3999999999996</v>
      </c>
      <c r="L778">
        <v>1031.5999999999999</v>
      </c>
      <c r="M778" s="2">
        <v>45306</v>
      </c>
      <c r="N778" s="2">
        <v>45311</v>
      </c>
    </row>
    <row r="779" spans="1:14" x14ac:dyDescent="0.3">
      <c r="A779" t="s">
        <v>24</v>
      </c>
      <c r="B779" t="s">
        <v>32</v>
      </c>
      <c r="C779" t="s">
        <v>43</v>
      </c>
      <c r="D779" t="s">
        <v>58</v>
      </c>
      <c r="E779" t="s">
        <v>63</v>
      </c>
      <c r="F779" t="s">
        <v>73</v>
      </c>
      <c r="G779">
        <v>24170.51</v>
      </c>
      <c r="H779">
        <v>10</v>
      </c>
      <c r="I779">
        <v>21753.458999999999</v>
      </c>
      <c r="J779">
        <v>4</v>
      </c>
      <c r="K779">
        <v>87013.84</v>
      </c>
      <c r="L779">
        <v>21753.46</v>
      </c>
      <c r="M779" s="2">
        <v>45730</v>
      </c>
      <c r="N779" s="2">
        <v>45733</v>
      </c>
    </row>
    <row r="780" spans="1:14" x14ac:dyDescent="0.3">
      <c r="A780" t="s">
        <v>28</v>
      </c>
      <c r="B780" t="s">
        <v>34</v>
      </c>
      <c r="C780" t="s">
        <v>51</v>
      </c>
      <c r="D780" t="s">
        <v>59</v>
      </c>
      <c r="E780" t="s">
        <v>64</v>
      </c>
      <c r="F780" t="s">
        <v>76</v>
      </c>
      <c r="G780">
        <v>1955.12</v>
      </c>
      <c r="H780">
        <v>30</v>
      </c>
      <c r="I780">
        <v>1368.5840000000001</v>
      </c>
      <c r="J780">
        <v>5</v>
      </c>
      <c r="K780">
        <v>6842.92</v>
      </c>
      <c r="L780">
        <v>2395.02</v>
      </c>
      <c r="M780" s="2">
        <v>45815</v>
      </c>
      <c r="N780" s="2">
        <v>45821</v>
      </c>
    </row>
    <row r="781" spans="1:14" x14ac:dyDescent="0.3">
      <c r="A781" t="s">
        <v>20</v>
      </c>
      <c r="B781" t="s">
        <v>32</v>
      </c>
      <c r="C781" t="s">
        <v>40</v>
      </c>
      <c r="D781" t="s">
        <v>59</v>
      </c>
      <c r="E781" t="s">
        <v>61</v>
      </c>
      <c r="F781" t="s">
        <v>71</v>
      </c>
      <c r="G781">
        <v>34628.129999999997</v>
      </c>
      <c r="H781">
        <v>0</v>
      </c>
      <c r="I781">
        <v>34628.129999999997</v>
      </c>
      <c r="J781">
        <v>5</v>
      </c>
      <c r="K781">
        <v>173140.65</v>
      </c>
      <c r="L781">
        <v>60599.23</v>
      </c>
      <c r="M781" s="2">
        <v>45775</v>
      </c>
      <c r="N781" s="2">
        <v>45782</v>
      </c>
    </row>
    <row r="782" spans="1:14" x14ac:dyDescent="0.3">
      <c r="A782" t="s">
        <v>18</v>
      </c>
      <c r="B782" t="s">
        <v>33</v>
      </c>
      <c r="C782" t="s">
        <v>53</v>
      </c>
      <c r="D782" t="s">
        <v>58</v>
      </c>
      <c r="E782" t="s">
        <v>64</v>
      </c>
      <c r="F782" t="s">
        <v>76</v>
      </c>
      <c r="G782">
        <v>54554.81</v>
      </c>
      <c r="H782">
        <v>10</v>
      </c>
      <c r="I782">
        <v>49099.328999999998</v>
      </c>
      <c r="J782">
        <v>3</v>
      </c>
      <c r="K782">
        <v>147297.99</v>
      </c>
      <c r="L782">
        <v>36824.5</v>
      </c>
      <c r="M782" s="2">
        <v>45354</v>
      </c>
      <c r="N782" s="2">
        <v>45359</v>
      </c>
    </row>
    <row r="783" spans="1:14" x14ac:dyDescent="0.3">
      <c r="A783" t="s">
        <v>25</v>
      </c>
      <c r="B783" t="s">
        <v>34</v>
      </c>
      <c r="C783" t="s">
        <v>45</v>
      </c>
      <c r="D783" t="s">
        <v>59</v>
      </c>
      <c r="E783" t="s">
        <v>63</v>
      </c>
      <c r="F783" t="s">
        <v>75</v>
      </c>
      <c r="G783">
        <v>894.16</v>
      </c>
      <c r="H783">
        <v>25</v>
      </c>
      <c r="I783">
        <v>670.62</v>
      </c>
      <c r="J783">
        <v>2</v>
      </c>
      <c r="K783">
        <v>1341.24</v>
      </c>
      <c r="L783">
        <v>469.43</v>
      </c>
      <c r="M783" s="2">
        <v>45584</v>
      </c>
      <c r="N783" s="2">
        <v>45591</v>
      </c>
    </row>
    <row r="784" spans="1:14" x14ac:dyDescent="0.3">
      <c r="A784" t="s">
        <v>28</v>
      </c>
      <c r="B784" t="s">
        <v>34</v>
      </c>
      <c r="C784" t="s">
        <v>51</v>
      </c>
      <c r="D784" t="s">
        <v>59</v>
      </c>
      <c r="E784" t="s">
        <v>62</v>
      </c>
      <c r="F784" t="s">
        <v>69</v>
      </c>
      <c r="G784">
        <v>1955.5</v>
      </c>
      <c r="H784">
        <v>20</v>
      </c>
      <c r="I784">
        <v>1564.4</v>
      </c>
      <c r="J784">
        <v>4</v>
      </c>
      <c r="K784">
        <v>6257.6</v>
      </c>
      <c r="L784">
        <v>2190.16</v>
      </c>
      <c r="M784" s="2">
        <v>45678</v>
      </c>
      <c r="N784" s="2">
        <v>45683</v>
      </c>
    </row>
    <row r="785" spans="1:14" x14ac:dyDescent="0.3">
      <c r="A785" t="s">
        <v>17</v>
      </c>
      <c r="B785" t="s">
        <v>32</v>
      </c>
      <c r="C785" t="s">
        <v>54</v>
      </c>
      <c r="D785" t="s">
        <v>60</v>
      </c>
      <c r="E785" t="s">
        <v>64</v>
      </c>
      <c r="F785" t="s">
        <v>76</v>
      </c>
      <c r="G785">
        <v>7697.86</v>
      </c>
      <c r="H785">
        <v>25</v>
      </c>
      <c r="I785">
        <v>5773.3950000000004</v>
      </c>
      <c r="J785">
        <v>5</v>
      </c>
      <c r="K785">
        <v>28866.97</v>
      </c>
      <c r="L785">
        <v>4330.05</v>
      </c>
      <c r="M785" s="2">
        <v>45306</v>
      </c>
      <c r="N785" s="2">
        <v>45311</v>
      </c>
    </row>
    <row r="786" spans="1:14" x14ac:dyDescent="0.3">
      <c r="A786" t="s">
        <v>28</v>
      </c>
      <c r="B786" t="s">
        <v>34</v>
      </c>
      <c r="C786" t="s">
        <v>41</v>
      </c>
      <c r="D786" t="s">
        <v>60</v>
      </c>
      <c r="E786" t="s">
        <v>61</v>
      </c>
      <c r="F786" t="s">
        <v>70</v>
      </c>
      <c r="G786">
        <v>1288.1500000000001</v>
      </c>
      <c r="H786">
        <v>20</v>
      </c>
      <c r="I786">
        <v>1030.52</v>
      </c>
      <c r="J786">
        <v>3</v>
      </c>
      <c r="K786">
        <v>3091.56</v>
      </c>
      <c r="L786">
        <v>463.73</v>
      </c>
      <c r="M786" s="2">
        <v>45475</v>
      </c>
      <c r="N786" s="2">
        <v>45482</v>
      </c>
    </row>
    <row r="787" spans="1:14" x14ac:dyDescent="0.3">
      <c r="A787" t="s">
        <v>22</v>
      </c>
      <c r="B787" t="s">
        <v>31</v>
      </c>
      <c r="C787" t="s">
        <v>42</v>
      </c>
      <c r="D787" t="s">
        <v>60</v>
      </c>
      <c r="E787" t="s">
        <v>61</v>
      </c>
      <c r="F787" t="s">
        <v>71</v>
      </c>
      <c r="G787">
        <v>2973.05</v>
      </c>
      <c r="H787">
        <v>30</v>
      </c>
      <c r="I787">
        <v>2081.1350000000002</v>
      </c>
      <c r="J787">
        <v>2</v>
      </c>
      <c r="K787">
        <v>4162.2700000000004</v>
      </c>
      <c r="L787">
        <v>624.34</v>
      </c>
      <c r="M787" s="2">
        <v>45450</v>
      </c>
      <c r="N787" s="2">
        <v>45453</v>
      </c>
    </row>
    <row r="788" spans="1:14" x14ac:dyDescent="0.3">
      <c r="A788" t="s">
        <v>17</v>
      </c>
      <c r="B788" t="s">
        <v>32</v>
      </c>
      <c r="C788" t="s">
        <v>40</v>
      </c>
      <c r="D788" t="s">
        <v>59</v>
      </c>
      <c r="E788" t="s">
        <v>62</v>
      </c>
      <c r="F788" t="s">
        <v>66</v>
      </c>
      <c r="G788">
        <v>9559.49</v>
      </c>
      <c r="H788">
        <v>10</v>
      </c>
      <c r="I788">
        <v>8603.5409999999993</v>
      </c>
      <c r="J788">
        <v>2</v>
      </c>
      <c r="K788">
        <v>17207.080000000002</v>
      </c>
      <c r="L788">
        <v>6022.48</v>
      </c>
      <c r="M788" s="2">
        <v>45773</v>
      </c>
      <c r="N788" s="2">
        <v>45779</v>
      </c>
    </row>
    <row r="789" spans="1:14" x14ac:dyDescent="0.3">
      <c r="A789" t="s">
        <v>27</v>
      </c>
      <c r="B789" t="s">
        <v>35</v>
      </c>
      <c r="C789" t="s">
        <v>44</v>
      </c>
      <c r="D789" t="s">
        <v>60</v>
      </c>
      <c r="E789" t="s">
        <v>64</v>
      </c>
      <c r="F789" t="s">
        <v>72</v>
      </c>
      <c r="G789">
        <v>7242.13</v>
      </c>
      <c r="H789">
        <v>20</v>
      </c>
      <c r="I789">
        <v>5793.7040000000006</v>
      </c>
      <c r="J789">
        <v>3</v>
      </c>
      <c r="K789">
        <v>17381.11</v>
      </c>
      <c r="L789">
        <v>2607.17</v>
      </c>
      <c r="M789" s="2">
        <v>45468</v>
      </c>
      <c r="N789" s="2">
        <v>45471</v>
      </c>
    </row>
    <row r="790" spans="1:14" x14ac:dyDescent="0.3">
      <c r="A790" t="s">
        <v>28</v>
      </c>
      <c r="B790" t="s">
        <v>34</v>
      </c>
      <c r="C790" t="s">
        <v>52</v>
      </c>
      <c r="D790" t="s">
        <v>60</v>
      </c>
      <c r="E790" t="s">
        <v>61</v>
      </c>
      <c r="F790" t="s">
        <v>65</v>
      </c>
      <c r="G790">
        <v>1269.46</v>
      </c>
      <c r="H790">
        <v>10</v>
      </c>
      <c r="I790">
        <v>1142.5139999999999</v>
      </c>
      <c r="J790">
        <v>4</v>
      </c>
      <c r="K790">
        <v>4570.0600000000004</v>
      </c>
      <c r="L790">
        <v>685.51</v>
      </c>
      <c r="M790" s="2">
        <v>45475</v>
      </c>
      <c r="N790" s="2">
        <v>45478</v>
      </c>
    </row>
    <row r="791" spans="1:14" x14ac:dyDescent="0.3">
      <c r="A791" t="s">
        <v>26</v>
      </c>
      <c r="B791" t="s">
        <v>32</v>
      </c>
      <c r="C791" t="s">
        <v>43</v>
      </c>
      <c r="D791" t="s">
        <v>58</v>
      </c>
      <c r="E791" t="s">
        <v>61</v>
      </c>
      <c r="F791" t="s">
        <v>65</v>
      </c>
      <c r="G791">
        <v>34305.519999999997</v>
      </c>
      <c r="H791">
        <v>0</v>
      </c>
      <c r="I791">
        <v>34305.519999999997</v>
      </c>
      <c r="J791">
        <v>2</v>
      </c>
      <c r="K791">
        <v>68611.039999999994</v>
      </c>
      <c r="L791">
        <v>17152.759999999998</v>
      </c>
      <c r="M791" s="2">
        <v>45684</v>
      </c>
      <c r="N791" s="2">
        <v>45693</v>
      </c>
    </row>
    <row r="792" spans="1:14" x14ac:dyDescent="0.3">
      <c r="A792" t="s">
        <v>22</v>
      </c>
      <c r="B792" t="s">
        <v>31</v>
      </c>
      <c r="C792" t="s">
        <v>47</v>
      </c>
      <c r="D792" t="s">
        <v>59</v>
      </c>
      <c r="E792" t="s">
        <v>64</v>
      </c>
      <c r="F792" t="s">
        <v>76</v>
      </c>
      <c r="G792">
        <v>4601.13</v>
      </c>
      <c r="H792">
        <v>30</v>
      </c>
      <c r="I792">
        <v>3220.7910000000002</v>
      </c>
      <c r="J792">
        <v>5</v>
      </c>
      <c r="K792">
        <v>16103.95</v>
      </c>
      <c r="L792">
        <v>5636.38</v>
      </c>
      <c r="M792" s="2">
        <v>45321</v>
      </c>
      <c r="N792" s="2">
        <v>45323</v>
      </c>
    </row>
    <row r="793" spans="1:14" x14ac:dyDescent="0.3">
      <c r="A793" t="s">
        <v>25</v>
      </c>
      <c r="B793" t="s">
        <v>34</v>
      </c>
      <c r="C793" t="s">
        <v>45</v>
      </c>
      <c r="D793" t="s">
        <v>59</v>
      </c>
      <c r="E793" t="s">
        <v>64</v>
      </c>
      <c r="F793" t="s">
        <v>72</v>
      </c>
      <c r="G793">
        <v>1032.45</v>
      </c>
      <c r="H793">
        <v>10</v>
      </c>
      <c r="I793">
        <v>929.20500000000004</v>
      </c>
      <c r="J793">
        <v>5</v>
      </c>
      <c r="K793">
        <v>4646.03</v>
      </c>
      <c r="L793">
        <v>1626.11</v>
      </c>
      <c r="M793" s="2">
        <v>45563</v>
      </c>
      <c r="N793" s="2">
        <v>45572</v>
      </c>
    </row>
    <row r="794" spans="1:14" x14ac:dyDescent="0.3">
      <c r="A794" t="s">
        <v>27</v>
      </c>
      <c r="B794" t="s">
        <v>35</v>
      </c>
      <c r="C794" t="s">
        <v>46</v>
      </c>
      <c r="D794" t="s">
        <v>59</v>
      </c>
      <c r="E794" t="s">
        <v>62</v>
      </c>
      <c r="F794" t="s">
        <v>69</v>
      </c>
      <c r="G794">
        <v>10472.91</v>
      </c>
      <c r="H794">
        <v>20</v>
      </c>
      <c r="I794">
        <v>8378.3279999999995</v>
      </c>
      <c r="J794">
        <v>2</v>
      </c>
      <c r="K794">
        <v>16756.66</v>
      </c>
      <c r="L794">
        <v>5864.83</v>
      </c>
      <c r="M794" s="2">
        <v>45526</v>
      </c>
      <c r="N794" s="2">
        <v>45532</v>
      </c>
    </row>
    <row r="795" spans="1:14" x14ac:dyDescent="0.3">
      <c r="A795" t="s">
        <v>19</v>
      </c>
      <c r="B795" t="s">
        <v>33</v>
      </c>
      <c r="C795" t="s">
        <v>57</v>
      </c>
      <c r="D795" t="s">
        <v>60</v>
      </c>
      <c r="E795" t="s">
        <v>61</v>
      </c>
      <c r="F795" t="s">
        <v>71</v>
      </c>
      <c r="G795">
        <v>1713.41</v>
      </c>
      <c r="H795">
        <v>5</v>
      </c>
      <c r="I795">
        <v>1627.7394999999999</v>
      </c>
      <c r="J795">
        <v>4</v>
      </c>
      <c r="K795">
        <v>6510.96</v>
      </c>
      <c r="L795">
        <v>976.64</v>
      </c>
      <c r="M795" s="2">
        <v>45719</v>
      </c>
      <c r="N795" s="2">
        <v>45728</v>
      </c>
    </row>
    <row r="796" spans="1:14" x14ac:dyDescent="0.3">
      <c r="A796" t="s">
        <v>18</v>
      </c>
      <c r="B796" t="s">
        <v>33</v>
      </c>
      <c r="C796" t="s">
        <v>56</v>
      </c>
      <c r="D796" t="s">
        <v>60</v>
      </c>
      <c r="E796" t="s">
        <v>62</v>
      </c>
      <c r="F796" t="s">
        <v>69</v>
      </c>
      <c r="G796">
        <v>43823</v>
      </c>
      <c r="H796">
        <v>20</v>
      </c>
      <c r="I796">
        <v>35058.400000000001</v>
      </c>
      <c r="J796">
        <v>4</v>
      </c>
      <c r="K796">
        <v>140233.60000000001</v>
      </c>
      <c r="L796">
        <v>21035.040000000001</v>
      </c>
      <c r="M796" s="2">
        <v>45836</v>
      </c>
      <c r="N796" s="2">
        <v>45845</v>
      </c>
    </row>
    <row r="797" spans="1:14" x14ac:dyDescent="0.3">
      <c r="A797" t="s">
        <v>26</v>
      </c>
      <c r="B797" t="s">
        <v>32</v>
      </c>
      <c r="C797" t="s">
        <v>37</v>
      </c>
      <c r="D797" t="s">
        <v>59</v>
      </c>
      <c r="E797" t="s">
        <v>61</v>
      </c>
      <c r="F797" t="s">
        <v>70</v>
      </c>
      <c r="G797">
        <v>42414.13</v>
      </c>
      <c r="H797">
        <v>0</v>
      </c>
      <c r="I797">
        <v>42414.13</v>
      </c>
      <c r="J797">
        <v>4</v>
      </c>
      <c r="K797">
        <v>169656.52</v>
      </c>
      <c r="L797">
        <v>59379.78</v>
      </c>
      <c r="M797" s="2">
        <v>45722</v>
      </c>
      <c r="N797" s="2">
        <v>45725</v>
      </c>
    </row>
    <row r="798" spans="1:14" x14ac:dyDescent="0.3">
      <c r="A798" t="s">
        <v>24</v>
      </c>
      <c r="B798" t="s">
        <v>32</v>
      </c>
      <c r="C798" t="s">
        <v>37</v>
      </c>
      <c r="D798" t="s">
        <v>59</v>
      </c>
      <c r="E798" t="s">
        <v>62</v>
      </c>
      <c r="F798" t="s">
        <v>66</v>
      </c>
      <c r="G798">
        <v>31935.78</v>
      </c>
      <c r="H798">
        <v>10</v>
      </c>
      <c r="I798">
        <v>28742.202000000001</v>
      </c>
      <c r="J798">
        <v>1</v>
      </c>
      <c r="K798">
        <v>28742.2</v>
      </c>
      <c r="L798">
        <v>10059.77</v>
      </c>
      <c r="M798" s="2">
        <v>45852</v>
      </c>
      <c r="N798" s="2">
        <v>45858</v>
      </c>
    </row>
    <row r="799" spans="1:14" x14ac:dyDescent="0.3">
      <c r="A799" t="s">
        <v>27</v>
      </c>
      <c r="B799" t="s">
        <v>35</v>
      </c>
      <c r="C799" t="s">
        <v>48</v>
      </c>
      <c r="D799" t="s">
        <v>58</v>
      </c>
      <c r="E799" t="s">
        <v>63</v>
      </c>
      <c r="F799" t="s">
        <v>75</v>
      </c>
      <c r="G799">
        <v>7563.04</v>
      </c>
      <c r="H799">
        <v>0</v>
      </c>
      <c r="I799">
        <v>7563.04</v>
      </c>
      <c r="J799">
        <v>2</v>
      </c>
      <c r="K799">
        <v>15126.08</v>
      </c>
      <c r="L799">
        <v>3781.52</v>
      </c>
      <c r="M799" s="2">
        <v>45360</v>
      </c>
      <c r="N799" s="2">
        <v>45365</v>
      </c>
    </row>
    <row r="800" spans="1:14" x14ac:dyDescent="0.3">
      <c r="A800" t="s">
        <v>18</v>
      </c>
      <c r="B800" t="s">
        <v>33</v>
      </c>
      <c r="C800" t="s">
        <v>50</v>
      </c>
      <c r="D800" t="s">
        <v>59</v>
      </c>
      <c r="E800" t="s">
        <v>63</v>
      </c>
      <c r="F800" t="s">
        <v>68</v>
      </c>
      <c r="G800">
        <v>58182.3</v>
      </c>
      <c r="H800">
        <v>5</v>
      </c>
      <c r="I800">
        <v>55273.184999999998</v>
      </c>
      <c r="J800">
        <v>5</v>
      </c>
      <c r="K800">
        <v>276365.92</v>
      </c>
      <c r="L800">
        <v>96728.07</v>
      </c>
      <c r="M800" s="2">
        <v>45418</v>
      </c>
      <c r="N800" s="2">
        <v>45428</v>
      </c>
    </row>
    <row r="801" spans="1:14" x14ac:dyDescent="0.3">
      <c r="A801" t="s">
        <v>25</v>
      </c>
      <c r="B801" t="s">
        <v>34</v>
      </c>
      <c r="C801" t="s">
        <v>52</v>
      </c>
      <c r="D801" t="s">
        <v>60</v>
      </c>
      <c r="E801" t="s">
        <v>62</v>
      </c>
      <c r="F801" t="s">
        <v>67</v>
      </c>
      <c r="G801">
        <v>736.53</v>
      </c>
      <c r="H801">
        <v>20</v>
      </c>
      <c r="I801">
        <v>589.22400000000005</v>
      </c>
      <c r="J801">
        <v>3</v>
      </c>
      <c r="K801">
        <v>1767.67</v>
      </c>
      <c r="L801">
        <v>265.14999999999998</v>
      </c>
      <c r="M801" s="2">
        <v>45565</v>
      </c>
      <c r="N801" s="2">
        <v>45567</v>
      </c>
    </row>
    <row r="802" spans="1:14" x14ac:dyDescent="0.3">
      <c r="A802" t="s">
        <v>27</v>
      </c>
      <c r="B802" t="s">
        <v>35</v>
      </c>
      <c r="C802" t="s">
        <v>44</v>
      </c>
      <c r="D802" t="s">
        <v>60</v>
      </c>
      <c r="E802" t="s">
        <v>61</v>
      </c>
      <c r="F802" t="s">
        <v>71</v>
      </c>
      <c r="G802">
        <v>6994.85</v>
      </c>
      <c r="H802">
        <v>15</v>
      </c>
      <c r="I802">
        <v>5945.6225000000004</v>
      </c>
      <c r="J802">
        <v>2</v>
      </c>
      <c r="K802">
        <v>11891.25</v>
      </c>
      <c r="L802">
        <v>1783.69</v>
      </c>
      <c r="M802" s="2">
        <v>45401</v>
      </c>
      <c r="N802" s="2">
        <v>45405</v>
      </c>
    </row>
    <row r="803" spans="1:14" x14ac:dyDescent="0.3">
      <c r="A803" t="s">
        <v>26</v>
      </c>
      <c r="B803" t="s">
        <v>32</v>
      </c>
      <c r="C803" t="s">
        <v>40</v>
      </c>
      <c r="D803" t="s">
        <v>59</v>
      </c>
      <c r="E803" t="s">
        <v>63</v>
      </c>
      <c r="F803" t="s">
        <v>73</v>
      </c>
      <c r="G803">
        <v>41157.39</v>
      </c>
      <c r="H803">
        <v>10</v>
      </c>
      <c r="I803">
        <v>37041.650999999998</v>
      </c>
      <c r="J803">
        <v>3</v>
      </c>
      <c r="K803">
        <v>111124.95</v>
      </c>
      <c r="L803">
        <v>38893.730000000003</v>
      </c>
      <c r="M803" s="2">
        <v>45348</v>
      </c>
      <c r="N803" s="2">
        <v>45356</v>
      </c>
    </row>
    <row r="804" spans="1:14" x14ac:dyDescent="0.3">
      <c r="A804" t="s">
        <v>20</v>
      </c>
      <c r="B804" t="s">
        <v>32</v>
      </c>
      <c r="C804" t="s">
        <v>37</v>
      </c>
      <c r="D804" t="s">
        <v>59</v>
      </c>
      <c r="E804" t="s">
        <v>63</v>
      </c>
      <c r="F804" t="s">
        <v>68</v>
      </c>
      <c r="G804">
        <v>34216.639999999999</v>
      </c>
      <c r="H804">
        <v>20</v>
      </c>
      <c r="I804">
        <v>27373.312000000002</v>
      </c>
      <c r="J804">
        <v>3</v>
      </c>
      <c r="K804">
        <v>82119.94</v>
      </c>
      <c r="L804">
        <v>28741.98</v>
      </c>
      <c r="M804" s="2">
        <v>45340</v>
      </c>
      <c r="N804" s="2">
        <v>45343</v>
      </c>
    </row>
    <row r="805" spans="1:14" x14ac:dyDescent="0.3">
      <c r="A805" t="s">
        <v>24</v>
      </c>
      <c r="B805" t="s">
        <v>32</v>
      </c>
      <c r="C805" t="s">
        <v>40</v>
      </c>
      <c r="D805" t="s">
        <v>59</v>
      </c>
      <c r="E805" t="s">
        <v>63</v>
      </c>
      <c r="F805" t="s">
        <v>68</v>
      </c>
      <c r="G805">
        <v>29629.7</v>
      </c>
      <c r="H805">
        <v>25</v>
      </c>
      <c r="I805">
        <v>22222.275000000001</v>
      </c>
      <c r="J805">
        <v>1</v>
      </c>
      <c r="K805">
        <v>22222.28</v>
      </c>
      <c r="L805">
        <v>7777.8</v>
      </c>
      <c r="M805" s="2">
        <v>45522</v>
      </c>
      <c r="N805" s="2">
        <v>45531</v>
      </c>
    </row>
    <row r="806" spans="1:14" x14ac:dyDescent="0.3">
      <c r="A806" t="s">
        <v>20</v>
      </c>
      <c r="B806" t="s">
        <v>32</v>
      </c>
      <c r="C806" t="s">
        <v>54</v>
      </c>
      <c r="D806" t="s">
        <v>60</v>
      </c>
      <c r="E806" t="s">
        <v>64</v>
      </c>
      <c r="F806" t="s">
        <v>74</v>
      </c>
      <c r="G806">
        <v>26357.91</v>
      </c>
      <c r="H806">
        <v>15</v>
      </c>
      <c r="I806">
        <v>22404.2235</v>
      </c>
      <c r="J806">
        <v>5</v>
      </c>
      <c r="K806">
        <v>112021.12</v>
      </c>
      <c r="L806">
        <v>16803.169999999998</v>
      </c>
      <c r="M806" s="2">
        <v>45692</v>
      </c>
      <c r="N806" s="2">
        <v>45702</v>
      </c>
    </row>
    <row r="807" spans="1:14" x14ac:dyDescent="0.3">
      <c r="A807" t="s">
        <v>29</v>
      </c>
      <c r="B807" t="s">
        <v>35</v>
      </c>
      <c r="C807" t="s">
        <v>38</v>
      </c>
      <c r="D807" t="s">
        <v>59</v>
      </c>
      <c r="E807" t="s">
        <v>62</v>
      </c>
      <c r="F807" t="s">
        <v>69</v>
      </c>
      <c r="G807">
        <v>22046.26</v>
      </c>
      <c r="H807">
        <v>20</v>
      </c>
      <c r="I807">
        <v>17637.008000000002</v>
      </c>
      <c r="J807">
        <v>1</v>
      </c>
      <c r="K807">
        <v>17637.009999999998</v>
      </c>
      <c r="L807">
        <v>6172.95</v>
      </c>
      <c r="M807" s="2">
        <v>45711</v>
      </c>
      <c r="N807" s="2">
        <v>45717</v>
      </c>
    </row>
    <row r="808" spans="1:14" x14ac:dyDescent="0.3">
      <c r="A808" t="s">
        <v>26</v>
      </c>
      <c r="B808" t="s">
        <v>32</v>
      </c>
      <c r="C808" t="s">
        <v>43</v>
      </c>
      <c r="D808" t="s">
        <v>58</v>
      </c>
      <c r="E808" t="s">
        <v>63</v>
      </c>
      <c r="F808" t="s">
        <v>73</v>
      </c>
      <c r="G808">
        <v>32361</v>
      </c>
      <c r="H808">
        <v>25</v>
      </c>
      <c r="I808">
        <v>24270.75</v>
      </c>
      <c r="J808">
        <v>2</v>
      </c>
      <c r="K808">
        <v>48541.5</v>
      </c>
      <c r="L808">
        <v>12135.38</v>
      </c>
      <c r="M808" s="2">
        <v>45650</v>
      </c>
      <c r="N808" s="2">
        <v>45653</v>
      </c>
    </row>
    <row r="809" spans="1:14" x14ac:dyDescent="0.3">
      <c r="A809" t="s">
        <v>21</v>
      </c>
      <c r="B809" t="s">
        <v>34</v>
      </c>
      <c r="C809" t="s">
        <v>52</v>
      </c>
      <c r="D809" t="s">
        <v>60</v>
      </c>
      <c r="E809" t="s">
        <v>64</v>
      </c>
      <c r="F809" t="s">
        <v>72</v>
      </c>
      <c r="G809">
        <v>2843.49</v>
      </c>
      <c r="H809">
        <v>0</v>
      </c>
      <c r="I809">
        <v>2843.49</v>
      </c>
      <c r="J809">
        <v>1</v>
      </c>
      <c r="K809">
        <v>2843.49</v>
      </c>
      <c r="L809">
        <v>426.52</v>
      </c>
      <c r="M809" s="2">
        <v>45838</v>
      </c>
      <c r="N809" s="2">
        <v>45847</v>
      </c>
    </row>
    <row r="810" spans="1:14" x14ac:dyDescent="0.3">
      <c r="A810" t="s">
        <v>30</v>
      </c>
      <c r="B810" t="s">
        <v>33</v>
      </c>
      <c r="C810" t="s">
        <v>53</v>
      </c>
      <c r="D810" t="s">
        <v>58</v>
      </c>
      <c r="E810" t="s">
        <v>64</v>
      </c>
      <c r="F810" t="s">
        <v>74</v>
      </c>
      <c r="G810">
        <v>15823.08</v>
      </c>
      <c r="H810">
        <v>15</v>
      </c>
      <c r="I810">
        <v>13449.618</v>
      </c>
      <c r="J810">
        <v>5</v>
      </c>
      <c r="K810">
        <v>67248.09</v>
      </c>
      <c r="L810">
        <v>16812.02</v>
      </c>
      <c r="M810" s="2">
        <v>45335</v>
      </c>
      <c r="N810" s="2">
        <v>45343</v>
      </c>
    </row>
    <row r="811" spans="1:14" x14ac:dyDescent="0.3">
      <c r="A811" t="s">
        <v>30</v>
      </c>
      <c r="B811" t="s">
        <v>33</v>
      </c>
      <c r="C811" t="s">
        <v>53</v>
      </c>
      <c r="D811" t="s">
        <v>58</v>
      </c>
      <c r="E811" t="s">
        <v>61</v>
      </c>
      <c r="F811" t="s">
        <v>65</v>
      </c>
      <c r="G811">
        <v>14394.88</v>
      </c>
      <c r="H811">
        <v>30</v>
      </c>
      <c r="I811">
        <v>10076.415999999999</v>
      </c>
      <c r="J811">
        <v>3</v>
      </c>
      <c r="K811">
        <v>30229.25</v>
      </c>
      <c r="L811">
        <v>7557.31</v>
      </c>
      <c r="M811" s="2">
        <v>45383</v>
      </c>
      <c r="N811" s="2">
        <v>45386</v>
      </c>
    </row>
    <row r="812" spans="1:14" x14ac:dyDescent="0.3">
      <c r="A812" t="s">
        <v>25</v>
      </c>
      <c r="B812" t="s">
        <v>34</v>
      </c>
      <c r="C812" t="s">
        <v>51</v>
      </c>
      <c r="D812" t="s">
        <v>59</v>
      </c>
      <c r="E812" t="s">
        <v>61</v>
      </c>
      <c r="F812" t="s">
        <v>70</v>
      </c>
      <c r="G812">
        <v>959.07</v>
      </c>
      <c r="H812">
        <v>10</v>
      </c>
      <c r="I812">
        <v>863.16300000000001</v>
      </c>
      <c r="J812">
        <v>5</v>
      </c>
      <c r="K812">
        <v>4315.82</v>
      </c>
      <c r="L812">
        <v>1510.54</v>
      </c>
      <c r="M812" s="2">
        <v>45417</v>
      </c>
      <c r="N812" s="2">
        <v>45425</v>
      </c>
    </row>
    <row r="813" spans="1:14" x14ac:dyDescent="0.3">
      <c r="A813" t="s">
        <v>30</v>
      </c>
      <c r="B813" t="s">
        <v>33</v>
      </c>
      <c r="C813" t="s">
        <v>50</v>
      </c>
      <c r="D813" t="s">
        <v>59</v>
      </c>
      <c r="E813" t="s">
        <v>63</v>
      </c>
      <c r="F813" t="s">
        <v>68</v>
      </c>
      <c r="G813">
        <v>17871.240000000002</v>
      </c>
      <c r="H813">
        <v>30</v>
      </c>
      <c r="I813">
        <v>12509.868</v>
      </c>
      <c r="J813">
        <v>4</v>
      </c>
      <c r="K813">
        <v>50039.47</v>
      </c>
      <c r="L813">
        <v>17513.810000000001</v>
      </c>
      <c r="M813" s="2">
        <v>45569</v>
      </c>
      <c r="N813" s="2">
        <v>45571</v>
      </c>
    </row>
    <row r="814" spans="1:14" x14ac:dyDescent="0.3">
      <c r="A814" t="s">
        <v>24</v>
      </c>
      <c r="B814" t="s">
        <v>32</v>
      </c>
      <c r="C814" t="s">
        <v>43</v>
      </c>
      <c r="D814" t="s">
        <v>58</v>
      </c>
      <c r="E814" t="s">
        <v>63</v>
      </c>
      <c r="F814" t="s">
        <v>68</v>
      </c>
      <c r="G814">
        <v>24892.28</v>
      </c>
      <c r="H814">
        <v>10</v>
      </c>
      <c r="I814">
        <v>22403.052</v>
      </c>
      <c r="J814">
        <v>5</v>
      </c>
      <c r="K814">
        <v>112015.26</v>
      </c>
      <c r="L814">
        <v>28003.81</v>
      </c>
      <c r="M814" s="2">
        <v>45535</v>
      </c>
      <c r="N814" s="2">
        <v>45542</v>
      </c>
    </row>
    <row r="815" spans="1:14" x14ac:dyDescent="0.3">
      <c r="A815" t="s">
        <v>21</v>
      </c>
      <c r="B815" t="s">
        <v>34</v>
      </c>
      <c r="C815" t="s">
        <v>49</v>
      </c>
      <c r="D815" t="s">
        <v>59</v>
      </c>
      <c r="E815" t="s">
        <v>62</v>
      </c>
      <c r="F815" t="s">
        <v>69</v>
      </c>
      <c r="G815">
        <v>3662.53</v>
      </c>
      <c r="H815">
        <v>15</v>
      </c>
      <c r="I815">
        <v>3113.1505000000002</v>
      </c>
      <c r="J815">
        <v>5</v>
      </c>
      <c r="K815">
        <v>15565.75</v>
      </c>
      <c r="L815">
        <v>5448.01</v>
      </c>
      <c r="M815" s="2">
        <v>45689</v>
      </c>
      <c r="N815" s="2">
        <v>45695</v>
      </c>
    </row>
    <row r="816" spans="1:14" x14ac:dyDescent="0.3">
      <c r="A816" t="s">
        <v>20</v>
      </c>
      <c r="B816" t="s">
        <v>32</v>
      </c>
      <c r="C816" t="s">
        <v>40</v>
      </c>
      <c r="D816" t="s">
        <v>59</v>
      </c>
      <c r="E816" t="s">
        <v>64</v>
      </c>
      <c r="F816" t="s">
        <v>74</v>
      </c>
      <c r="G816">
        <v>39920.720000000001</v>
      </c>
      <c r="H816">
        <v>25</v>
      </c>
      <c r="I816">
        <v>29940.54</v>
      </c>
      <c r="J816">
        <v>3</v>
      </c>
      <c r="K816">
        <v>89821.62</v>
      </c>
      <c r="L816">
        <v>31437.57</v>
      </c>
      <c r="M816" s="2">
        <v>45390</v>
      </c>
      <c r="N816" s="2">
        <v>45392</v>
      </c>
    </row>
    <row r="817" spans="1:14" x14ac:dyDescent="0.3">
      <c r="A817" t="s">
        <v>23</v>
      </c>
      <c r="B817" t="s">
        <v>35</v>
      </c>
      <c r="C817" t="s">
        <v>38</v>
      </c>
      <c r="D817" t="s">
        <v>59</v>
      </c>
      <c r="E817" t="s">
        <v>61</v>
      </c>
      <c r="F817" t="s">
        <v>65</v>
      </c>
      <c r="G817">
        <v>28293.45</v>
      </c>
      <c r="H817">
        <v>25</v>
      </c>
      <c r="I817">
        <v>21220.087500000001</v>
      </c>
      <c r="J817">
        <v>4</v>
      </c>
      <c r="K817">
        <v>84880.35</v>
      </c>
      <c r="L817">
        <v>29708.12</v>
      </c>
      <c r="M817" s="2">
        <v>45815</v>
      </c>
      <c r="N817" s="2">
        <v>45817</v>
      </c>
    </row>
    <row r="818" spans="1:14" x14ac:dyDescent="0.3">
      <c r="A818" t="s">
        <v>27</v>
      </c>
      <c r="B818" t="s">
        <v>35</v>
      </c>
      <c r="C818" t="s">
        <v>46</v>
      </c>
      <c r="D818" t="s">
        <v>59</v>
      </c>
      <c r="E818" t="s">
        <v>61</v>
      </c>
      <c r="F818" t="s">
        <v>70</v>
      </c>
      <c r="G818">
        <v>9351.5499999999993</v>
      </c>
      <c r="H818">
        <v>25</v>
      </c>
      <c r="I818">
        <v>7013.6624999999995</v>
      </c>
      <c r="J818">
        <v>2</v>
      </c>
      <c r="K818">
        <v>14027.32</v>
      </c>
      <c r="L818">
        <v>4909.5600000000004</v>
      </c>
      <c r="M818" s="2">
        <v>45688</v>
      </c>
      <c r="N818" s="2">
        <v>45693</v>
      </c>
    </row>
    <row r="819" spans="1:14" x14ac:dyDescent="0.3">
      <c r="A819" t="s">
        <v>18</v>
      </c>
      <c r="B819" t="s">
        <v>33</v>
      </c>
      <c r="C819" t="s">
        <v>39</v>
      </c>
      <c r="D819" t="s">
        <v>58</v>
      </c>
      <c r="E819" t="s">
        <v>61</v>
      </c>
      <c r="F819" t="s">
        <v>71</v>
      </c>
      <c r="G819">
        <v>50398.53</v>
      </c>
      <c r="H819">
        <v>25</v>
      </c>
      <c r="I819">
        <v>37798.897499999999</v>
      </c>
      <c r="J819">
        <v>1</v>
      </c>
      <c r="K819">
        <v>37798.9</v>
      </c>
      <c r="L819">
        <v>9449.73</v>
      </c>
      <c r="M819" s="2">
        <v>45570</v>
      </c>
      <c r="N819" s="2">
        <v>45578</v>
      </c>
    </row>
    <row r="820" spans="1:14" x14ac:dyDescent="0.3">
      <c r="A820" t="s">
        <v>19</v>
      </c>
      <c r="B820" t="s">
        <v>33</v>
      </c>
      <c r="C820" t="s">
        <v>53</v>
      </c>
      <c r="D820" t="s">
        <v>58</v>
      </c>
      <c r="E820" t="s">
        <v>63</v>
      </c>
      <c r="F820" t="s">
        <v>73</v>
      </c>
      <c r="G820">
        <v>1922.43</v>
      </c>
      <c r="H820">
        <v>5</v>
      </c>
      <c r="I820">
        <v>1826.3085000000001</v>
      </c>
      <c r="J820">
        <v>4</v>
      </c>
      <c r="K820">
        <v>7305.23</v>
      </c>
      <c r="L820">
        <v>1826.31</v>
      </c>
      <c r="M820" s="2">
        <v>45556</v>
      </c>
      <c r="N820" s="2">
        <v>45558</v>
      </c>
    </row>
    <row r="821" spans="1:14" x14ac:dyDescent="0.3">
      <c r="A821" t="s">
        <v>22</v>
      </c>
      <c r="B821" t="s">
        <v>31</v>
      </c>
      <c r="C821" t="s">
        <v>42</v>
      </c>
      <c r="D821" t="s">
        <v>60</v>
      </c>
      <c r="E821" t="s">
        <v>61</v>
      </c>
      <c r="F821" t="s">
        <v>65</v>
      </c>
      <c r="G821">
        <v>2783.5</v>
      </c>
      <c r="H821">
        <v>0</v>
      </c>
      <c r="I821">
        <v>2783.5</v>
      </c>
      <c r="J821">
        <v>2</v>
      </c>
      <c r="K821">
        <v>5567</v>
      </c>
      <c r="L821">
        <v>835.05</v>
      </c>
      <c r="M821" s="2">
        <v>45609</v>
      </c>
      <c r="N821" s="2">
        <v>45618</v>
      </c>
    </row>
    <row r="822" spans="1:14" x14ac:dyDescent="0.3">
      <c r="A822" t="s">
        <v>18</v>
      </c>
      <c r="B822" t="s">
        <v>33</v>
      </c>
      <c r="C822" t="s">
        <v>50</v>
      </c>
      <c r="D822" t="s">
        <v>59</v>
      </c>
      <c r="E822" t="s">
        <v>64</v>
      </c>
      <c r="F822" t="s">
        <v>74</v>
      </c>
      <c r="G822">
        <v>62381.39</v>
      </c>
      <c r="H822">
        <v>15</v>
      </c>
      <c r="I822">
        <v>53024.181499999999</v>
      </c>
      <c r="J822">
        <v>2</v>
      </c>
      <c r="K822">
        <v>106048.36</v>
      </c>
      <c r="L822">
        <v>37116.93</v>
      </c>
      <c r="M822" s="2">
        <v>45724</v>
      </c>
      <c r="N822" s="2">
        <v>45731</v>
      </c>
    </row>
    <row r="823" spans="1:14" x14ac:dyDescent="0.3">
      <c r="A823" t="s">
        <v>17</v>
      </c>
      <c r="B823" t="s">
        <v>32</v>
      </c>
      <c r="C823" t="s">
        <v>40</v>
      </c>
      <c r="D823" t="s">
        <v>59</v>
      </c>
      <c r="E823" t="s">
        <v>61</v>
      </c>
      <c r="F823" t="s">
        <v>70</v>
      </c>
      <c r="G823">
        <v>9760.15</v>
      </c>
      <c r="H823">
        <v>10</v>
      </c>
      <c r="I823">
        <v>8784.1350000000002</v>
      </c>
      <c r="J823">
        <v>2</v>
      </c>
      <c r="K823">
        <v>17568.27</v>
      </c>
      <c r="L823">
        <v>6148.89</v>
      </c>
      <c r="M823" s="2">
        <v>45756</v>
      </c>
      <c r="N823" s="2">
        <v>45763</v>
      </c>
    </row>
    <row r="824" spans="1:14" x14ac:dyDescent="0.3">
      <c r="A824" t="s">
        <v>24</v>
      </c>
      <c r="B824" t="s">
        <v>32</v>
      </c>
      <c r="C824" t="s">
        <v>37</v>
      </c>
      <c r="D824" t="s">
        <v>59</v>
      </c>
      <c r="E824" t="s">
        <v>61</v>
      </c>
      <c r="F824" t="s">
        <v>65</v>
      </c>
      <c r="G824">
        <v>28316.53</v>
      </c>
      <c r="H824">
        <v>15</v>
      </c>
      <c r="I824">
        <v>24069.050500000001</v>
      </c>
      <c r="J824">
        <v>1</v>
      </c>
      <c r="K824">
        <v>24069.05</v>
      </c>
      <c r="L824">
        <v>8424.17</v>
      </c>
      <c r="M824" s="2">
        <v>45796</v>
      </c>
      <c r="N824" s="2">
        <v>45806</v>
      </c>
    </row>
    <row r="825" spans="1:14" x14ac:dyDescent="0.3">
      <c r="A825" t="s">
        <v>22</v>
      </c>
      <c r="B825" t="s">
        <v>31</v>
      </c>
      <c r="C825" t="s">
        <v>47</v>
      </c>
      <c r="D825" t="s">
        <v>59</v>
      </c>
      <c r="E825" t="s">
        <v>64</v>
      </c>
      <c r="F825" t="s">
        <v>72</v>
      </c>
      <c r="G825">
        <v>4482.1000000000004</v>
      </c>
      <c r="H825">
        <v>25</v>
      </c>
      <c r="I825">
        <v>3361.5749999999998</v>
      </c>
      <c r="J825">
        <v>1</v>
      </c>
      <c r="K825">
        <v>3361.58</v>
      </c>
      <c r="L825">
        <v>1176.55</v>
      </c>
      <c r="M825" s="2">
        <v>45737</v>
      </c>
      <c r="N825" s="2">
        <v>45747</v>
      </c>
    </row>
    <row r="826" spans="1:14" x14ac:dyDescent="0.3">
      <c r="A826" t="s">
        <v>27</v>
      </c>
      <c r="B826" t="s">
        <v>35</v>
      </c>
      <c r="C826" t="s">
        <v>38</v>
      </c>
      <c r="D826" t="s">
        <v>59</v>
      </c>
      <c r="E826" t="s">
        <v>61</v>
      </c>
      <c r="F826" t="s">
        <v>70</v>
      </c>
      <c r="G826">
        <v>8976.35</v>
      </c>
      <c r="H826">
        <v>0</v>
      </c>
      <c r="I826">
        <v>8976.35</v>
      </c>
      <c r="J826">
        <v>2</v>
      </c>
      <c r="K826">
        <v>17952.7</v>
      </c>
      <c r="L826">
        <v>6283.44</v>
      </c>
      <c r="M826" s="2">
        <v>45835</v>
      </c>
      <c r="N826" s="2">
        <v>45841</v>
      </c>
    </row>
    <row r="827" spans="1:14" x14ac:dyDescent="0.3">
      <c r="A827" t="s">
        <v>25</v>
      </c>
      <c r="B827" t="s">
        <v>34</v>
      </c>
      <c r="C827" t="s">
        <v>55</v>
      </c>
      <c r="D827" t="s">
        <v>58</v>
      </c>
      <c r="E827" t="s">
        <v>63</v>
      </c>
      <c r="F827" t="s">
        <v>75</v>
      </c>
      <c r="G827">
        <v>785.71</v>
      </c>
      <c r="H827">
        <v>25</v>
      </c>
      <c r="I827">
        <v>589.28250000000003</v>
      </c>
      <c r="J827">
        <v>5</v>
      </c>
      <c r="K827">
        <v>2946.41</v>
      </c>
      <c r="L827">
        <v>736.6</v>
      </c>
      <c r="M827" s="2">
        <v>45516</v>
      </c>
      <c r="N827" s="2">
        <v>45525</v>
      </c>
    </row>
    <row r="828" spans="1:14" x14ac:dyDescent="0.3">
      <c r="A828" t="s">
        <v>26</v>
      </c>
      <c r="B828" t="s">
        <v>32</v>
      </c>
      <c r="C828" t="s">
        <v>54</v>
      </c>
      <c r="D828" t="s">
        <v>60</v>
      </c>
      <c r="E828" t="s">
        <v>62</v>
      </c>
      <c r="F828" t="s">
        <v>66</v>
      </c>
      <c r="G828">
        <v>30503.919999999998</v>
      </c>
      <c r="H828">
        <v>20</v>
      </c>
      <c r="I828">
        <v>24403.135999999999</v>
      </c>
      <c r="J828">
        <v>5</v>
      </c>
      <c r="K828">
        <v>122015.67999999999</v>
      </c>
      <c r="L828">
        <v>18302.349999999999</v>
      </c>
      <c r="M828" s="2">
        <v>45348</v>
      </c>
      <c r="N828" s="2">
        <v>45356</v>
      </c>
    </row>
    <row r="829" spans="1:14" x14ac:dyDescent="0.3">
      <c r="A829" t="s">
        <v>25</v>
      </c>
      <c r="B829" t="s">
        <v>34</v>
      </c>
      <c r="C829" t="s">
        <v>52</v>
      </c>
      <c r="D829" t="s">
        <v>60</v>
      </c>
      <c r="E829" t="s">
        <v>61</v>
      </c>
      <c r="F829" t="s">
        <v>71</v>
      </c>
      <c r="G829">
        <v>635.72</v>
      </c>
      <c r="H829">
        <v>10</v>
      </c>
      <c r="I829">
        <v>572.14800000000002</v>
      </c>
      <c r="J829">
        <v>4</v>
      </c>
      <c r="K829">
        <v>2288.59</v>
      </c>
      <c r="L829">
        <v>343.29</v>
      </c>
      <c r="M829" s="2">
        <v>45665</v>
      </c>
      <c r="N829" s="2">
        <v>45670</v>
      </c>
    </row>
    <row r="830" spans="1:14" x14ac:dyDescent="0.3">
      <c r="A830" t="s">
        <v>23</v>
      </c>
      <c r="B830" t="s">
        <v>35</v>
      </c>
      <c r="C830" t="s">
        <v>44</v>
      </c>
      <c r="D830" t="s">
        <v>60</v>
      </c>
      <c r="E830" t="s">
        <v>64</v>
      </c>
      <c r="F830" t="s">
        <v>72</v>
      </c>
      <c r="G830">
        <v>23760.57</v>
      </c>
      <c r="H830">
        <v>5</v>
      </c>
      <c r="I830">
        <v>22572.541499999999</v>
      </c>
      <c r="J830">
        <v>2</v>
      </c>
      <c r="K830">
        <v>45145.08</v>
      </c>
      <c r="L830">
        <v>6771.76</v>
      </c>
      <c r="M830" s="2">
        <v>45680</v>
      </c>
      <c r="N830" s="2">
        <v>45682</v>
      </c>
    </row>
    <row r="831" spans="1:14" x14ac:dyDescent="0.3">
      <c r="A831" t="s">
        <v>26</v>
      </c>
      <c r="B831" t="s">
        <v>32</v>
      </c>
      <c r="C831" t="s">
        <v>37</v>
      </c>
      <c r="D831" t="s">
        <v>59</v>
      </c>
      <c r="E831" t="s">
        <v>64</v>
      </c>
      <c r="F831" t="s">
        <v>74</v>
      </c>
      <c r="G831">
        <v>43610.19</v>
      </c>
      <c r="H831">
        <v>15</v>
      </c>
      <c r="I831">
        <v>37068.661500000002</v>
      </c>
      <c r="J831">
        <v>3</v>
      </c>
      <c r="K831">
        <v>111205.98</v>
      </c>
      <c r="L831">
        <v>38922.089999999997</v>
      </c>
      <c r="M831" s="2">
        <v>45842</v>
      </c>
      <c r="N831" s="2">
        <v>45844</v>
      </c>
    </row>
    <row r="832" spans="1:14" x14ac:dyDescent="0.3">
      <c r="A832" t="s">
        <v>30</v>
      </c>
      <c r="B832" t="s">
        <v>33</v>
      </c>
      <c r="C832" t="s">
        <v>57</v>
      </c>
      <c r="D832" t="s">
        <v>60</v>
      </c>
      <c r="E832" t="s">
        <v>63</v>
      </c>
      <c r="F832" t="s">
        <v>68</v>
      </c>
      <c r="G832">
        <v>11554.78</v>
      </c>
      <c r="H832">
        <v>25</v>
      </c>
      <c r="I832">
        <v>8666.0850000000009</v>
      </c>
      <c r="J832">
        <v>3</v>
      </c>
      <c r="K832">
        <v>25998.26</v>
      </c>
      <c r="L832">
        <v>3899.74</v>
      </c>
      <c r="M832" s="2">
        <v>45410</v>
      </c>
      <c r="N832" s="2">
        <v>45418</v>
      </c>
    </row>
    <row r="833" spans="1:14" x14ac:dyDescent="0.3">
      <c r="A833" t="s">
        <v>18</v>
      </c>
      <c r="B833" t="s">
        <v>33</v>
      </c>
      <c r="C833" t="s">
        <v>39</v>
      </c>
      <c r="D833" t="s">
        <v>58</v>
      </c>
      <c r="E833" t="s">
        <v>63</v>
      </c>
      <c r="F833" t="s">
        <v>75</v>
      </c>
      <c r="G833">
        <v>47008.38</v>
      </c>
      <c r="H833">
        <v>15</v>
      </c>
      <c r="I833">
        <v>39957.123</v>
      </c>
      <c r="J833">
        <v>5</v>
      </c>
      <c r="K833">
        <v>199785.61</v>
      </c>
      <c r="L833">
        <v>49946.400000000001</v>
      </c>
      <c r="M833" s="2">
        <v>45797</v>
      </c>
      <c r="N833" s="2">
        <v>45801</v>
      </c>
    </row>
    <row r="834" spans="1:14" x14ac:dyDescent="0.3">
      <c r="A834" t="s">
        <v>21</v>
      </c>
      <c r="B834" t="s">
        <v>34</v>
      </c>
      <c r="C834" t="s">
        <v>55</v>
      </c>
      <c r="D834" t="s">
        <v>58</v>
      </c>
      <c r="E834" t="s">
        <v>63</v>
      </c>
      <c r="F834" t="s">
        <v>68</v>
      </c>
      <c r="G834">
        <v>2764.87</v>
      </c>
      <c r="H834">
        <v>10</v>
      </c>
      <c r="I834">
        <v>2488.3829999999998</v>
      </c>
      <c r="J834">
        <v>3</v>
      </c>
      <c r="K834">
        <v>7465.15</v>
      </c>
      <c r="L834">
        <v>1866.29</v>
      </c>
      <c r="M834" s="2">
        <v>45529</v>
      </c>
      <c r="N834" s="2">
        <v>45536</v>
      </c>
    </row>
    <row r="835" spans="1:14" x14ac:dyDescent="0.3">
      <c r="A835" t="s">
        <v>26</v>
      </c>
      <c r="B835" t="s">
        <v>32</v>
      </c>
      <c r="C835" t="s">
        <v>40</v>
      </c>
      <c r="D835" t="s">
        <v>59</v>
      </c>
      <c r="E835" t="s">
        <v>64</v>
      </c>
      <c r="F835" t="s">
        <v>74</v>
      </c>
      <c r="G835">
        <v>45530.49</v>
      </c>
      <c r="H835">
        <v>20</v>
      </c>
      <c r="I835">
        <v>36424.392</v>
      </c>
      <c r="J835">
        <v>5</v>
      </c>
      <c r="K835">
        <v>182121.96</v>
      </c>
      <c r="L835">
        <v>63742.69</v>
      </c>
      <c r="M835" s="2">
        <v>45302</v>
      </c>
      <c r="N835" s="2">
        <v>45304</v>
      </c>
    </row>
    <row r="836" spans="1:14" x14ac:dyDescent="0.3">
      <c r="A836" t="s">
        <v>23</v>
      </c>
      <c r="B836" t="s">
        <v>35</v>
      </c>
      <c r="C836" t="s">
        <v>48</v>
      </c>
      <c r="D836" t="s">
        <v>58</v>
      </c>
      <c r="E836" t="s">
        <v>61</v>
      </c>
      <c r="F836" t="s">
        <v>71</v>
      </c>
      <c r="G836">
        <v>23565.38</v>
      </c>
      <c r="H836">
        <v>20</v>
      </c>
      <c r="I836">
        <v>18852.304</v>
      </c>
      <c r="J836">
        <v>3</v>
      </c>
      <c r="K836">
        <v>56556.91</v>
      </c>
      <c r="L836">
        <v>14139.23</v>
      </c>
      <c r="M836" s="2">
        <v>45718</v>
      </c>
      <c r="N836" s="2">
        <v>45721</v>
      </c>
    </row>
    <row r="837" spans="1:14" x14ac:dyDescent="0.3">
      <c r="A837" t="s">
        <v>16</v>
      </c>
      <c r="B837" t="s">
        <v>31</v>
      </c>
      <c r="C837" t="s">
        <v>42</v>
      </c>
      <c r="D837" t="s">
        <v>60</v>
      </c>
      <c r="E837" t="s">
        <v>63</v>
      </c>
      <c r="F837" t="s">
        <v>75</v>
      </c>
      <c r="G837">
        <v>2025.12</v>
      </c>
      <c r="H837">
        <v>25</v>
      </c>
      <c r="I837">
        <v>1518.84</v>
      </c>
      <c r="J837">
        <v>4</v>
      </c>
      <c r="K837">
        <v>6075.36</v>
      </c>
      <c r="L837">
        <v>911.3</v>
      </c>
      <c r="M837" s="2">
        <v>45449</v>
      </c>
      <c r="N837" s="2">
        <v>45454</v>
      </c>
    </row>
    <row r="838" spans="1:14" x14ac:dyDescent="0.3">
      <c r="A838" t="s">
        <v>18</v>
      </c>
      <c r="B838" t="s">
        <v>33</v>
      </c>
      <c r="C838" t="s">
        <v>56</v>
      </c>
      <c r="D838" t="s">
        <v>60</v>
      </c>
      <c r="E838" t="s">
        <v>61</v>
      </c>
      <c r="F838" t="s">
        <v>70</v>
      </c>
      <c r="G838">
        <v>40674.18</v>
      </c>
      <c r="H838">
        <v>10</v>
      </c>
      <c r="I838">
        <v>36606.762000000002</v>
      </c>
      <c r="J838">
        <v>3</v>
      </c>
      <c r="K838">
        <v>109820.29</v>
      </c>
      <c r="L838">
        <v>16473.04</v>
      </c>
      <c r="M838" s="2">
        <v>45350</v>
      </c>
      <c r="N838" s="2">
        <v>45360</v>
      </c>
    </row>
    <row r="839" spans="1:14" x14ac:dyDescent="0.3">
      <c r="A839" t="s">
        <v>21</v>
      </c>
      <c r="B839" t="s">
        <v>34</v>
      </c>
      <c r="C839" t="s">
        <v>41</v>
      </c>
      <c r="D839" t="s">
        <v>60</v>
      </c>
      <c r="E839" t="s">
        <v>61</v>
      </c>
      <c r="F839" t="s">
        <v>70</v>
      </c>
      <c r="G839">
        <v>2594.5100000000002</v>
      </c>
      <c r="H839">
        <v>15</v>
      </c>
      <c r="I839">
        <v>2205.3335000000002</v>
      </c>
      <c r="J839">
        <v>5</v>
      </c>
      <c r="K839">
        <v>11026.67</v>
      </c>
      <c r="L839">
        <v>1654</v>
      </c>
      <c r="M839" s="2">
        <v>45394</v>
      </c>
      <c r="N839" s="2">
        <v>45398</v>
      </c>
    </row>
    <row r="840" spans="1:14" x14ac:dyDescent="0.3">
      <c r="A840" t="s">
        <v>19</v>
      </c>
      <c r="B840" t="s">
        <v>33</v>
      </c>
      <c r="C840" t="s">
        <v>56</v>
      </c>
      <c r="D840" t="s">
        <v>60</v>
      </c>
      <c r="E840" t="s">
        <v>62</v>
      </c>
      <c r="F840" t="s">
        <v>66</v>
      </c>
      <c r="G840">
        <v>1758.56</v>
      </c>
      <c r="H840">
        <v>0</v>
      </c>
      <c r="I840">
        <v>1758.56</v>
      </c>
      <c r="J840">
        <v>4</v>
      </c>
      <c r="K840">
        <v>7034.24</v>
      </c>
      <c r="L840">
        <v>1055.1400000000001</v>
      </c>
      <c r="M840" s="2">
        <v>45837</v>
      </c>
      <c r="N840" s="2">
        <v>45845</v>
      </c>
    </row>
    <row r="841" spans="1:14" x14ac:dyDescent="0.3">
      <c r="A841" t="s">
        <v>21</v>
      </c>
      <c r="B841" t="s">
        <v>34</v>
      </c>
      <c r="C841" t="s">
        <v>55</v>
      </c>
      <c r="D841" t="s">
        <v>58</v>
      </c>
      <c r="E841" t="s">
        <v>64</v>
      </c>
      <c r="F841" t="s">
        <v>76</v>
      </c>
      <c r="G841">
        <v>3386.87</v>
      </c>
      <c r="H841">
        <v>25</v>
      </c>
      <c r="I841">
        <v>2540.1525000000001</v>
      </c>
      <c r="J841">
        <v>4</v>
      </c>
      <c r="K841">
        <v>10160.61</v>
      </c>
      <c r="L841">
        <v>2540.15</v>
      </c>
      <c r="M841" s="2">
        <v>45386</v>
      </c>
      <c r="N841" s="2">
        <v>45395</v>
      </c>
    </row>
    <row r="842" spans="1:14" x14ac:dyDescent="0.3">
      <c r="A842" t="s">
        <v>21</v>
      </c>
      <c r="B842" t="s">
        <v>34</v>
      </c>
      <c r="C842" t="s">
        <v>52</v>
      </c>
      <c r="D842" t="s">
        <v>60</v>
      </c>
      <c r="E842" t="s">
        <v>62</v>
      </c>
      <c r="F842" t="s">
        <v>67</v>
      </c>
      <c r="G842">
        <v>2592.42</v>
      </c>
      <c r="H842">
        <v>10</v>
      </c>
      <c r="I842">
        <v>2333.1779999999999</v>
      </c>
      <c r="J842">
        <v>3</v>
      </c>
      <c r="K842">
        <v>6999.53</v>
      </c>
      <c r="L842">
        <v>1049.93</v>
      </c>
      <c r="M842" s="2">
        <v>45628</v>
      </c>
      <c r="N842" s="2">
        <v>45635</v>
      </c>
    </row>
    <row r="843" spans="1:14" x14ac:dyDescent="0.3">
      <c r="A843" t="s">
        <v>26</v>
      </c>
      <c r="B843" t="s">
        <v>32</v>
      </c>
      <c r="C843" t="s">
        <v>37</v>
      </c>
      <c r="D843" t="s">
        <v>59</v>
      </c>
      <c r="E843" t="s">
        <v>64</v>
      </c>
      <c r="F843" t="s">
        <v>74</v>
      </c>
      <c r="G843">
        <v>44387.42</v>
      </c>
      <c r="H843">
        <v>0</v>
      </c>
      <c r="I843">
        <v>44387.42</v>
      </c>
      <c r="J843">
        <v>1</v>
      </c>
      <c r="K843">
        <v>44387.42</v>
      </c>
      <c r="L843">
        <v>15535.6</v>
      </c>
      <c r="M843" s="2">
        <v>45567</v>
      </c>
      <c r="N843" s="2">
        <v>45570</v>
      </c>
    </row>
    <row r="844" spans="1:14" x14ac:dyDescent="0.3">
      <c r="A844" t="s">
        <v>19</v>
      </c>
      <c r="B844" t="s">
        <v>33</v>
      </c>
      <c r="C844" t="s">
        <v>50</v>
      </c>
      <c r="D844" t="s">
        <v>59</v>
      </c>
      <c r="E844" t="s">
        <v>64</v>
      </c>
      <c r="F844" t="s">
        <v>76</v>
      </c>
      <c r="G844">
        <v>2573.5300000000002</v>
      </c>
      <c r="H844">
        <v>0</v>
      </c>
      <c r="I844">
        <v>2573.5300000000002</v>
      </c>
      <c r="J844">
        <v>5</v>
      </c>
      <c r="K844">
        <v>12867.65</v>
      </c>
      <c r="L844">
        <v>4503.68</v>
      </c>
      <c r="M844" s="2">
        <v>45770</v>
      </c>
      <c r="N844" s="2">
        <v>45775</v>
      </c>
    </row>
    <row r="845" spans="1:14" x14ac:dyDescent="0.3">
      <c r="A845" t="s">
        <v>22</v>
      </c>
      <c r="B845" t="s">
        <v>31</v>
      </c>
      <c r="C845" t="s">
        <v>47</v>
      </c>
      <c r="D845" t="s">
        <v>59</v>
      </c>
      <c r="E845" t="s">
        <v>64</v>
      </c>
      <c r="F845" t="s">
        <v>76</v>
      </c>
      <c r="G845">
        <v>4407.32</v>
      </c>
      <c r="H845">
        <v>10</v>
      </c>
      <c r="I845">
        <v>3966.5880000000002</v>
      </c>
      <c r="J845">
        <v>5</v>
      </c>
      <c r="K845">
        <v>19832.939999999999</v>
      </c>
      <c r="L845">
        <v>6941.53</v>
      </c>
      <c r="M845" s="2">
        <v>45521</v>
      </c>
      <c r="N845" s="2">
        <v>45524</v>
      </c>
    </row>
    <row r="846" spans="1:14" x14ac:dyDescent="0.3">
      <c r="A846" t="s">
        <v>22</v>
      </c>
      <c r="B846" t="s">
        <v>31</v>
      </c>
      <c r="C846" t="s">
        <v>36</v>
      </c>
      <c r="D846" t="s">
        <v>58</v>
      </c>
      <c r="E846" t="s">
        <v>63</v>
      </c>
      <c r="F846" t="s">
        <v>68</v>
      </c>
      <c r="G846">
        <v>3206.66</v>
      </c>
      <c r="H846">
        <v>10</v>
      </c>
      <c r="I846">
        <v>2885.9940000000001</v>
      </c>
      <c r="J846">
        <v>5</v>
      </c>
      <c r="K846">
        <v>14429.97</v>
      </c>
      <c r="L846">
        <v>3607.49</v>
      </c>
      <c r="M846" s="2">
        <v>45672</v>
      </c>
      <c r="N846" s="2">
        <v>45678</v>
      </c>
    </row>
    <row r="847" spans="1:14" x14ac:dyDescent="0.3">
      <c r="A847" t="s">
        <v>27</v>
      </c>
      <c r="B847" t="s">
        <v>35</v>
      </c>
      <c r="C847" t="s">
        <v>44</v>
      </c>
      <c r="D847" t="s">
        <v>60</v>
      </c>
      <c r="E847" t="s">
        <v>61</v>
      </c>
      <c r="F847" t="s">
        <v>65</v>
      </c>
      <c r="G847">
        <v>6705.75</v>
      </c>
      <c r="H847">
        <v>10</v>
      </c>
      <c r="I847">
        <v>6035.1750000000002</v>
      </c>
      <c r="J847">
        <v>2</v>
      </c>
      <c r="K847">
        <v>12070.35</v>
      </c>
      <c r="L847">
        <v>1810.55</v>
      </c>
      <c r="M847" s="2">
        <v>45698</v>
      </c>
      <c r="N847" s="2">
        <v>45706</v>
      </c>
    </row>
    <row r="848" spans="1:14" x14ac:dyDescent="0.3">
      <c r="A848" t="s">
        <v>16</v>
      </c>
      <c r="B848" t="s">
        <v>31</v>
      </c>
      <c r="C848" t="s">
        <v>42</v>
      </c>
      <c r="D848" t="s">
        <v>60</v>
      </c>
      <c r="E848" t="s">
        <v>62</v>
      </c>
      <c r="F848" t="s">
        <v>69</v>
      </c>
      <c r="G848">
        <v>2257</v>
      </c>
      <c r="H848">
        <v>20</v>
      </c>
      <c r="I848">
        <v>1805.6</v>
      </c>
      <c r="J848">
        <v>5</v>
      </c>
      <c r="K848">
        <v>9028</v>
      </c>
      <c r="L848">
        <v>1354.2</v>
      </c>
      <c r="M848" s="2">
        <v>45807</v>
      </c>
      <c r="N848" s="2">
        <v>45817</v>
      </c>
    </row>
    <row r="849" spans="1:14" x14ac:dyDescent="0.3">
      <c r="A849" t="s">
        <v>28</v>
      </c>
      <c r="B849" t="s">
        <v>34</v>
      </c>
      <c r="C849" t="s">
        <v>41</v>
      </c>
      <c r="D849" t="s">
        <v>60</v>
      </c>
      <c r="E849" t="s">
        <v>62</v>
      </c>
      <c r="F849" t="s">
        <v>69</v>
      </c>
      <c r="G849">
        <v>1337.08</v>
      </c>
      <c r="H849">
        <v>15</v>
      </c>
      <c r="I849">
        <v>1136.518</v>
      </c>
      <c r="J849">
        <v>4</v>
      </c>
      <c r="K849">
        <v>4546.07</v>
      </c>
      <c r="L849">
        <v>681.91</v>
      </c>
      <c r="M849" s="2">
        <v>45342</v>
      </c>
      <c r="N849" s="2">
        <v>45348</v>
      </c>
    </row>
    <row r="850" spans="1:14" x14ac:dyDescent="0.3">
      <c r="A850" t="s">
        <v>19</v>
      </c>
      <c r="B850" t="s">
        <v>33</v>
      </c>
      <c r="C850" t="s">
        <v>38</v>
      </c>
      <c r="D850" t="s">
        <v>59</v>
      </c>
      <c r="E850" t="s">
        <v>64</v>
      </c>
      <c r="F850" t="s">
        <v>72</v>
      </c>
      <c r="G850">
        <v>2466.15</v>
      </c>
      <c r="H850">
        <v>5</v>
      </c>
      <c r="I850">
        <v>2342.8425000000002</v>
      </c>
      <c r="J850">
        <v>1</v>
      </c>
      <c r="K850">
        <v>2342.84</v>
      </c>
      <c r="L850">
        <v>819.99</v>
      </c>
      <c r="M850" s="2">
        <v>45560</v>
      </c>
      <c r="N850" s="2">
        <v>45562</v>
      </c>
    </row>
    <row r="851" spans="1:14" x14ac:dyDescent="0.3">
      <c r="A851" t="s">
        <v>21</v>
      </c>
      <c r="B851" t="s">
        <v>34</v>
      </c>
      <c r="C851" t="s">
        <v>41</v>
      </c>
      <c r="D851" t="s">
        <v>60</v>
      </c>
      <c r="E851" t="s">
        <v>63</v>
      </c>
      <c r="F851" t="s">
        <v>68</v>
      </c>
      <c r="G851">
        <v>2455.08</v>
      </c>
      <c r="H851">
        <v>5</v>
      </c>
      <c r="I851">
        <v>2332.326</v>
      </c>
      <c r="J851">
        <v>4</v>
      </c>
      <c r="K851">
        <v>9329.2999999999993</v>
      </c>
      <c r="L851">
        <v>1399.39</v>
      </c>
      <c r="M851" s="2">
        <v>45357</v>
      </c>
      <c r="N851" s="2">
        <v>45367</v>
      </c>
    </row>
    <row r="852" spans="1:14" x14ac:dyDescent="0.3">
      <c r="A852" t="s">
        <v>21</v>
      </c>
      <c r="B852" t="s">
        <v>34</v>
      </c>
      <c r="C852" t="s">
        <v>51</v>
      </c>
      <c r="D852" t="s">
        <v>59</v>
      </c>
      <c r="E852" t="s">
        <v>64</v>
      </c>
      <c r="F852" t="s">
        <v>72</v>
      </c>
      <c r="G852">
        <v>3719.55</v>
      </c>
      <c r="H852">
        <v>5</v>
      </c>
      <c r="I852">
        <v>3533.5725000000002</v>
      </c>
      <c r="J852">
        <v>5</v>
      </c>
      <c r="K852">
        <v>17667.86</v>
      </c>
      <c r="L852">
        <v>6183.75</v>
      </c>
      <c r="M852" s="2">
        <v>45375</v>
      </c>
      <c r="N852" s="2">
        <v>45384</v>
      </c>
    </row>
    <row r="853" spans="1:14" x14ac:dyDescent="0.3">
      <c r="A853" t="s">
        <v>24</v>
      </c>
      <c r="B853" t="s">
        <v>32</v>
      </c>
      <c r="C853" t="s">
        <v>37</v>
      </c>
      <c r="D853" t="s">
        <v>59</v>
      </c>
      <c r="E853" t="s">
        <v>64</v>
      </c>
      <c r="F853" t="s">
        <v>76</v>
      </c>
      <c r="G853">
        <v>33481.089999999997</v>
      </c>
      <c r="H853">
        <v>10</v>
      </c>
      <c r="I853">
        <v>30132.981</v>
      </c>
      <c r="J853">
        <v>2</v>
      </c>
      <c r="K853">
        <v>60265.96</v>
      </c>
      <c r="L853">
        <v>21093.09</v>
      </c>
      <c r="M853" s="2">
        <v>45568</v>
      </c>
      <c r="N853" s="2">
        <v>45571</v>
      </c>
    </row>
    <row r="854" spans="1:14" x14ac:dyDescent="0.3">
      <c r="A854" t="s">
        <v>28</v>
      </c>
      <c r="B854" t="s">
        <v>34</v>
      </c>
      <c r="C854" t="s">
        <v>52</v>
      </c>
      <c r="D854" t="s">
        <v>60</v>
      </c>
      <c r="E854" t="s">
        <v>63</v>
      </c>
      <c r="F854" t="s">
        <v>73</v>
      </c>
      <c r="G854">
        <v>1170.1500000000001</v>
      </c>
      <c r="H854">
        <v>10</v>
      </c>
      <c r="I854">
        <v>1053.135</v>
      </c>
      <c r="J854">
        <v>5</v>
      </c>
      <c r="K854">
        <v>5265.68</v>
      </c>
      <c r="L854">
        <v>789.85</v>
      </c>
      <c r="M854" s="2">
        <v>45808</v>
      </c>
      <c r="N854" s="2">
        <v>45814</v>
      </c>
    </row>
    <row r="855" spans="1:14" x14ac:dyDescent="0.3">
      <c r="A855" t="s">
        <v>25</v>
      </c>
      <c r="B855" t="s">
        <v>34</v>
      </c>
      <c r="C855" t="s">
        <v>51</v>
      </c>
      <c r="D855" t="s">
        <v>59</v>
      </c>
      <c r="E855" t="s">
        <v>63</v>
      </c>
      <c r="F855" t="s">
        <v>68</v>
      </c>
      <c r="G855">
        <v>894.4</v>
      </c>
      <c r="H855">
        <v>20</v>
      </c>
      <c r="I855">
        <v>715.52</v>
      </c>
      <c r="J855">
        <v>5</v>
      </c>
      <c r="K855">
        <v>3577.6</v>
      </c>
      <c r="L855">
        <v>1252.1600000000001</v>
      </c>
      <c r="M855" s="2">
        <v>45502</v>
      </c>
      <c r="N855" s="2">
        <v>45509</v>
      </c>
    </row>
    <row r="856" spans="1:14" x14ac:dyDescent="0.3">
      <c r="A856" t="s">
        <v>30</v>
      </c>
      <c r="B856" t="s">
        <v>33</v>
      </c>
      <c r="C856" t="s">
        <v>38</v>
      </c>
      <c r="D856" t="s">
        <v>59</v>
      </c>
      <c r="E856" t="s">
        <v>64</v>
      </c>
      <c r="F856" t="s">
        <v>72</v>
      </c>
      <c r="G856">
        <v>20115.96</v>
      </c>
      <c r="H856">
        <v>30</v>
      </c>
      <c r="I856">
        <v>14081.172</v>
      </c>
      <c r="J856">
        <v>2</v>
      </c>
      <c r="K856">
        <v>28162.34</v>
      </c>
      <c r="L856">
        <v>9856.82</v>
      </c>
      <c r="M856" s="2">
        <v>45825</v>
      </c>
      <c r="N856" s="2">
        <v>45832</v>
      </c>
    </row>
    <row r="857" spans="1:14" x14ac:dyDescent="0.3">
      <c r="A857" t="s">
        <v>22</v>
      </c>
      <c r="B857" t="s">
        <v>31</v>
      </c>
      <c r="C857" t="s">
        <v>47</v>
      </c>
      <c r="D857" t="s">
        <v>59</v>
      </c>
      <c r="E857" t="s">
        <v>63</v>
      </c>
      <c r="F857" t="s">
        <v>68</v>
      </c>
      <c r="G857">
        <v>3896.85</v>
      </c>
      <c r="H857">
        <v>10</v>
      </c>
      <c r="I857">
        <v>3507.165</v>
      </c>
      <c r="J857">
        <v>5</v>
      </c>
      <c r="K857">
        <v>17535.830000000002</v>
      </c>
      <c r="L857">
        <v>6137.54</v>
      </c>
      <c r="M857" s="2">
        <v>45705</v>
      </c>
      <c r="N857" s="2">
        <v>45708</v>
      </c>
    </row>
    <row r="858" spans="1:14" x14ac:dyDescent="0.3">
      <c r="A858" t="s">
        <v>27</v>
      </c>
      <c r="B858" t="s">
        <v>35</v>
      </c>
      <c r="C858" t="s">
        <v>44</v>
      </c>
      <c r="D858" t="s">
        <v>60</v>
      </c>
      <c r="E858" t="s">
        <v>63</v>
      </c>
      <c r="F858" t="s">
        <v>75</v>
      </c>
      <c r="G858">
        <v>6140.51</v>
      </c>
      <c r="H858">
        <v>20</v>
      </c>
      <c r="I858">
        <v>4912.4080000000004</v>
      </c>
      <c r="J858">
        <v>2</v>
      </c>
      <c r="K858">
        <v>9824.82</v>
      </c>
      <c r="L858">
        <v>1473.72</v>
      </c>
      <c r="M858" s="2">
        <v>45476</v>
      </c>
      <c r="N858" s="2">
        <v>45483</v>
      </c>
    </row>
    <row r="859" spans="1:14" x14ac:dyDescent="0.3">
      <c r="A859" t="s">
        <v>17</v>
      </c>
      <c r="B859" t="s">
        <v>32</v>
      </c>
      <c r="C859" t="s">
        <v>43</v>
      </c>
      <c r="D859" t="s">
        <v>58</v>
      </c>
      <c r="E859" t="s">
        <v>62</v>
      </c>
      <c r="F859" t="s">
        <v>67</v>
      </c>
      <c r="G859">
        <v>8096.26</v>
      </c>
      <c r="H859">
        <v>10</v>
      </c>
      <c r="I859">
        <v>7286.634</v>
      </c>
      <c r="J859">
        <v>1</v>
      </c>
      <c r="K859">
        <v>7286.63</v>
      </c>
      <c r="L859">
        <v>1821.66</v>
      </c>
      <c r="M859" s="2">
        <v>45811</v>
      </c>
      <c r="N859" s="2">
        <v>45816</v>
      </c>
    </row>
    <row r="860" spans="1:14" x14ac:dyDescent="0.3">
      <c r="A860" t="s">
        <v>25</v>
      </c>
      <c r="B860" t="s">
        <v>34</v>
      </c>
      <c r="C860" t="s">
        <v>45</v>
      </c>
      <c r="D860" t="s">
        <v>59</v>
      </c>
      <c r="E860" t="s">
        <v>61</v>
      </c>
      <c r="F860" t="s">
        <v>70</v>
      </c>
      <c r="G860">
        <v>917.72</v>
      </c>
      <c r="H860">
        <v>0</v>
      </c>
      <c r="I860">
        <v>917.72</v>
      </c>
      <c r="J860">
        <v>2</v>
      </c>
      <c r="K860">
        <v>1835.44</v>
      </c>
      <c r="L860">
        <v>642.4</v>
      </c>
      <c r="M860" s="2">
        <v>45406</v>
      </c>
      <c r="N860" s="2">
        <v>45415</v>
      </c>
    </row>
    <row r="861" spans="1:14" x14ac:dyDescent="0.3">
      <c r="A861" t="s">
        <v>23</v>
      </c>
      <c r="B861" t="s">
        <v>35</v>
      </c>
      <c r="C861" t="s">
        <v>38</v>
      </c>
      <c r="D861" t="s">
        <v>59</v>
      </c>
      <c r="E861" t="s">
        <v>62</v>
      </c>
      <c r="F861" t="s">
        <v>67</v>
      </c>
      <c r="G861">
        <v>30434.34</v>
      </c>
      <c r="H861">
        <v>5</v>
      </c>
      <c r="I861">
        <v>28912.623</v>
      </c>
      <c r="J861">
        <v>4</v>
      </c>
      <c r="K861">
        <v>115650.49</v>
      </c>
      <c r="L861">
        <v>40477.67</v>
      </c>
      <c r="M861" s="2">
        <v>45683</v>
      </c>
      <c r="N861" s="2">
        <v>45690</v>
      </c>
    </row>
    <row r="862" spans="1:14" x14ac:dyDescent="0.3">
      <c r="A862" t="s">
        <v>22</v>
      </c>
      <c r="B862" t="s">
        <v>31</v>
      </c>
      <c r="C862" t="s">
        <v>42</v>
      </c>
      <c r="D862" t="s">
        <v>60</v>
      </c>
      <c r="E862" t="s">
        <v>62</v>
      </c>
      <c r="F862" t="s">
        <v>69</v>
      </c>
      <c r="G862">
        <v>3019.33</v>
      </c>
      <c r="H862">
        <v>5</v>
      </c>
      <c r="I862">
        <v>2868.3634999999999</v>
      </c>
      <c r="J862">
        <v>2</v>
      </c>
      <c r="K862">
        <v>5736.73</v>
      </c>
      <c r="L862">
        <v>860.51</v>
      </c>
      <c r="M862" s="2">
        <v>45697</v>
      </c>
      <c r="N862" s="2">
        <v>45701</v>
      </c>
    </row>
    <row r="863" spans="1:14" x14ac:dyDescent="0.3">
      <c r="A863" t="s">
        <v>22</v>
      </c>
      <c r="B863" t="s">
        <v>31</v>
      </c>
      <c r="C863" t="s">
        <v>36</v>
      </c>
      <c r="D863" t="s">
        <v>58</v>
      </c>
      <c r="E863" t="s">
        <v>61</v>
      </c>
      <c r="F863" t="s">
        <v>65</v>
      </c>
      <c r="G863">
        <v>3335.19</v>
      </c>
      <c r="H863">
        <v>25</v>
      </c>
      <c r="I863">
        <v>2501.3924999999999</v>
      </c>
      <c r="J863">
        <v>3</v>
      </c>
      <c r="K863">
        <v>7504.18</v>
      </c>
      <c r="L863">
        <v>1876.05</v>
      </c>
      <c r="M863" s="2">
        <v>45553</v>
      </c>
      <c r="N863" s="2">
        <v>45559</v>
      </c>
    </row>
    <row r="864" spans="1:14" x14ac:dyDescent="0.3">
      <c r="A864" t="s">
        <v>19</v>
      </c>
      <c r="B864" t="s">
        <v>33</v>
      </c>
      <c r="C864" t="s">
        <v>39</v>
      </c>
      <c r="D864" t="s">
        <v>58</v>
      </c>
      <c r="E864" t="s">
        <v>61</v>
      </c>
      <c r="F864" t="s">
        <v>65</v>
      </c>
      <c r="G864">
        <v>1896.86</v>
      </c>
      <c r="H864">
        <v>30</v>
      </c>
      <c r="I864">
        <v>1327.8019999999999</v>
      </c>
      <c r="J864">
        <v>3</v>
      </c>
      <c r="K864">
        <v>3983.41</v>
      </c>
      <c r="L864">
        <v>995.85</v>
      </c>
      <c r="M864" s="2">
        <v>45818</v>
      </c>
      <c r="N864" s="2">
        <v>45826</v>
      </c>
    </row>
    <row r="865" spans="1:14" x14ac:dyDescent="0.3">
      <c r="A865" t="s">
        <v>26</v>
      </c>
      <c r="B865" t="s">
        <v>32</v>
      </c>
      <c r="C865" t="s">
        <v>43</v>
      </c>
      <c r="D865" t="s">
        <v>58</v>
      </c>
      <c r="E865" t="s">
        <v>61</v>
      </c>
      <c r="F865" t="s">
        <v>70</v>
      </c>
      <c r="G865">
        <v>32758.22</v>
      </c>
      <c r="H865">
        <v>15</v>
      </c>
      <c r="I865">
        <v>27844.487000000001</v>
      </c>
      <c r="J865">
        <v>1</v>
      </c>
      <c r="K865">
        <v>27844.49</v>
      </c>
      <c r="L865">
        <v>6961.12</v>
      </c>
      <c r="M865" s="2">
        <v>45674</v>
      </c>
      <c r="N865" s="2">
        <v>45676</v>
      </c>
    </row>
    <row r="866" spans="1:14" x14ac:dyDescent="0.3">
      <c r="A866" t="s">
        <v>24</v>
      </c>
      <c r="B866" t="s">
        <v>32</v>
      </c>
      <c r="C866" t="s">
        <v>40</v>
      </c>
      <c r="D866" t="s">
        <v>59</v>
      </c>
      <c r="E866" t="s">
        <v>63</v>
      </c>
      <c r="F866" t="s">
        <v>75</v>
      </c>
      <c r="G866">
        <v>27188.53</v>
      </c>
      <c r="H866">
        <v>0</v>
      </c>
      <c r="I866">
        <v>27188.53</v>
      </c>
      <c r="J866">
        <v>4</v>
      </c>
      <c r="K866">
        <v>108754.12</v>
      </c>
      <c r="L866">
        <v>38063.94</v>
      </c>
      <c r="M866" s="2">
        <v>45804</v>
      </c>
      <c r="N866" s="2">
        <v>45811</v>
      </c>
    </row>
    <row r="867" spans="1:14" x14ac:dyDescent="0.3">
      <c r="A867" t="s">
        <v>27</v>
      </c>
      <c r="B867" t="s">
        <v>35</v>
      </c>
      <c r="C867" t="s">
        <v>46</v>
      </c>
      <c r="D867" t="s">
        <v>59</v>
      </c>
      <c r="E867" t="s">
        <v>64</v>
      </c>
      <c r="F867" t="s">
        <v>72</v>
      </c>
      <c r="G867">
        <v>10732.6</v>
      </c>
      <c r="H867">
        <v>10</v>
      </c>
      <c r="I867">
        <v>9659.34</v>
      </c>
      <c r="J867">
        <v>1</v>
      </c>
      <c r="K867">
        <v>9659.34</v>
      </c>
      <c r="L867">
        <v>3380.77</v>
      </c>
      <c r="M867" s="2">
        <v>45563</v>
      </c>
      <c r="N867" s="2">
        <v>45571</v>
      </c>
    </row>
    <row r="868" spans="1:14" x14ac:dyDescent="0.3">
      <c r="A868" t="s">
        <v>24</v>
      </c>
      <c r="B868" t="s">
        <v>32</v>
      </c>
      <c r="C868" t="s">
        <v>37</v>
      </c>
      <c r="D868" t="s">
        <v>59</v>
      </c>
      <c r="E868" t="s">
        <v>62</v>
      </c>
      <c r="F868" t="s">
        <v>69</v>
      </c>
      <c r="G868">
        <v>31944.45</v>
      </c>
      <c r="H868">
        <v>15</v>
      </c>
      <c r="I868">
        <v>27152.782500000001</v>
      </c>
      <c r="J868">
        <v>4</v>
      </c>
      <c r="K868">
        <v>108611.13</v>
      </c>
      <c r="L868">
        <v>38013.9</v>
      </c>
      <c r="M868" s="2">
        <v>45814</v>
      </c>
      <c r="N868" s="2">
        <v>45820</v>
      </c>
    </row>
    <row r="869" spans="1:14" x14ac:dyDescent="0.3">
      <c r="A869" t="s">
        <v>25</v>
      </c>
      <c r="B869" t="s">
        <v>34</v>
      </c>
      <c r="C869" t="s">
        <v>55</v>
      </c>
      <c r="D869" t="s">
        <v>58</v>
      </c>
      <c r="E869" t="s">
        <v>63</v>
      </c>
      <c r="F869" t="s">
        <v>73</v>
      </c>
      <c r="G869">
        <v>730.11</v>
      </c>
      <c r="H869">
        <v>5</v>
      </c>
      <c r="I869">
        <v>693.60450000000003</v>
      </c>
      <c r="J869">
        <v>5</v>
      </c>
      <c r="K869">
        <v>3468.02</v>
      </c>
      <c r="L869">
        <v>867</v>
      </c>
      <c r="M869" s="2">
        <v>45476</v>
      </c>
      <c r="N869" s="2">
        <v>45480</v>
      </c>
    </row>
    <row r="870" spans="1:14" x14ac:dyDescent="0.3">
      <c r="A870" t="s">
        <v>18</v>
      </c>
      <c r="B870" t="s">
        <v>33</v>
      </c>
      <c r="C870" t="s">
        <v>56</v>
      </c>
      <c r="D870" t="s">
        <v>60</v>
      </c>
      <c r="E870" t="s">
        <v>61</v>
      </c>
      <c r="F870" t="s">
        <v>65</v>
      </c>
      <c r="G870">
        <v>43701.13</v>
      </c>
      <c r="H870">
        <v>20</v>
      </c>
      <c r="I870">
        <v>34960.904000000002</v>
      </c>
      <c r="J870">
        <v>4</v>
      </c>
      <c r="K870">
        <v>139843.62</v>
      </c>
      <c r="L870">
        <v>20976.54</v>
      </c>
      <c r="M870" s="2">
        <v>45299</v>
      </c>
      <c r="N870" s="2">
        <v>45306</v>
      </c>
    </row>
    <row r="871" spans="1:14" x14ac:dyDescent="0.3">
      <c r="A871" t="s">
        <v>22</v>
      </c>
      <c r="B871" t="s">
        <v>31</v>
      </c>
      <c r="C871" t="s">
        <v>42</v>
      </c>
      <c r="D871" t="s">
        <v>60</v>
      </c>
      <c r="E871" t="s">
        <v>64</v>
      </c>
      <c r="F871" t="s">
        <v>76</v>
      </c>
      <c r="G871">
        <v>3117.07</v>
      </c>
      <c r="H871">
        <v>0</v>
      </c>
      <c r="I871">
        <v>3117.07</v>
      </c>
      <c r="J871">
        <v>4</v>
      </c>
      <c r="K871">
        <v>12468.28</v>
      </c>
      <c r="L871">
        <v>1870.24</v>
      </c>
      <c r="M871" s="2">
        <v>45853</v>
      </c>
      <c r="N871" s="2">
        <v>45855</v>
      </c>
    </row>
    <row r="872" spans="1:14" x14ac:dyDescent="0.3">
      <c r="A872" t="s">
        <v>16</v>
      </c>
      <c r="B872" t="s">
        <v>31</v>
      </c>
      <c r="C872" t="s">
        <v>36</v>
      </c>
      <c r="D872" t="s">
        <v>58</v>
      </c>
      <c r="E872" t="s">
        <v>62</v>
      </c>
      <c r="F872" t="s">
        <v>69</v>
      </c>
      <c r="G872">
        <v>2567.2600000000002</v>
      </c>
      <c r="H872">
        <v>20</v>
      </c>
      <c r="I872">
        <v>2053.808</v>
      </c>
      <c r="J872">
        <v>1</v>
      </c>
      <c r="K872">
        <v>2053.81</v>
      </c>
      <c r="L872">
        <v>513.45000000000005</v>
      </c>
      <c r="M872" s="2">
        <v>45595</v>
      </c>
      <c r="N872" s="2">
        <v>45604</v>
      </c>
    </row>
    <row r="873" spans="1:14" x14ac:dyDescent="0.3">
      <c r="A873" t="s">
        <v>25</v>
      </c>
      <c r="B873" t="s">
        <v>34</v>
      </c>
      <c r="C873" t="s">
        <v>51</v>
      </c>
      <c r="D873" t="s">
        <v>59</v>
      </c>
      <c r="E873" t="s">
        <v>61</v>
      </c>
      <c r="F873" t="s">
        <v>71</v>
      </c>
      <c r="G873">
        <v>919.64</v>
      </c>
      <c r="H873">
        <v>0</v>
      </c>
      <c r="I873">
        <v>919.64</v>
      </c>
      <c r="J873">
        <v>2</v>
      </c>
      <c r="K873">
        <v>1839.28</v>
      </c>
      <c r="L873">
        <v>643.75</v>
      </c>
      <c r="M873" s="2">
        <v>45687</v>
      </c>
      <c r="N873" s="2">
        <v>45690</v>
      </c>
    </row>
    <row r="874" spans="1:14" x14ac:dyDescent="0.3">
      <c r="A874" t="s">
        <v>26</v>
      </c>
      <c r="B874" t="s">
        <v>32</v>
      </c>
      <c r="C874" t="s">
        <v>54</v>
      </c>
      <c r="D874" t="s">
        <v>60</v>
      </c>
      <c r="E874" t="s">
        <v>64</v>
      </c>
      <c r="F874" t="s">
        <v>76</v>
      </c>
      <c r="G874">
        <v>31289.71</v>
      </c>
      <c r="H874">
        <v>20</v>
      </c>
      <c r="I874">
        <v>25031.768</v>
      </c>
      <c r="J874">
        <v>3</v>
      </c>
      <c r="K874">
        <v>75095.3</v>
      </c>
      <c r="L874">
        <v>11264.3</v>
      </c>
      <c r="M874" s="2">
        <v>45706</v>
      </c>
      <c r="N874" s="2">
        <v>45715</v>
      </c>
    </row>
    <row r="875" spans="1:14" x14ac:dyDescent="0.3">
      <c r="A875" t="s">
        <v>20</v>
      </c>
      <c r="B875" t="s">
        <v>32</v>
      </c>
      <c r="C875" t="s">
        <v>54</v>
      </c>
      <c r="D875" t="s">
        <v>60</v>
      </c>
      <c r="E875" t="s">
        <v>61</v>
      </c>
      <c r="F875" t="s">
        <v>71</v>
      </c>
      <c r="G875">
        <v>24311.62</v>
      </c>
      <c r="H875">
        <v>20</v>
      </c>
      <c r="I875">
        <v>19449.295999999998</v>
      </c>
      <c r="J875">
        <v>3</v>
      </c>
      <c r="K875">
        <v>58347.89</v>
      </c>
      <c r="L875">
        <v>8752.18</v>
      </c>
      <c r="M875" s="2">
        <v>45393</v>
      </c>
      <c r="N875" s="2">
        <v>45396</v>
      </c>
    </row>
    <row r="876" spans="1:14" x14ac:dyDescent="0.3">
      <c r="A876" t="s">
        <v>28</v>
      </c>
      <c r="B876" t="s">
        <v>34</v>
      </c>
      <c r="C876" t="s">
        <v>41</v>
      </c>
      <c r="D876" t="s">
        <v>60</v>
      </c>
      <c r="E876" t="s">
        <v>63</v>
      </c>
      <c r="F876" t="s">
        <v>75</v>
      </c>
      <c r="G876">
        <v>1261.67</v>
      </c>
      <c r="H876">
        <v>15</v>
      </c>
      <c r="I876">
        <v>1072.4195</v>
      </c>
      <c r="J876">
        <v>3</v>
      </c>
      <c r="K876">
        <v>3217.26</v>
      </c>
      <c r="L876">
        <v>482.59</v>
      </c>
      <c r="M876" s="2">
        <v>45383</v>
      </c>
      <c r="N876" s="2">
        <v>45391</v>
      </c>
    </row>
    <row r="877" spans="1:14" x14ac:dyDescent="0.3">
      <c r="A877" t="s">
        <v>30</v>
      </c>
      <c r="B877" t="s">
        <v>33</v>
      </c>
      <c r="C877" t="s">
        <v>57</v>
      </c>
      <c r="D877" t="s">
        <v>60</v>
      </c>
      <c r="E877" t="s">
        <v>61</v>
      </c>
      <c r="F877" t="s">
        <v>71</v>
      </c>
      <c r="G877">
        <v>12428.68</v>
      </c>
      <c r="H877">
        <v>20</v>
      </c>
      <c r="I877">
        <v>9942.9440000000013</v>
      </c>
      <c r="J877">
        <v>4</v>
      </c>
      <c r="K877">
        <v>39771.78</v>
      </c>
      <c r="L877">
        <v>5965.77</v>
      </c>
      <c r="M877" s="2">
        <v>45473</v>
      </c>
      <c r="N877" s="2">
        <v>45483</v>
      </c>
    </row>
    <row r="878" spans="1:14" x14ac:dyDescent="0.3">
      <c r="A878" t="s">
        <v>21</v>
      </c>
      <c r="B878" t="s">
        <v>34</v>
      </c>
      <c r="C878" t="s">
        <v>52</v>
      </c>
      <c r="D878" t="s">
        <v>60</v>
      </c>
      <c r="E878" t="s">
        <v>61</v>
      </c>
      <c r="F878" t="s">
        <v>70</v>
      </c>
      <c r="G878">
        <v>2593.5</v>
      </c>
      <c r="H878">
        <v>30</v>
      </c>
      <c r="I878">
        <v>1815.45</v>
      </c>
      <c r="J878">
        <v>5</v>
      </c>
      <c r="K878">
        <v>9077.25</v>
      </c>
      <c r="L878">
        <v>1361.59</v>
      </c>
      <c r="M878" s="2">
        <v>45505</v>
      </c>
      <c r="N878" s="2">
        <v>45511</v>
      </c>
    </row>
    <row r="879" spans="1:14" x14ac:dyDescent="0.3">
      <c r="A879" t="s">
        <v>17</v>
      </c>
      <c r="B879" t="s">
        <v>32</v>
      </c>
      <c r="C879" t="s">
        <v>43</v>
      </c>
      <c r="D879" t="s">
        <v>58</v>
      </c>
      <c r="E879" t="s">
        <v>61</v>
      </c>
      <c r="F879" t="s">
        <v>71</v>
      </c>
      <c r="G879">
        <v>7529.98</v>
      </c>
      <c r="H879">
        <v>5</v>
      </c>
      <c r="I879">
        <v>7153.4809999999989</v>
      </c>
      <c r="J879">
        <v>3</v>
      </c>
      <c r="K879">
        <v>21460.44</v>
      </c>
      <c r="L879">
        <v>5365.11</v>
      </c>
      <c r="M879" s="2">
        <v>45468</v>
      </c>
      <c r="N879" s="2">
        <v>45475</v>
      </c>
    </row>
    <row r="880" spans="1:14" x14ac:dyDescent="0.3">
      <c r="A880" t="s">
        <v>22</v>
      </c>
      <c r="B880" t="s">
        <v>31</v>
      </c>
      <c r="C880" t="s">
        <v>36</v>
      </c>
      <c r="D880" t="s">
        <v>58</v>
      </c>
      <c r="E880" t="s">
        <v>63</v>
      </c>
      <c r="F880" t="s">
        <v>73</v>
      </c>
      <c r="G880">
        <v>3300</v>
      </c>
      <c r="H880">
        <v>5</v>
      </c>
      <c r="I880">
        <v>3135</v>
      </c>
      <c r="J880">
        <v>5</v>
      </c>
      <c r="K880">
        <v>15675</v>
      </c>
      <c r="L880">
        <v>3918.75</v>
      </c>
      <c r="M880" s="2">
        <v>45641</v>
      </c>
      <c r="N880" s="2">
        <v>45645</v>
      </c>
    </row>
    <row r="881" spans="1:14" x14ac:dyDescent="0.3">
      <c r="A881" t="s">
        <v>28</v>
      </c>
      <c r="B881" t="s">
        <v>34</v>
      </c>
      <c r="C881" t="s">
        <v>45</v>
      </c>
      <c r="D881" t="s">
        <v>59</v>
      </c>
      <c r="E881" t="s">
        <v>61</v>
      </c>
      <c r="F881" t="s">
        <v>65</v>
      </c>
      <c r="G881">
        <v>1812.85</v>
      </c>
      <c r="H881">
        <v>15</v>
      </c>
      <c r="I881">
        <v>1540.9224999999999</v>
      </c>
      <c r="J881">
        <v>3</v>
      </c>
      <c r="K881">
        <v>4622.7700000000004</v>
      </c>
      <c r="L881">
        <v>1617.97</v>
      </c>
      <c r="M881" s="2">
        <v>45552</v>
      </c>
      <c r="N881" s="2">
        <v>45561</v>
      </c>
    </row>
    <row r="882" spans="1:14" x14ac:dyDescent="0.3">
      <c r="A882" t="s">
        <v>16</v>
      </c>
      <c r="B882" t="s">
        <v>31</v>
      </c>
      <c r="C882" t="s">
        <v>42</v>
      </c>
      <c r="D882" t="s">
        <v>60</v>
      </c>
      <c r="E882" t="s">
        <v>62</v>
      </c>
      <c r="F882" t="s">
        <v>66</v>
      </c>
      <c r="G882">
        <v>2208.19</v>
      </c>
      <c r="H882">
        <v>30</v>
      </c>
      <c r="I882">
        <v>1545.7329999999999</v>
      </c>
      <c r="J882">
        <v>5</v>
      </c>
      <c r="K882">
        <v>7728.66</v>
      </c>
      <c r="L882">
        <v>1159.3</v>
      </c>
      <c r="M882" s="2">
        <v>45569</v>
      </c>
      <c r="N882" s="2">
        <v>45575</v>
      </c>
    </row>
    <row r="883" spans="1:14" x14ac:dyDescent="0.3">
      <c r="A883" t="s">
        <v>23</v>
      </c>
      <c r="B883" t="s">
        <v>35</v>
      </c>
      <c r="C883" t="s">
        <v>48</v>
      </c>
      <c r="D883" t="s">
        <v>58</v>
      </c>
      <c r="E883" t="s">
        <v>62</v>
      </c>
      <c r="F883" t="s">
        <v>67</v>
      </c>
      <c r="G883">
        <v>27141.48</v>
      </c>
      <c r="H883">
        <v>0</v>
      </c>
      <c r="I883">
        <v>27141.48</v>
      </c>
      <c r="J883">
        <v>3</v>
      </c>
      <c r="K883">
        <v>81424.44</v>
      </c>
      <c r="L883">
        <v>20356.11</v>
      </c>
      <c r="M883" s="2">
        <v>45482</v>
      </c>
      <c r="N883" s="2">
        <v>45492</v>
      </c>
    </row>
    <row r="884" spans="1:14" x14ac:dyDescent="0.3">
      <c r="A884" t="s">
        <v>20</v>
      </c>
      <c r="B884" t="s">
        <v>32</v>
      </c>
      <c r="C884" t="s">
        <v>43</v>
      </c>
      <c r="D884" t="s">
        <v>58</v>
      </c>
      <c r="E884" t="s">
        <v>61</v>
      </c>
      <c r="F884" t="s">
        <v>71</v>
      </c>
      <c r="G884">
        <v>29230.18</v>
      </c>
      <c r="H884">
        <v>10</v>
      </c>
      <c r="I884">
        <v>26307.162</v>
      </c>
      <c r="J884">
        <v>3</v>
      </c>
      <c r="K884">
        <v>78921.490000000005</v>
      </c>
      <c r="L884">
        <v>19730.37</v>
      </c>
      <c r="M884" s="2">
        <v>45716</v>
      </c>
      <c r="N884" s="2">
        <v>45719</v>
      </c>
    </row>
    <row r="885" spans="1:14" x14ac:dyDescent="0.3">
      <c r="A885" t="s">
        <v>28</v>
      </c>
      <c r="B885" t="s">
        <v>34</v>
      </c>
      <c r="C885" t="s">
        <v>49</v>
      </c>
      <c r="D885" t="s">
        <v>59</v>
      </c>
      <c r="E885" t="s">
        <v>61</v>
      </c>
      <c r="F885" t="s">
        <v>71</v>
      </c>
      <c r="G885">
        <v>1791.29</v>
      </c>
      <c r="H885">
        <v>10</v>
      </c>
      <c r="I885">
        <v>1612.1610000000001</v>
      </c>
      <c r="J885">
        <v>1</v>
      </c>
      <c r="K885">
        <v>1612.16</v>
      </c>
      <c r="L885">
        <v>564.26</v>
      </c>
      <c r="M885" s="2">
        <v>45598</v>
      </c>
      <c r="N885" s="2">
        <v>45604</v>
      </c>
    </row>
    <row r="886" spans="1:14" x14ac:dyDescent="0.3">
      <c r="A886" t="s">
        <v>18</v>
      </c>
      <c r="B886" t="s">
        <v>33</v>
      </c>
      <c r="C886" t="s">
        <v>56</v>
      </c>
      <c r="D886" t="s">
        <v>60</v>
      </c>
      <c r="E886" t="s">
        <v>62</v>
      </c>
      <c r="F886" t="s">
        <v>69</v>
      </c>
      <c r="G886">
        <v>45302.17</v>
      </c>
      <c r="H886">
        <v>10</v>
      </c>
      <c r="I886">
        <v>40771.953000000001</v>
      </c>
      <c r="J886">
        <v>1</v>
      </c>
      <c r="K886">
        <v>40771.949999999997</v>
      </c>
      <c r="L886">
        <v>6115.79</v>
      </c>
      <c r="M886" s="2">
        <v>45776</v>
      </c>
      <c r="N886" s="2">
        <v>45784</v>
      </c>
    </row>
    <row r="887" spans="1:14" x14ac:dyDescent="0.3">
      <c r="A887" t="s">
        <v>21</v>
      </c>
      <c r="B887" t="s">
        <v>34</v>
      </c>
      <c r="C887" t="s">
        <v>41</v>
      </c>
      <c r="D887" t="s">
        <v>60</v>
      </c>
      <c r="E887" t="s">
        <v>62</v>
      </c>
      <c r="F887" t="s">
        <v>67</v>
      </c>
      <c r="G887">
        <v>2579.85</v>
      </c>
      <c r="H887">
        <v>20</v>
      </c>
      <c r="I887">
        <v>2063.88</v>
      </c>
      <c r="J887">
        <v>5</v>
      </c>
      <c r="K887">
        <v>10319.4</v>
      </c>
      <c r="L887">
        <v>1547.91</v>
      </c>
      <c r="M887" s="2">
        <v>45348</v>
      </c>
      <c r="N887" s="2">
        <v>45356</v>
      </c>
    </row>
    <row r="888" spans="1:14" x14ac:dyDescent="0.3">
      <c r="A888" t="s">
        <v>28</v>
      </c>
      <c r="B888" t="s">
        <v>34</v>
      </c>
      <c r="C888" t="s">
        <v>52</v>
      </c>
      <c r="D888" t="s">
        <v>60</v>
      </c>
      <c r="E888" t="s">
        <v>62</v>
      </c>
      <c r="F888" t="s">
        <v>66</v>
      </c>
      <c r="G888">
        <v>1288.5</v>
      </c>
      <c r="H888">
        <v>10</v>
      </c>
      <c r="I888">
        <v>1159.6500000000001</v>
      </c>
      <c r="J888">
        <v>3</v>
      </c>
      <c r="K888">
        <v>3478.95</v>
      </c>
      <c r="L888">
        <v>521.84</v>
      </c>
      <c r="M888" s="2">
        <v>45457</v>
      </c>
      <c r="N888" s="2">
        <v>45467</v>
      </c>
    </row>
    <row r="889" spans="1:14" x14ac:dyDescent="0.3">
      <c r="A889" t="s">
        <v>25</v>
      </c>
      <c r="B889" t="s">
        <v>34</v>
      </c>
      <c r="C889" t="s">
        <v>49</v>
      </c>
      <c r="D889" t="s">
        <v>59</v>
      </c>
      <c r="E889" t="s">
        <v>64</v>
      </c>
      <c r="F889" t="s">
        <v>72</v>
      </c>
      <c r="G889">
        <v>1044.3900000000001</v>
      </c>
      <c r="H889">
        <v>30</v>
      </c>
      <c r="I889">
        <v>731.07299999999998</v>
      </c>
      <c r="J889">
        <v>4</v>
      </c>
      <c r="K889">
        <v>2924.29</v>
      </c>
      <c r="L889">
        <v>1023.5</v>
      </c>
      <c r="M889" s="2">
        <v>45313</v>
      </c>
      <c r="N889" s="2">
        <v>45319</v>
      </c>
    </row>
    <row r="890" spans="1:14" x14ac:dyDescent="0.3">
      <c r="A890" t="s">
        <v>22</v>
      </c>
      <c r="B890" t="s">
        <v>31</v>
      </c>
      <c r="C890" t="s">
        <v>42</v>
      </c>
      <c r="D890" t="s">
        <v>60</v>
      </c>
      <c r="E890" t="s">
        <v>61</v>
      </c>
      <c r="F890" t="s">
        <v>71</v>
      </c>
      <c r="G890">
        <v>2800.71</v>
      </c>
      <c r="H890">
        <v>20</v>
      </c>
      <c r="I890">
        <v>2240.5680000000002</v>
      </c>
      <c r="J890">
        <v>2</v>
      </c>
      <c r="K890">
        <v>4481.1400000000003</v>
      </c>
      <c r="L890">
        <v>672.17</v>
      </c>
      <c r="M890" s="2">
        <v>45401</v>
      </c>
      <c r="N890" s="2">
        <v>45409</v>
      </c>
    </row>
    <row r="891" spans="1:14" x14ac:dyDescent="0.3">
      <c r="A891" t="s">
        <v>26</v>
      </c>
      <c r="B891" t="s">
        <v>32</v>
      </c>
      <c r="C891" t="s">
        <v>43</v>
      </c>
      <c r="D891" t="s">
        <v>58</v>
      </c>
      <c r="E891" t="s">
        <v>62</v>
      </c>
      <c r="F891" t="s">
        <v>66</v>
      </c>
      <c r="G891">
        <v>34834.97</v>
      </c>
      <c r="H891">
        <v>10</v>
      </c>
      <c r="I891">
        <v>31351.473000000002</v>
      </c>
      <c r="J891">
        <v>2</v>
      </c>
      <c r="K891">
        <v>62702.95</v>
      </c>
      <c r="L891">
        <v>15675.74</v>
      </c>
      <c r="M891" s="2">
        <v>45792</v>
      </c>
      <c r="N891" s="2">
        <v>45800</v>
      </c>
    </row>
    <row r="892" spans="1:14" x14ac:dyDescent="0.3">
      <c r="A892" t="s">
        <v>22</v>
      </c>
      <c r="B892" t="s">
        <v>31</v>
      </c>
      <c r="C892" t="s">
        <v>36</v>
      </c>
      <c r="D892" t="s">
        <v>58</v>
      </c>
      <c r="E892" t="s">
        <v>61</v>
      </c>
      <c r="F892" t="s">
        <v>71</v>
      </c>
      <c r="G892">
        <v>3574.66</v>
      </c>
      <c r="H892">
        <v>10</v>
      </c>
      <c r="I892">
        <v>3217.194</v>
      </c>
      <c r="J892">
        <v>3</v>
      </c>
      <c r="K892">
        <v>9651.58</v>
      </c>
      <c r="L892">
        <v>2412.89</v>
      </c>
      <c r="M892" s="2">
        <v>45762</v>
      </c>
      <c r="N892" s="2">
        <v>45771</v>
      </c>
    </row>
    <row r="893" spans="1:14" x14ac:dyDescent="0.3">
      <c r="A893" t="s">
        <v>25</v>
      </c>
      <c r="B893" t="s">
        <v>34</v>
      </c>
      <c r="C893" t="s">
        <v>51</v>
      </c>
      <c r="D893" t="s">
        <v>59</v>
      </c>
      <c r="E893" t="s">
        <v>64</v>
      </c>
      <c r="F893" t="s">
        <v>72</v>
      </c>
      <c r="G893">
        <v>1040.1400000000001</v>
      </c>
      <c r="H893">
        <v>25</v>
      </c>
      <c r="I893">
        <v>780.10500000000002</v>
      </c>
      <c r="J893">
        <v>4</v>
      </c>
      <c r="K893">
        <v>3120.42</v>
      </c>
      <c r="L893">
        <v>1092.1500000000001</v>
      </c>
      <c r="M893" s="2">
        <v>45440</v>
      </c>
      <c r="N893" s="2">
        <v>45443</v>
      </c>
    </row>
    <row r="894" spans="1:14" x14ac:dyDescent="0.3">
      <c r="A894" t="s">
        <v>20</v>
      </c>
      <c r="B894" t="s">
        <v>32</v>
      </c>
      <c r="C894" t="s">
        <v>40</v>
      </c>
      <c r="D894" t="s">
        <v>59</v>
      </c>
      <c r="E894" t="s">
        <v>63</v>
      </c>
      <c r="F894" t="s">
        <v>75</v>
      </c>
      <c r="G894">
        <v>33620.99</v>
      </c>
      <c r="H894">
        <v>10</v>
      </c>
      <c r="I894">
        <v>30258.891</v>
      </c>
      <c r="J894">
        <v>5</v>
      </c>
      <c r="K894">
        <v>151294.45000000001</v>
      </c>
      <c r="L894">
        <v>52953.06</v>
      </c>
      <c r="M894" s="2">
        <v>45705</v>
      </c>
      <c r="N894" s="2">
        <v>45708</v>
      </c>
    </row>
    <row r="895" spans="1:14" x14ac:dyDescent="0.3">
      <c r="A895" t="s">
        <v>28</v>
      </c>
      <c r="B895" t="s">
        <v>34</v>
      </c>
      <c r="C895" t="s">
        <v>55</v>
      </c>
      <c r="D895" t="s">
        <v>58</v>
      </c>
      <c r="E895" t="s">
        <v>63</v>
      </c>
      <c r="F895" t="s">
        <v>73</v>
      </c>
      <c r="G895">
        <v>1439.05</v>
      </c>
      <c r="H895">
        <v>15</v>
      </c>
      <c r="I895">
        <v>1223.1925000000001</v>
      </c>
      <c r="J895">
        <v>1</v>
      </c>
      <c r="K895">
        <v>1223.19</v>
      </c>
      <c r="L895">
        <v>305.8</v>
      </c>
      <c r="M895" s="2">
        <v>45622</v>
      </c>
      <c r="N895" s="2">
        <v>45626</v>
      </c>
    </row>
    <row r="896" spans="1:14" x14ac:dyDescent="0.3">
      <c r="A896" t="s">
        <v>28</v>
      </c>
      <c r="B896" t="s">
        <v>34</v>
      </c>
      <c r="C896" t="s">
        <v>55</v>
      </c>
      <c r="D896" t="s">
        <v>58</v>
      </c>
      <c r="E896" t="s">
        <v>63</v>
      </c>
      <c r="F896" t="s">
        <v>73</v>
      </c>
      <c r="G896">
        <v>1479.83</v>
      </c>
      <c r="H896">
        <v>10</v>
      </c>
      <c r="I896">
        <v>1331.847</v>
      </c>
      <c r="J896">
        <v>3</v>
      </c>
      <c r="K896">
        <v>3995.54</v>
      </c>
      <c r="L896">
        <v>998.88</v>
      </c>
      <c r="M896" s="2">
        <v>45800</v>
      </c>
      <c r="N896" s="2">
        <v>45807</v>
      </c>
    </row>
    <row r="897" spans="1:14" x14ac:dyDescent="0.3">
      <c r="A897" t="s">
        <v>26</v>
      </c>
      <c r="B897" t="s">
        <v>32</v>
      </c>
      <c r="C897" t="s">
        <v>54</v>
      </c>
      <c r="D897" t="s">
        <v>60</v>
      </c>
      <c r="E897" t="s">
        <v>62</v>
      </c>
      <c r="F897" t="s">
        <v>67</v>
      </c>
      <c r="G897">
        <v>30790.03</v>
      </c>
      <c r="H897">
        <v>10</v>
      </c>
      <c r="I897">
        <v>27711.026999999998</v>
      </c>
      <c r="J897">
        <v>1</v>
      </c>
      <c r="K897">
        <v>27711.03</v>
      </c>
      <c r="L897">
        <v>4156.6499999999996</v>
      </c>
      <c r="M897" s="2">
        <v>45852</v>
      </c>
      <c r="N897" s="2">
        <v>45857</v>
      </c>
    </row>
    <row r="898" spans="1:14" x14ac:dyDescent="0.3">
      <c r="A898" t="s">
        <v>20</v>
      </c>
      <c r="B898" t="s">
        <v>32</v>
      </c>
      <c r="C898" t="s">
        <v>37</v>
      </c>
      <c r="D898" t="s">
        <v>59</v>
      </c>
      <c r="E898" t="s">
        <v>63</v>
      </c>
      <c r="F898" t="s">
        <v>73</v>
      </c>
      <c r="G898">
        <v>35167.82</v>
      </c>
      <c r="H898">
        <v>30</v>
      </c>
      <c r="I898">
        <v>24617.473999999998</v>
      </c>
      <c r="J898">
        <v>1</v>
      </c>
      <c r="K898">
        <v>24617.47</v>
      </c>
      <c r="L898">
        <v>8616.11</v>
      </c>
      <c r="M898" s="2">
        <v>45384</v>
      </c>
      <c r="N898" s="2">
        <v>45388</v>
      </c>
    </row>
    <row r="899" spans="1:14" x14ac:dyDescent="0.3">
      <c r="A899" t="s">
        <v>23</v>
      </c>
      <c r="B899" t="s">
        <v>35</v>
      </c>
      <c r="C899" t="s">
        <v>48</v>
      </c>
      <c r="D899" t="s">
        <v>58</v>
      </c>
      <c r="E899" t="s">
        <v>64</v>
      </c>
      <c r="F899" t="s">
        <v>74</v>
      </c>
      <c r="G899">
        <v>27640.67</v>
      </c>
      <c r="H899">
        <v>25</v>
      </c>
      <c r="I899">
        <v>20730.502499999999</v>
      </c>
      <c r="J899">
        <v>4</v>
      </c>
      <c r="K899">
        <v>82922.009999999995</v>
      </c>
      <c r="L899">
        <v>20730.5</v>
      </c>
      <c r="M899" s="2">
        <v>45356</v>
      </c>
      <c r="N899" s="2">
        <v>45360</v>
      </c>
    </row>
    <row r="900" spans="1:14" x14ac:dyDescent="0.3">
      <c r="A900" t="s">
        <v>19</v>
      </c>
      <c r="B900" t="s">
        <v>33</v>
      </c>
      <c r="C900" t="s">
        <v>57</v>
      </c>
      <c r="D900" t="s">
        <v>60</v>
      </c>
      <c r="E900" t="s">
        <v>63</v>
      </c>
      <c r="F900" t="s">
        <v>75</v>
      </c>
      <c r="G900">
        <v>1604.33</v>
      </c>
      <c r="H900">
        <v>5</v>
      </c>
      <c r="I900">
        <v>1524.1134999999999</v>
      </c>
      <c r="J900">
        <v>5</v>
      </c>
      <c r="K900">
        <v>7620.57</v>
      </c>
      <c r="L900">
        <v>1143.0899999999999</v>
      </c>
      <c r="M900" s="2">
        <v>45794</v>
      </c>
      <c r="N900" s="2">
        <v>45798</v>
      </c>
    </row>
    <row r="901" spans="1:14" x14ac:dyDescent="0.3">
      <c r="A901" t="s">
        <v>17</v>
      </c>
      <c r="B901" t="s">
        <v>32</v>
      </c>
      <c r="C901" t="s">
        <v>37</v>
      </c>
      <c r="D901" t="s">
        <v>59</v>
      </c>
      <c r="E901" t="s">
        <v>61</v>
      </c>
      <c r="F901" t="s">
        <v>70</v>
      </c>
      <c r="G901">
        <v>9306.68</v>
      </c>
      <c r="H901">
        <v>10</v>
      </c>
      <c r="I901">
        <v>8376.0120000000006</v>
      </c>
      <c r="J901">
        <v>1</v>
      </c>
      <c r="K901">
        <v>8376.01</v>
      </c>
      <c r="L901">
        <v>2931.6</v>
      </c>
      <c r="M901" s="2">
        <v>45483</v>
      </c>
      <c r="N901" s="2">
        <v>45491</v>
      </c>
    </row>
    <row r="902" spans="1:14" x14ac:dyDescent="0.3">
      <c r="A902" t="s">
        <v>28</v>
      </c>
      <c r="B902" t="s">
        <v>34</v>
      </c>
      <c r="C902" t="s">
        <v>41</v>
      </c>
      <c r="D902" t="s">
        <v>60</v>
      </c>
      <c r="E902" t="s">
        <v>61</v>
      </c>
      <c r="F902" t="s">
        <v>70</v>
      </c>
      <c r="G902">
        <v>1194.46</v>
      </c>
      <c r="H902">
        <v>20</v>
      </c>
      <c r="I902">
        <v>955.5680000000001</v>
      </c>
      <c r="J902">
        <v>2</v>
      </c>
      <c r="K902">
        <v>1911.14</v>
      </c>
      <c r="L902">
        <v>286.67</v>
      </c>
      <c r="M902" s="2">
        <v>45376</v>
      </c>
      <c r="N902" s="2">
        <v>45383</v>
      </c>
    </row>
    <row r="903" spans="1:14" x14ac:dyDescent="0.3">
      <c r="A903" t="s">
        <v>26</v>
      </c>
      <c r="B903" t="s">
        <v>32</v>
      </c>
      <c r="C903" t="s">
        <v>43</v>
      </c>
      <c r="D903" t="s">
        <v>58</v>
      </c>
      <c r="E903" t="s">
        <v>62</v>
      </c>
      <c r="F903" t="s">
        <v>67</v>
      </c>
      <c r="G903">
        <v>36965.35</v>
      </c>
      <c r="H903">
        <v>15</v>
      </c>
      <c r="I903">
        <v>31420.547500000001</v>
      </c>
      <c r="J903">
        <v>2</v>
      </c>
      <c r="K903">
        <v>62841.09</v>
      </c>
      <c r="L903">
        <v>15710.27</v>
      </c>
      <c r="M903" s="2">
        <v>45316</v>
      </c>
      <c r="N903" s="2">
        <v>45319</v>
      </c>
    </row>
    <row r="904" spans="1:14" x14ac:dyDescent="0.3">
      <c r="A904" t="s">
        <v>27</v>
      </c>
      <c r="B904" t="s">
        <v>35</v>
      </c>
      <c r="C904" t="s">
        <v>46</v>
      </c>
      <c r="D904" t="s">
        <v>59</v>
      </c>
      <c r="E904" t="s">
        <v>61</v>
      </c>
      <c r="F904" t="s">
        <v>65</v>
      </c>
      <c r="G904">
        <v>9102.0300000000007</v>
      </c>
      <c r="H904">
        <v>15</v>
      </c>
      <c r="I904">
        <v>7736.7254999999996</v>
      </c>
      <c r="J904">
        <v>2</v>
      </c>
      <c r="K904">
        <v>15473.45</v>
      </c>
      <c r="L904">
        <v>5415.71</v>
      </c>
      <c r="M904" s="2">
        <v>45802</v>
      </c>
      <c r="N904" s="2">
        <v>45804</v>
      </c>
    </row>
    <row r="905" spans="1:14" x14ac:dyDescent="0.3">
      <c r="A905" t="s">
        <v>17</v>
      </c>
      <c r="B905" t="s">
        <v>32</v>
      </c>
      <c r="C905" t="s">
        <v>40</v>
      </c>
      <c r="D905" t="s">
        <v>59</v>
      </c>
      <c r="E905" t="s">
        <v>62</v>
      </c>
      <c r="F905" t="s">
        <v>69</v>
      </c>
      <c r="G905">
        <v>10320.73</v>
      </c>
      <c r="H905">
        <v>30</v>
      </c>
      <c r="I905">
        <v>7224.5110000000004</v>
      </c>
      <c r="J905">
        <v>5</v>
      </c>
      <c r="K905">
        <v>36122.559999999998</v>
      </c>
      <c r="L905">
        <v>12642.9</v>
      </c>
      <c r="M905" s="2">
        <v>45445</v>
      </c>
      <c r="N905" s="2">
        <v>45451</v>
      </c>
    </row>
    <row r="906" spans="1:14" x14ac:dyDescent="0.3">
      <c r="A906" t="s">
        <v>27</v>
      </c>
      <c r="B906" t="s">
        <v>35</v>
      </c>
      <c r="C906" t="s">
        <v>46</v>
      </c>
      <c r="D906" t="s">
        <v>59</v>
      </c>
      <c r="E906" t="s">
        <v>62</v>
      </c>
      <c r="F906" t="s">
        <v>66</v>
      </c>
      <c r="G906">
        <v>9764.31</v>
      </c>
      <c r="H906">
        <v>25</v>
      </c>
      <c r="I906">
        <v>7323.2325000000001</v>
      </c>
      <c r="J906">
        <v>2</v>
      </c>
      <c r="K906">
        <v>14646.47</v>
      </c>
      <c r="L906">
        <v>5126.26</v>
      </c>
      <c r="M906" s="2">
        <v>45762</v>
      </c>
      <c r="N906" s="2">
        <v>45764</v>
      </c>
    </row>
    <row r="907" spans="1:14" x14ac:dyDescent="0.3">
      <c r="A907" t="s">
        <v>24</v>
      </c>
      <c r="B907" t="s">
        <v>32</v>
      </c>
      <c r="C907" t="s">
        <v>54</v>
      </c>
      <c r="D907" t="s">
        <v>60</v>
      </c>
      <c r="E907" t="s">
        <v>63</v>
      </c>
      <c r="F907" t="s">
        <v>68</v>
      </c>
      <c r="G907">
        <v>20571.11</v>
      </c>
      <c r="H907">
        <v>10</v>
      </c>
      <c r="I907">
        <v>18513.999</v>
      </c>
      <c r="J907">
        <v>2</v>
      </c>
      <c r="K907">
        <v>37028</v>
      </c>
      <c r="L907">
        <v>5554.2</v>
      </c>
      <c r="M907" s="2">
        <v>45338</v>
      </c>
      <c r="N907" s="2">
        <v>45348</v>
      </c>
    </row>
    <row r="908" spans="1:14" x14ac:dyDescent="0.3">
      <c r="A908" t="s">
        <v>21</v>
      </c>
      <c r="B908" t="s">
        <v>34</v>
      </c>
      <c r="C908" t="s">
        <v>41</v>
      </c>
      <c r="D908" t="s">
        <v>60</v>
      </c>
      <c r="E908" t="s">
        <v>62</v>
      </c>
      <c r="F908" t="s">
        <v>66</v>
      </c>
      <c r="G908">
        <v>2643.8</v>
      </c>
      <c r="H908">
        <v>30</v>
      </c>
      <c r="I908">
        <v>1850.66</v>
      </c>
      <c r="J908">
        <v>3</v>
      </c>
      <c r="K908">
        <v>5551.98</v>
      </c>
      <c r="L908">
        <v>832.8</v>
      </c>
      <c r="M908" s="2">
        <v>45718</v>
      </c>
      <c r="N908" s="2">
        <v>45721</v>
      </c>
    </row>
    <row r="909" spans="1:14" x14ac:dyDescent="0.3">
      <c r="A909" t="s">
        <v>23</v>
      </c>
      <c r="B909" t="s">
        <v>35</v>
      </c>
      <c r="C909" t="s">
        <v>48</v>
      </c>
      <c r="D909" t="s">
        <v>58</v>
      </c>
      <c r="E909" t="s">
        <v>64</v>
      </c>
      <c r="F909" t="s">
        <v>74</v>
      </c>
      <c r="G909">
        <v>27347.03</v>
      </c>
      <c r="H909">
        <v>20</v>
      </c>
      <c r="I909">
        <v>21877.624</v>
      </c>
      <c r="J909">
        <v>4</v>
      </c>
      <c r="K909">
        <v>87510.5</v>
      </c>
      <c r="L909">
        <v>21877.62</v>
      </c>
      <c r="M909" s="2">
        <v>45452</v>
      </c>
      <c r="N909" s="2">
        <v>45458</v>
      </c>
    </row>
    <row r="910" spans="1:14" x14ac:dyDescent="0.3">
      <c r="A910" t="s">
        <v>22</v>
      </c>
      <c r="B910" t="s">
        <v>31</v>
      </c>
      <c r="C910" t="s">
        <v>42</v>
      </c>
      <c r="D910" t="s">
        <v>60</v>
      </c>
      <c r="E910" t="s">
        <v>64</v>
      </c>
      <c r="F910" t="s">
        <v>76</v>
      </c>
      <c r="G910">
        <v>3246.47</v>
      </c>
      <c r="H910">
        <v>15</v>
      </c>
      <c r="I910">
        <v>2759.4994999999999</v>
      </c>
      <c r="J910">
        <v>4</v>
      </c>
      <c r="K910">
        <v>11038</v>
      </c>
      <c r="L910">
        <v>1655.7</v>
      </c>
      <c r="M910" s="2">
        <v>45378</v>
      </c>
      <c r="N910" s="2">
        <v>45384</v>
      </c>
    </row>
    <row r="911" spans="1:14" x14ac:dyDescent="0.3">
      <c r="A911" t="s">
        <v>17</v>
      </c>
      <c r="B911" t="s">
        <v>32</v>
      </c>
      <c r="C911" t="s">
        <v>40</v>
      </c>
      <c r="D911" t="s">
        <v>59</v>
      </c>
      <c r="E911" t="s">
        <v>64</v>
      </c>
      <c r="F911" t="s">
        <v>76</v>
      </c>
      <c r="G911">
        <v>10344.61</v>
      </c>
      <c r="H911">
        <v>10</v>
      </c>
      <c r="I911">
        <v>9310.1490000000013</v>
      </c>
      <c r="J911">
        <v>5</v>
      </c>
      <c r="K911">
        <v>46550.75</v>
      </c>
      <c r="L911">
        <v>16292.76</v>
      </c>
      <c r="M911" s="2">
        <v>45796</v>
      </c>
      <c r="N911" s="2">
        <v>45801</v>
      </c>
    </row>
    <row r="912" spans="1:14" x14ac:dyDescent="0.3">
      <c r="A912" t="s">
        <v>21</v>
      </c>
      <c r="B912" t="s">
        <v>34</v>
      </c>
      <c r="C912" t="s">
        <v>45</v>
      </c>
      <c r="D912" t="s">
        <v>59</v>
      </c>
      <c r="E912" t="s">
        <v>63</v>
      </c>
      <c r="F912" t="s">
        <v>68</v>
      </c>
      <c r="G912">
        <v>3255.13</v>
      </c>
      <c r="H912">
        <v>15</v>
      </c>
      <c r="I912">
        <v>2766.8604999999998</v>
      </c>
      <c r="J912">
        <v>2</v>
      </c>
      <c r="K912">
        <v>5533.72</v>
      </c>
      <c r="L912">
        <v>1936.8</v>
      </c>
      <c r="M912" s="2">
        <v>45300</v>
      </c>
      <c r="N912" s="2">
        <v>45306</v>
      </c>
    </row>
    <row r="913" spans="1:14" x14ac:dyDescent="0.3">
      <c r="A913" t="s">
        <v>24</v>
      </c>
      <c r="B913" t="s">
        <v>32</v>
      </c>
      <c r="C913" t="s">
        <v>40</v>
      </c>
      <c r="D913" t="s">
        <v>59</v>
      </c>
      <c r="E913" t="s">
        <v>61</v>
      </c>
      <c r="F913" t="s">
        <v>70</v>
      </c>
      <c r="G913">
        <v>30691.98</v>
      </c>
      <c r="H913">
        <v>20</v>
      </c>
      <c r="I913">
        <v>24553.583999999999</v>
      </c>
      <c r="J913">
        <v>1</v>
      </c>
      <c r="K913">
        <v>24553.58</v>
      </c>
      <c r="L913">
        <v>8593.75</v>
      </c>
      <c r="M913" s="2">
        <v>45338</v>
      </c>
      <c r="N913" s="2">
        <v>45342</v>
      </c>
    </row>
    <row r="914" spans="1:14" x14ac:dyDescent="0.3">
      <c r="A914" t="s">
        <v>28</v>
      </c>
      <c r="B914" t="s">
        <v>34</v>
      </c>
      <c r="C914" t="s">
        <v>51</v>
      </c>
      <c r="D914" t="s">
        <v>59</v>
      </c>
      <c r="E914" t="s">
        <v>63</v>
      </c>
      <c r="F914" t="s">
        <v>73</v>
      </c>
      <c r="G914">
        <v>1753.48</v>
      </c>
      <c r="H914">
        <v>0</v>
      </c>
      <c r="I914">
        <v>1753.48</v>
      </c>
      <c r="J914">
        <v>2</v>
      </c>
      <c r="K914">
        <v>3506.96</v>
      </c>
      <c r="L914">
        <v>1227.44</v>
      </c>
      <c r="M914" s="2">
        <v>45327</v>
      </c>
      <c r="N914" s="2">
        <v>45333</v>
      </c>
    </row>
    <row r="915" spans="1:14" x14ac:dyDescent="0.3">
      <c r="A915" t="s">
        <v>30</v>
      </c>
      <c r="B915" t="s">
        <v>33</v>
      </c>
      <c r="C915" t="s">
        <v>57</v>
      </c>
      <c r="D915" t="s">
        <v>60</v>
      </c>
      <c r="E915" t="s">
        <v>63</v>
      </c>
      <c r="F915" t="s">
        <v>73</v>
      </c>
      <c r="G915">
        <v>12680.53</v>
      </c>
      <c r="H915">
        <v>10</v>
      </c>
      <c r="I915">
        <v>11412.477000000001</v>
      </c>
      <c r="J915">
        <v>4</v>
      </c>
      <c r="K915">
        <v>45649.91</v>
      </c>
      <c r="L915">
        <v>6847.49</v>
      </c>
      <c r="M915" s="2">
        <v>45561</v>
      </c>
      <c r="N915" s="2">
        <v>45569</v>
      </c>
    </row>
    <row r="916" spans="1:14" x14ac:dyDescent="0.3">
      <c r="A916" t="s">
        <v>23</v>
      </c>
      <c r="B916" t="s">
        <v>35</v>
      </c>
      <c r="C916" t="s">
        <v>48</v>
      </c>
      <c r="D916" t="s">
        <v>58</v>
      </c>
      <c r="E916" t="s">
        <v>61</v>
      </c>
      <c r="F916" t="s">
        <v>65</v>
      </c>
      <c r="G916">
        <v>25625.37</v>
      </c>
      <c r="H916">
        <v>30</v>
      </c>
      <c r="I916">
        <v>17937.758999999998</v>
      </c>
      <c r="J916">
        <v>2</v>
      </c>
      <c r="K916">
        <v>35875.519999999997</v>
      </c>
      <c r="L916">
        <v>8968.8799999999992</v>
      </c>
      <c r="M916" s="2">
        <v>45557</v>
      </c>
      <c r="N916" s="2">
        <v>45559</v>
      </c>
    </row>
    <row r="917" spans="1:14" x14ac:dyDescent="0.3">
      <c r="A917" t="s">
        <v>27</v>
      </c>
      <c r="B917" t="s">
        <v>35</v>
      </c>
      <c r="C917" t="s">
        <v>38</v>
      </c>
      <c r="D917" t="s">
        <v>59</v>
      </c>
      <c r="E917" t="s">
        <v>61</v>
      </c>
      <c r="F917" t="s">
        <v>71</v>
      </c>
      <c r="G917">
        <v>9247.58</v>
      </c>
      <c r="H917">
        <v>25</v>
      </c>
      <c r="I917">
        <v>6935.6849999999986</v>
      </c>
      <c r="J917">
        <v>2</v>
      </c>
      <c r="K917">
        <v>13871.37</v>
      </c>
      <c r="L917">
        <v>4854.9799999999996</v>
      </c>
      <c r="M917" s="2">
        <v>45778</v>
      </c>
      <c r="N917" s="2">
        <v>45781</v>
      </c>
    </row>
    <row r="918" spans="1:14" x14ac:dyDescent="0.3">
      <c r="A918" t="s">
        <v>24</v>
      </c>
      <c r="B918" t="s">
        <v>32</v>
      </c>
      <c r="C918" t="s">
        <v>43</v>
      </c>
      <c r="D918" t="s">
        <v>58</v>
      </c>
      <c r="E918" t="s">
        <v>63</v>
      </c>
      <c r="F918" t="s">
        <v>68</v>
      </c>
      <c r="G918">
        <v>23371.81</v>
      </c>
      <c r="H918">
        <v>5</v>
      </c>
      <c r="I918">
        <v>22203.219499999999</v>
      </c>
      <c r="J918">
        <v>2</v>
      </c>
      <c r="K918">
        <v>44406.44</v>
      </c>
      <c r="L918">
        <v>11101.61</v>
      </c>
      <c r="M918" s="2">
        <v>45853</v>
      </c>
      <c r="N918" s="2">
        <v>45856</v>
      </c>
    </row>
    <row r="919" spans="1:14" x14ac:dyDescent="0.3">
      <c r="A919" t="s">
        <v>29</v>
      </c>
      <c r="B919" t="s">
        <v>35</v>
      </c>
      <c r="C919" t="s">
        <v>44</v>
      </c>
      <c r="D919" t="s">
        <v>60</v>
      </c>
      <c r="E919" t="s">
        <v>61</v>
      </c>
      <c r="F919" t="s">
        <v>70</v>
      </c>
      <c r="G919">
        <v>14345.16</v>
      </c>
      <c r="H919">
        <v>30</v>
      </c>
      <c r="I919">
        <v>10041.611999999999</v>
      </c>
      <c r="J919">
        <v>1</v>
      </c>
      <c r="K919">
        <v>10041.61</v>
      </c>
      <c r="L919">
        <v>1506.24</v>
      </c>
      <c r="M919" s="2">
        <v>45458</v>
      </c>
      <c r="N919" s="2">
        <v>45461</v>
      </c>
    </row>
    <row r="920" spans="1:14" x14ac:dyDescent="0.3">
      <c r="A920" t="s">
        <v>27</v>
      </c>
      <c r="B920" t="s">
        <v>35</v>
      </c>
      <c r="C920" t="s">
        <v>48</v>
      </c>
      <c r="D920" t="s">
        <v>58</v>
      </c>
      <c r="E920" t="s">
        <v>62</v>
      </c>
      <c r="F920" t="s">
        <v>66</v>
      </c>
      <c r="G920">
        <v>7970.79</v>
      </c>
      <c r="H920">
        <v>25</v>
      </c>
      <c r="I920">
        <v>5978.0924999999997</v>
      </c>
      <c r="J920">
        <v>1</v>
      </c>
      <c r="K920">
        <v>5978.09</v>
      </c>
      <c r="L920">
        <v>1494.52</v>
      </c>
      <c r="M920" s="2">
        <v>45464</v>
      </c>
      <c r="N920" s="2">
        <v>45471</v>
      </c>
    </row>
    <row r="921" spans="1:14" x14ac:dyDescent="0.3">
      <c r="A921" t="s">
        <v>30</v>
      </c>
      <c r="B921" t="s">
        <v>33</v>
      </c>
      <c r="C921" t="s">
        <v>38</v>
      </c>
      <c r="D921" t="s">
        <v>59</v>
      </c>
      <c r="E921" t="s">
        <v>64</v>
      </c>
      <c r="F921" t="s">
        <v>72</v>
      </c>
      <c r="G921">
        <v>19459.650000000001</v>
      </c>
      <c r="H921">
        <v>30</v>
      </c>
      <c r="I921">
        <v>13621.754999999999</v>
      </c>
      <c r="J921">
        <v>1</v>
      </c>
      <c r="K921">
        <v>13621.76</v>
      </c>
      <c r="L921">
        <v>4767.62</v>
      </c>
      <c r="M921" s="2">
        <v>45669</v>
      </c>
      <c r="N921" s="2">
        <v>45671</v>
      </c>
    </row>
    <row r="922" spans="1:14" x14ac:dyDescent="0.3">
      <c r="A922" t="s">
        <v>19</v>
      </c>
      <c r="B922" t="s">
        <v>33</v>
      </c>
      <c r="C922" t="s">
        <v>50</v>
      </c>
      <c r="D922" t="s">
        <v>59</v>
      </c>
      <c r="E922" t="s">
        <v>63</v>
      </c>
      <c r="F922" t="s">
        <v>68</v>
      </c>
      <c r="G922">
        <v>2343.69</v>
      </c>
      <c r="H922">
        <v>30</v>
      </c>
      <c r="I922">
        <v>1640.5830000000001</v>
      </c>
      <c r="J922">
        <v>5</v>
      </c>
      <c r="K922">
        <v>8202.91</v>
      </c>
      <c r="L922">
        <v>2871.02</v>
      </c>
      <c r="M922" s="2">
        <v>45552</v>
      </c>
      <c r="N922" s="2">
        <v>45555</v>
      </c>
    </row>
    <row r="923" spans="1:14" x14ac:dyDescent="0.3">
      <c r="A923" t="s">
        <v>21</v>
      </c>
      <c r="B923" t="s">
        <v>34</v>
      </c>
      <c r="C923" t="s">
        <v>45</v>
      </c>
      <c r="D923" t="s">
        <v>59</v>
      </c>
      <c r="E923" t="s">
        <v>63</v>
      </c>
      <c r="F923" t="s">
        <v>68</v>
      </c>
      <c r="G923">
        <v>3330.77</v>
      </c>
      <c r="H923">
        <v>15</v>
      </c>
      <c r="I923">
        <v>2831.1545000000001</v>
      </c>
      <c r="J923">
        <v>2</v>
      </c>
      <c r="K923">
        <v>5662.31</v>
      </c>
      <c r="L923">
        <v>1981.81</v>
      </c>
      <c r="M923" s="2">
        <v>45830</v>
      </c>
      <c r="N923" s="2">
        <v>45836</v>
      </c>
    </row>
    <row r="924" spans="1:14" x14ac:dyDescent="0.3">
      <c r="A924" t="s">
        <v>27</v>
      </c>
      <c r="B924" t="s">
        <v>35</v>
      </c>
      <c r="C924" t="s">
        <v>48</v>
      </c>
      <c r="D924" t="s">
        <v>58</v>
      </c>
      <c r="E924" t="s">
        <v>63</v>
      </c>
      <c r="F924" t="s">
        <v>73</v>
      </c>
      <c r="G924">
        <v>7509.12</v>
      </c>
      <c r="H924">
        <v>0</v>
      </c>
      <c r="I924">
        <v>7509.12</v>
      </c>
      <c r="J924">
        <v>4</v>
      </c>
      <c r="K924">
        <v>30036.48</v>
      </c>
      <c r="L924">
        <v>7509.12</v>
      </c>
      <c r="M924" s="2">
        <v>45294</v>
      </c>
      <c r="N924" s="2">
        <v>45302</v>
      </c>
    </row>
    <row r="925" spans="1:14" x14ac:dyDescent="0.3">
      <c r="A925" t="s">
        <v>29</v>
      </c>
      <c r="B925" t="s">
        <v>35</v>
      </c>
      <c r="C925" t="s">
        <v>46</v>
      </c>
      <c r="D925" t="s">
        <v>59</v>
      </c>
      <c r="E925" t="s">
        <v>63</v>
      </c>
      <c r="F925" t="s">
        <v>68</v>
      </c>
      <c r="G925">
        <v>21330.99</v>
      </c>
      <c r="H925">
        <v>5</v>
      </c>
      <c r="I925">
        <v>20264.440500000001</v>
      </c>
      <c r="J925">
        <v>3</v>
      </c>
      <c r="K925">
        <v>60793.32</v>
      </c>
      <c r="L925">
        <v>21277.66</v>
      </c>
      <c r="M925" s="2">
        <v>45500</v>
      </c>
      <c r="N925" s="2">
        <v>45505</v>
      </c>
    </row>
    <row r="926" spans="1:14" x14ac:dyDescent="0.3">
      <c r="A926" t="s">
        <v>25</v>
      </c>
      <c r="B926" t="s">
        <v>34</v>
      </c>
      <c r="C926" t="s">
        <v>49</v>
      </c>
      <c r="D926" t="s">
        <v>59</v>
      </c>
      <c r="E926" t="s">
        <v>63</v>
      </c>
      <c r="F926" t="s">
        <v>68</v>
      </c>
      <c r="G926">
        <v>923.53</v>
      </c>
      <c r="H926">
        <v>30</v>
      </c>
      <c r="I926">
        <v>646.47099999999989</v>
      </c>
      <c r="J926">
        <v>3</v>
      </c>
      <c r="K926">
        <v>1939.41</v>
      </c>
      <c r="L926">
        <v>678.79</v>
      </c>
      <c r="M926" s="2">
        <v>45656</v>
      </c>
      <c r="N926" s="2">
        <v>45664</v>
      </c>
    </row>
    <row r="927" spans="1:14" x14ac:dyDescent="0.3">
      <c r="A927" t="s">
        <v>26</v>
      </c>
      <c r="B927" t="s">
        <v>32</v>
      </c>
      <c r="C927" t="s">
        <v>40</v>
      </c>
      <c r="D927" t="s">
        <v>59</v>
      </c>
      <c r="E927" t="s">
        <v>61</v>
      </c>
      <c r="F927" t="s">
        <v>71</v>
      </c>
      <c r="G927">
        <v>39515.58</v>
      </c>
      <c r="H927">
        <v>0</v>
      </c>
      <c r="I927">
        <v>39515.58</v>
      </c>
      <c r="J927">
        <v>5</v>
      </c>
      <c r="K927">
        <v>197577.9</v>
      </c>
      <c r="L927">
        <v>69152.259999999995</v>
      </c>
      <c r="M927" s="2">
        <v>45518</v>
      </c>
      <c r="N927" s="2">
        <v>45522</v>
      </c>
    </row>
    <row r="928" spans="1:14" x14ac:dyDescent="0.3">
      <c r="A928" t="s">
        <v>23</v>
      </c>
      <c r="B928" t="s">
        <v>35</v>
      </c>
      <c r="C928" t="s">
        <v>44</v>
      </c>
      <c r="D928" t="s">
        <v>60</v>
      </c>
      <c r="E928" t="s">
        <v>61</v>
      </c>
      <c r="F928" t="s">
        <v>71</v>
      </c>
      <c r="G928">
        <v>19843.96</v>
      </c>
      <c r="H928">
        <v>25</v>
      </c>
      <c r="I928">
        <v>14882.97</v>
      </c>
      <c r="J928">
        <v>1</v>
      </c>
      <c r="K928">
        <v>14882.97</v>
      </c>
      <c r="L928">
        <v>2232.4499999999998</v>
      </c>
      <c r="M928" s="2">
        <v>45793</v>
      </c>
      <c r="N928" s="2">
        <v>45803</v>
      </c>
    </row>
    <row r="929" spans="1:14" x14ac:dyDescent="0.3">
      <c r="A929" t="s">
        <v>26</v>
      </c>
      <c r="B929" t="s">
        <v>32</v>
      </c>
      <c r="C929" t="s">
        <v>37</v>
      </c>
      <c r="D929" t="s">
        <v>59</v>
      </c>
      <c r="E929" t="s">
        <v>64</v>
      </c>
      <c r="F929" t="s">
        <v>74</v>
      </c>
      <c r="G929">
        <v>43093.3</v>
      </c>
      <c r="H929">
        <v>0</v>
      </c>
      <c r="I929">
        <v>43093.3</v>
      </c>
      <c r="J929">
        <v>1</v>
      </c>
      <c r="K929">
        <v>43093.3</v>
      </c>
      <c r="L929">
        <v>15082.66</v>
      </c>
      <c r="M929" s="2">
        <v>45712</v>
      </c>
      <c r="N929" s="2">
        <v>45716</v>
      </c>
    </row>
    <row r="930" spans="1:14" x14ac:dyDescent="0.3">
      <c r="A930" t="s">
        <v>19</v>
      </c>
      <c r="B930" t="s">
        <v>33</v>
      </c>
      <c r="C930" t="s">
        <v>53</v>
      </c>
      <c r="D930" t="s">
        <v>58</v>
      </c>
      <c r="E930" t="s">
        <v>63</v>
      </c>
      <c r="F930" t="s">
        <v>68</v>
      </c>
      <c r="G930">
        <v>1924.95</v>
      </c>
      <c r="H930">
        <v>20</v>
      </c>
      <c r="I930">
        <v>1539.96</v>
      </c>
      <c r="J930">
        <v>3</v>
      </c>
      <c r="K930">
        <v>4619.88</v>
      </c>
      <c r="L930">
        <v>1154.97</v>
      </c>
      <c r="M930" s="2">
        <v>45473</v>
      </c>
      <c r="N930" s="2">
        <v>45476</v>
      </c>
    </row>
    <row r="931" spans="1:14" x14ac:dyDescent="0.3">
      <c r="A931" t="s">
        <v>18</v>
      </c>
      <c r="B931" t="s">
        <v>33</v>
      </c>
      <c r="C931" t="s">
        <v>57</v>
      </c>
      <c r="D931" t="s">
        <v>60</v>
      </c>
      <c r="E931" t="s">
        <v>64</v>
      </c>
      <c r="F931" t="s">
        <v>72</v>
      </c>
      <c r="G931">
        <v>48175.37</v>
      </c>
      <c r="H931">
        <v>25</v>
      </c>
      <c r="I931">
        <v>36131.527499999997</v>
      </c>
      <c r="J931">
        <v>4</v>
      </c>
      <c r="K931">
        <v>144526.10999999999</v>
      </c>
      <c r="L931">
        <v>21678.92</v>
      </c>
      <c r="M931" s="2">
        <v>45349</v>
      </c>
      <c r="N931" s="2">
        <v>45358</v>
      </c>
    </row>
    <row r="932" spans="1:14" x14ac:dyDescent="0.3">
      <c r="A932" t="s">
        <v>19</v>
      </c>
      <c r="B932" t="s">
        <v>33</v>
      </c>
      <c r="C932" t="s">
        <v>57</v>
      </c>
      <c r="D932" t="s">
        <v>60</v>
      </c>
      <c r="E932" t="s">
        <v>64</v>
      </c>
      <c r="F932" t="s">
        <v>74</v>
      </c>
      <c r="G932">
        <v>1882.33</v>
      </c>
      <c r="H932">
        <v>20</v>
      </c>
      <c r="I932">
        <v>1505.864</v>
      </c>
      <c r="J932">
        <v>4</v>
      </c>
      <c r="K932">
        <v>6023.46</v>
      </c>
      <c r="L932">
        <v>903.52</v>
      </c>
      <c r="M932" s="2">
        <v>45401</v>
      </c>
      <c r="N932" s="2">
        <v>45411</v>
      </c>
    </row>
    <row r="933" spans="1:14" x14ac:dyDescent="0.3">
      <c r="A933" t="s">
        <v>25</v>
      </c>
      <c r="B933" t="s">
        <v>34</v>
      </c>
      <c r="C933" t="s">
        <v>45</v>
      </c>
      <c r="D933" t="s">
        <v>59</v>
      </c>
      <c r="E933" t="s">
        <v>64</v>
      </c>
      <c r="F933" t="s">
        <v>72</v>
      </c>
      <c r="G933">
        <v>1068.5</v>
      </c>
      <c r="H933">
        <v>15</v>
      </c>
      <c r="I933">
        <v>908.22500000000002</v>
      </c>
      <c r="J933">
        <v>4</v>
      </c>
      <c r="K933">
        <v>3632.9</v>
      </c>
      <c r="L933">
        <v>1271.51</v>
      </c>
      <c r="M933" s="2">
        <v>45580</v>
      </c>
      <c r="N933" s="2">
        <v>45585</v>
      </c>
    </row>
    <row r="934" spans="1:14" x14ac:dyDescent="0.3">
      <c r="A934" t="s">
        <v>25</v>
      </c>
      <c r="B934" t="s">
        <v>34</v>
      </c>
      <c r="C934" t="s">
        <v>41</v>
      </c>
      <c r="D934" t="s">
        <v>60</v>
      </c>
      <c r="E934" t="s">
        <v>61</v>
      </c>
      <c r="F934" t="s">
        <v>65</v>
      </c>
      <c r="G934">
        <v>637.22</v>
      </c>
      <c r="H934">
        <v>15</v>
      </c>
      <c r="I934">
        <v>541.63700000000006</v>
      </c>
      <c r="J934">
        <v>3</v>
      </c>
      <c r="K934">
        <v>1624.91</v>
      </c>
      <c r="L934">
        <v>243.74</v>
      </c>
      <c r="M934" s="2">
        <v>45311</v>
      </c>
      <c r="N934" s="2">
        <v>45320</v>
      </c>
    </row>
    <row r="935" spans="1:14" x14ac:dyDescent="0.3">
      <c r="A935" t="s">
        <v>30</v>
      </c>
      <c r="B935" t="s">
        <v>33</v>
      </c>
      <c r="C935" t="s">
        <v>39</v>
      </c>
      <c r="D935" t="s">
        <v>58</v>
      </c>
      <c r="E935" t="s">
        <v>62</v>
      </c>
      <c r="F935" t="s">
        <v>67</v>
      </c>
      <c r="G935">
        <v>14965.88</v>
      </c>
      <c r="H935">
        <v>5</v>
      </c>
      <c r="I935">
        <v>14217.585999999999</v>
      </c>
      <c r="J935">
        <v>3</v>
      </c>
      <c r="K935">
        <v>42652.76</v>
      </c>
      <c r="L935">
        <v>10663.19</v>
      </c>
      <c r="M935" s="2">
        <v>45782</v>
      </c>
      <c r="N935" s="2">
        <v>45790</v>
      </c>
    </row>
    <row r="936" spans="1:14" x14ac:dyDescent="0.3">
      <c r="A936" t="s">
        <v>28</v>
      </c>
      <c r="B936" t="s">
        <v>34</v>
      </c>
      <c r="C936" t="s">
        <v>49</v>
      </c>
      <c r="D936" t="s">
        <v>59</v>
      </c>
      <c r="E936" t="s">
        <v>61</v>
      </c>
      <c r="F936" t="s">
        <v>65</v>
      </c>
      <c r="G936">
        <v>1702.83</v>
      </c>
      <c r="H936">
        <v>30</v>
      </c>
      <c r="I936">
        <v>1191.981</v>
      </c>
      <c r="J936">
        <v>1</v>
      </c>
      <c r="K936">
        <v>1191.98</v>
      </c>
      <c r="L936">
        <v>417.19</v>
      </c>
      <c r="M936" s="2">
        <v>45749</v>
      </c>
      <c r="N936" s="2">
        <v>45759</v>
      </c>
    </row>
    <row r="937" spans="1:14" x14ac:dyDescent="0.3">
      <c r="A937" t="s">
        <v>19</v>
      </c>
      <c r="B937" t="s">
        <v>33</v>
      </c>
      <c r="C937" t="s">
        <v>50</v>
      </c>
      <c r="D937" t="s">
        <v>59</v>
      </c>
      <c r="E937" t="s">
        <v>61</v>
      </c>
      <c r="F937" t="s">
        <v>70</v>
      </c>
      <c r="G937">
        <v>2433.98</v>
      </c>
      <c r="H937">
        <v>25</v>
      </c>
      <c r="I937">
        <v>1825.4849999999999</v>
      </c>
      <c r="J937">
        <v>5</v>
      </c>
      <c r="K937">
        <v>9127.43</v>
      </c>
      <c r="L937">
        <v>3194.6</v>
      </c>
      <c r="M937" s="2">
        <v>45838</v>
      </c>
      <c r="N937" s="2">
        <v>45843</v>
      </c>
    </row>
    <row r="938" spans="1:14" x14ac:dyDescent="0.3">
      <c r="A938" t="s">
        <v>26</v>
      </c>
      <c r="B938" t="s">
        <v>32</v>
      </c>
      <c r="C938" t="s">
        <v>37</v>
      </c>
      <c r="D938" t="s">
        <v>59</v>
      </c>
      <c r="E938" t="s">
        <v>61</v>
      </c>
      <c r="F938" t="s">
        <v>65</v>
      </c>
      <c r="G938">
        <v>41316.57</v>
      </c>
      <c r="H938">
        <v>0</v>
      </c>
      <c r="I938">
        <v>41316.57</v>
      </c>
      <c r="J938">
        <v>2</v>
      </c>
      <c r="K938">
        <v>82633.14</v>
      </c>
      <c r="L938">
        <v>28921.599999999999</v>
      </c>
      <c r="M938" s="2">
        <v>45457</v>
      </c>
      <c r="N938" s="2">
        <v>45465</v>
      </c>
    </row>
    <row r="939" spans="1:14" x14ac:dyDescent="0.3">
      <c r="A939" t="s">
        <v>17</v>
      </c>
      <c r="B939" t="s">
        <v>32</v>
      </c>
      <c r="C939" t="s">
        <v>54</v>
      </c>
      <c r="D939" t="s">
        <v>60</v>
      </c>
      <c r="E939" t="s">
        <v>64</v>
      </c>
      <c r="F939" t="s">
        <v>74</v>
      </c>
      <c r="G939">
        <v>7650.26</v>
      </c>
      <c r="H939">
        <v>5</v>
      </c>
      <c r="I939">
        <v>7267.7470000000003</v>
      </c>
      <c r="J939">
        <v>1</v>
      </c>
      <c r="K939">
        <v>7267.75</v>
      </c>
      <c r="L939">
        <v>1090.1600000000001</v>
      </c>
      <c r="M939" s="2">
        <v>45785</v>
      </c>
      <c r="N939" s="2">
        <v>45792</v>
      </c>
    </row>
    <row r="940" spans="1:14" x14ac:dyDescent="0.3">
      <c r="A940" t="s">
        <v>30</v>
      </c>
      <c r="B940" t="s">
        <v>33</v>
      </c>
      <c r="C940" t="s">
        <v>53</v>
      </c>
      <c r="D940" t="s">
        <v>58</v>
      </c>
      <c r="E940" t="s">
        <v>62</v>
      </c>
      <c r="F940" t="s">
        <v>66</v>
      </c>
      <c r="G940">
        <v>15338.12</v>
      </c>
      <c r="H940">
        <v>15</v>
      </c>
      <c r="I940">
        <v>13037.402</v>
      </c>
      <c r="J940">
        <v>2</v>
      </c>
      <c r="K940">
        <v>26074.799999999999</v>
      </c>
      <c r="L940">
        <v>6518.7</v>
      </c>
      <c r="M940" s="2">
        <v>45712</v>
      </c>
      <c r="N940" s="2">
        <v>45721</v>
      </c>
    </row>
    <row r="941" spans="1:14" x14ac:dyDescent="0.3">
      <c r="A941" t="s">
        <v>29</v>
      </c>
      <c r="B941" t="s">
        <v>35</v>
      </c>
      <c r="C941" t="s">
        <v>38</v>
      </c>
      <c r="D941" t="s">
        <v>59</v>
      </c>
      <c r="E941" t="s">
        <v>61</v>
      </c>
      <c r="F941" t="s">
        <v>65</v>
      </c>
      <c r="G941">
        <v>20376.330000000002</v>
      </c>
      <c r="H941">
        <v>30</v>
      </c>
      <c r="I941">
        <v>14263.431</v>
      </c>
      <c r="J941">
        <v>2</v>
      </c>
      <c r="K941">
        <v>28526.86</v>
      </c>
      <c r="L941">
        <v>9984.4</v>
      </c>
      <c r="M941" s="2">
        <v>45774</v>
      </c>
      <c r="N941" s="2">
        <v>45776</v>
      </c>
    </row>
    <row r="942" spans="1:14" x14ac:dyDescent="0.3">
      <c r="A942" t="s">
        <v>22</v>
      </c>
      <c r="B942" t="s">
        <v>31</v>
      </c>
      <c r="C942" t="s">
        <v>47</v>
      </c>
      <c r="D942" t="s">
        <v>59</v>
      </c>
      <c r="E942" t="s">
        <v>61</v>
      </c>
      <c r="F942" t="s">
        <v>70</v>
      </c>
      <c r="G942">
        <v>4243.3999999999996</v>
      </c>
      <c r="H942">
        <v>15</v>
      </c>
      <c r="I942">
        <v>3606.889999999999</v>
      </c>
      <c r="J942">
        <v>2</v>
      </c>
      <c r="K942">
        <v>7213.78</v>
      </c>
      <c r="L942">
        <v>2524.8200000000002</v>
      </c>
      <c r="M942" s="2">
        <v>45513</v>
      </c>
      <c r="N942" s="2">
        <v>45522</v>
      </c>
    </row>
    <row r="943" spans="1:14" x14ac:dyDescent="0.3">
      <c r="A943" t="s">
        <v>25</v>
      </c>
      <c r="B943" t="s">
        <v>34</v>
      </c>
      <c r="C943" t="s">
        <v>49</v>
      </c>
      <c r="D943" t="s">
        <v>59</v>
      </c>
      <c r="E943" t="s">
        <v>64</v>
      </c>
      <c r="F943" t="s">
        <v>72</v>
      </c>
      <c r="G943">
        <v>1069.27</v>
      </c>
      <c r="H943">
        <v>25</v>
      </c>
      <c r="I943">
        <v>801.95249999999999</v>
      </c>
      <c r="J943">
        <v>3</v>
      </c>
      <c r="K943">
        <v>2405.86</v>
      </c>
      <c r="L943">
        <v>842.05</v>
      </c>
      <c r="M943" s="2">
        <v>45408</v>
      </c>
      <c r="N943" s="2">
        <v>45416</v>
      </c>
    </row>
    <row r="944" spans="1:14" x14ac:dyDescent="0.3">
      <c r="A944" t="s">
        <v>23</v>
      </c>
      <c r="B944" t="s">
        <v>35</v>
      </c>
      <c r="C944" t="s">
        <v>44</v>
      </c>
      <c r="D944" t="s">
        <v>60</v>
      </c>
      <c r="E944" t="s">
        <v>63</v>
      </c>
      <c r="F944" t="s">
        <v>75</v>
      </c>
      <c r="G944">
        <v>20779.919999999998</v>
      </c>
      <c r="H944">
        <v>0</v>
      </c>
      <c r="I944">
        <v>20779.919999999998</v>
      </c>
      <c r="J944">
        <v>1</v>
      </c>
      <c r="K944">
        <v>20779.919999999998</v>
      </c>
      <c r="L944">
        <v>3116.99</v>
      </c>
      <c r="M944" s="2">
        <v>45358</v>
      </c>
      <c r="N944" s="2">
        <v>45365</v>
      </c>
    </row>
    <row r="945" spans="1:14" x14ac:dyDescent="0.3">
      <c r="A945" t="s">
        <v>21</v>
      </c>
      <c r="B945" t="s">
        <v>34</v>
      </c>
      <c r="C945" t="s">
        <v>41</v>
      </c>
      <c r="D945" t="s">
        <v>60</v>
      </c>
      <c r="E945" t="s">
        <v>62</v>
      </c>
      <c r="F945" t="s">
        <v>66</v>
      </c>
      <c r="G945">
        <v>2673.98</v>
      </c>
      <c r="H945">
        <v>15</v>
      </c>
      <c r="I945">
        <v>2272.8829999999998</v>
      </c>
      <c r="J945">
        <v>4</v>
      </c>
      <c r="K945">
        <v>9091.5300000000007</v>
      </c>
      <c r="L945">
        <v>1363.73</v>
      </c>
      <c r="M945" s="2">
        <v>45715</v>
      </c>
      <c r="N945" s="2">
        <v>45719</v>
      </c>
    </row>
    <row r="946" spans="1:14" x14ac:dyDescent="0.3">
      <c r="A946" t="s">
        <v>30</v>
      </c>
      <c r="B946" t="s">
        <v>33</v>
      </c>
      <c r="C946" t="s">
        <v>38</v>
      </c>
      <c r="D946" t="s">
        <v>59</v>
      </c>
      <c r="E946" t="s">
        <v>62</v>
      </c>
      <c r="F946" t="s">
        <v>69</v>
      </c>
      <c r="G946">
        <v>19513.79</v>
      </c>
      <c r="H946">
        <v>30</v>
      </c>
      <c r="I946">
        <v>13659.653</v>
      </c>
      <c r="J946">
        <v>4</v>
      </c>
      <c r="K946">
        <v>54638.61</v>
      </c>
      <c r="L946">
        <v>19123.509999999998</v>
      </c>
      <c r="M946" s="2">
        <v>45292</v>
      </c>
      <c r="N946" s="2">
        <v>45301</v>
      </c>
    </row>
    <row r="947" spans="1:14" x14ac:dyDescent="0.3">
      <c r="A947" t="s">
        <v>21</v>
      </c>
      <c r="B947" t="s">
        <v>34</v>
      </c>
      <c r="C947" t="s">
        <v>41</v>
      </c>
      <c r="D947" t="s">
        <v>60</v>
      </c>
      <c r="E947" t="s">
        <v>61</v>
      </c>
      <c r="F947" t="s">
        <v>71</v>
      </c>
      <c r="G947">
        <v>2452.31</v>
      </c>
      <c r="H947">
        <v>20</v>
      </c>
      <c r="I947">
        <v>1961.848</v>
      </c>
      <c r="J947">
        <v>4</v>
      </c>
      <c r="K947">
        <v>7847.39</v>
      </c>
      <c r="L947">
        <v>1177.1099999999999</v>
      </c>
      <c r="M947" s="2">
        <v>45546</v>
      </c>
      <c r="N947" s="2">
        <v>45555</v>
      </c>
    </row>
    <row r="948" spans="1:14" x14ac:dyDescent="0.3">
      <c r="A948" t="s">
        <v>19</v>
      </c>
      <c r="B948" t="s">
        <v>33</v>
      </c>
      <c r="C948" t="s">
        <v>57</v>
      </c>
      <c r="D948" t="s">
        <v>60</v>
      </c>
      <c r="E948" t="s">
        <v>61</v>
      </c>
      <c r="F948" t="s">
        <v>65</v>
      </c>
      <c r="G948">
        <v>1624.11</v>
      </c>
      <c r="H948">
        <v>20</v>
      </c>
      <c r="I948">
        <v>1299.288</v>
      </c>
      <c r="J948">
        <v>1</v>
      </c>
      <c r="K948">
        <v>1299.29</v>
      </c>
      <c r="L948">
        <v>194.89</v>
      </c>
      <c r="M948" s="2">
        <v>45709</v>
      </c>
      <c r="N948" s="2">
        <v>45712</v>
      </c>
    </row>
    <row r="949" spans="1:14" x14ac:dyDescent="0.3">
      <c r="A949" t="s">
        <v>20</v>
      </c>
      <c r="B949" t="s">
        <v>32</v>
      </c>
      <c r="C949" t="s">
        <v>43</v>
      </c>
      <c r="D949" t="s">
        <v>58</v>
      </c>
      <c r="E949" t="s">
        <v>62</v>
      </c>
      <c r="F949" t="s">
        <v>66</v>
      </c>
      <c r="G949">
        <v>30347.27</v>
      </c>
      <c r="H949">
        <v>30</v>
      </c>
      <c r="I949">
        <v>21243.089</v>
      </c>
      <c r="J949">
        <v>5</v>
      </c>
      <c r="K949">
        <v>106215.45</v>
      </c>
      <c r="L949">
        <v>26553.86</v>
      </c>
      <c r="M949" s="2">
        <v>45401</v>
      </c>
      <c r="N949" s="2">
        <v>45408</v>
      </c>
    </row>
    <row r="950" spans="1:14" x14ac:dyDescent="0.3">
      <c r="A950" t="s">
        <v>16</v>
      </c>
      <c r="B950" t="s">
        <v>31</v>
      </c>
      <c r="C950" t="s">
        <v>42</v>
      </c>
      <c r="D950" t="s">
        <v>60</v>
      </c>
      <c r="E950" t="s">
        <v>61</v>
      </c>
      <c r="F950" t="s">
        <v>71</v>
      </c>
      <c r="G950">
        <v>2079.56</v>
      </c>
      <c r="H950">
        <v>20</v>
      </c>
      <c r="I950">
        <v>1663.6479999999999</v>
      </c>
      <c r="J950">
        <v>1</v>
      </c>
      <c r="K950">
        <v>1663.65</v>
      </c>
      <c r="L950">
        <v>249.55</v>
      </c>
      <c r="M950" s="2">
        <v>45691</v>
      </c>
      <c r="N950" s="2">
        <v>45694</v>
      </c>
    </row>
    <row r="951" spans="1:14" x14ac:dyDescent="0.3">
      <c r="A951" t="s">
        <v>23</v>
      </c>
      <c r="B951" t="s">
        <v>35</v>
      </c>
      <c r="C951" t="s">
        <v>44</v>
      </c>
      <c r="D951" t="s">
        <v>60</v>
      </c>
      <c r="E951" t="s">
        <v>64</v>
      </c>
      <c r="F951" t="s">
        <v>76</v>
      </c>
      <c r="G951">
        <v>22816.13</v>
      </c>
      <c r="H951">
        <v>20</v>
      </c>
      <c r="I951">
        <v>18252.903999999999</v>
      </c>
      <c r="J951">
        <v>2</v>
      </c>
      <c r="K951">
        <v>36505.81</v>
      </c>
      <c r="L951">
        <v>5475.87</v>
      </c>
      <c r="M951" s="2">
        <v>45457</v>
      </c>
      <c r="N951" s="2">
        <v>45463</v>
      </c>
    </row>
    <row r="952" spans="1:14" x14ac:dyDescent="0.3">
      <c r="A952" t="s">
        <v>20</v>
      </c>
      <c r="B952" t="s">
        <v>32</v>
      </c>
      <c r="C952" t="s">
        <v>43</v>
      </c>
      <c r="D952" t="s">
        <v>58</v>
      </c>
      <c r="E952" t="s">
        <v>64</v>
      </c>
      <c r="F952" t="s">
        <v>76</v>
      </c>
      <c r="G952">
        <v>32151.87</v>
      </c>
      <c r="H952">
        <v>15</v>
      </c>
      <c r="I952">
        <v>27329.089499999998</v>
      </c>
      <c r="J952">
        <v>4</v>
      </c>
      <c r="K952">
        <v>109316.36</v>
      </c>
      <c r="L952">
        <v>27329.09</v>
      </c>
      <c r="M952" s="2">
        <v>45469</v>
      </c>
      <c r="N952" s="2">
        <v>45476</v>
      </c>
    </row>
    <row r="953" spans="1:14" x14ac:dyDescent="0.3">
      <c r="A953" t="s">
        <v>22</v>
      </c>
      <c r="B953" t="s">
        <v>31</v>
      </c>
      <c r="C953" t="s">
        <v>47</v>
      </c>
      <c r="D953" t="s">
        <v>59</v>
      </c>
      <c r="E953" t="s">
        <v>63</v>
      </c>
      <c r="F953" t="s">
        <v>68</v>
      </c>
      <c r="G953">
        <v>3825.9</v>
      </c>
      <c r="H953">
        <v>25</v>
      </c>
      <c r="I953">
        <v>2869.4250000000002</v>
      </c>
      <c r="J953">
        <v>5</v>
      </c>
      <c r="K953">
        <v>14347.12</v>
      </c>
      <c r="L953">
        <v>5021.49</v>
      </c>
      <c r="M953" s="2">
        <v>45528</v>
      </c>
      <c r="N953" s="2">
        <v>45537</v>
      </c>
    </row>
    <row r="954" spans="1:14" x14ac:dyDescent="0.3">
      <c r="A954" t="s">
        <v>22</v>
      </c>
      <c r="B954" t="s">
        <v>31</v>
      </c>
      <c r="C954" t="s">
        <v>36</v>
      </c>
      <c r="D954" t="s">
        <v>58</v>
      </c>
      <c r="E954" t="s">
        <v>64</v>
      </c>
      <c r="F954" t="s">
        <v>74</v>
      </c>
      <c r="G954">
        <v>3879.13</v>
      </c>
      <c r="H954">
        <v>20</v>
      </c>
      <c r="I954">
        <v>3103.3040000000001</v>
      </c>
      <c r="J954">
        <v>3</v>
      </c>
      <c r="K954">
        <v>9309.91</v>
      </c>
      <c r="L954">
        <v>2327.48</v>
      </c>
      <c r="M954" s="2">
        <v>45321</v>
      </c>
      <c r="N954" s="2">
        <v>45328</v>
      </c>
    </row>
    <row r="955" spans="1:14" x14ac:dyDescent="0.3">
      <c r="A955" t="s">
        <v>22</v>
      </c>
      <c r="B955" t="s">
        <v>31</v>
      </c>
      <c r="C955" t="s">
        <v>47</v>
      </c>
      <c r="D955" t="s">
        <v>59</v>
      </c>
      <c r="E955" t="s">
        <v>62</v>
      </c>
      <c r="F955" t="s">
        <v>66</v>
      </c>
      <c r="G955">
        <v>4575.7700000000004</v>
      </c>
      <c r="H955">
        <v>15</v>
      </c>
      <c r="I955">
        <v>3889.4045000000001</v>
      </c>
      <c r="J955">
        <v>3</v>
      </c>
      <c r="K955">
        <v>11668.21</v>
      </c>
      <c r="L955">
        <v>4083.87</v>
      </c>
      <c r="M955" s="2">
        <v>45815</v>
      </c>
      <c r="N955" s="2">
        <v>45818</v>
      </c>
    </row>
    <row r="956" spans="1:14" x14ac:dyDescent="0.3">
      <c r="A956" t="s">
        <v>21</v>
      </c>
      <c r="B956" t="s">
        <v>34</v>
      </c>
      <c r="C956" t="s">
        <v>55</v>
      </c>
      <c r="D956" t="s">
        <v>58</v>
      </c>
      <c r="E956" t="s">
        <v>62</v>
      </c>
      <c r="F956" t="s">
        <v>66</v>
      </c>
      <c r="G956">
        <v>3145.62</v>
      </c>
      <c r="H956">
        <v>0</v>
      </c>
      <c r="I956">
        <v>3145.62</v>
      </c>
      <c r="J956">
        <v>4</v>
      </c>
      <c r="K956">
        <v>12582.48</v>
      </c>
      <c r="L956">
        <v>3145.62</v>
      </c>
      <c r="M956" s="2">
        <v>45337</v>
      </c>
      <c r="N956" s="2">
        <v>45343</v>
      </c>
    </row>
    <row r="957" spans="1:14" x14ac:dyDescent="0.3">
      <c r="A957" t="s">
        <v>16</v>
      </c>
      <c r="B957" t="s">
        <v>31</v>
      </c>
      <c r="C957" t="s">
        <v>47</v>
      </c>
      <c r="D957" t="s">
        <v>59</v>
      </c>
      <c r="E957" t="s">
        <v>61</v>
      </c>
      <c r="F957" t="s">
        <v>70</v>
      </c>
      <c r="G957">
        <v>3002.41</v>
      </c>
      <c r="H957">
        <v>30</v>
      </c>
      <c r="I957">
        <v>2101.6869999999999</v>
      </c>
      <c r="J957">
        <v>4</v>
      </c>
      <c r="K957">
        <v>8406.75</v>
      </c>
      <c r="L957">
        <v>2942.36</v>
      </c>
      <c r="M957" s="2">
        <v>45720</v>
      </c>
      <c r="N957" s="2">
        <v>45722</v>
      </c>
    </row>
    <row r="958" spans="1:14" x14ac:dyDescent="0.3">
      <c r="A958" t="s">
        <v>28</v>
      </c>
      <c r="B958" t="s">
        <v>34</v>
      </c>
      <c r="C958" t="s">
        <v>51</v>
      </c>
      <c r="D958" t="s">
        <v>59</v>
      </c>
      <c r="E958" t="s">
        <v>63</v>
      </c>
      <c r="F958" t="s">
        <v>73</v>
      </c>
      <c r="G958">
        <v>1775.91</v>
      </c>
      <c r="H958">
        <v>25</v>
      </c>
      <c r="I958">
        <v>1331.9324999999999</v>
      </c>
      <c r="J958">
        <v>5</v>
      </c>
      <c r="K958">
        <v>6659.66</v>
      </c>
      <c r="L958">
        <v>2330.88</v>
      </c>
      <c r="M958" s="2">
        <v>45803</v>
      </c>
      <c r="N958" s="2">
        <v>45813</v>
      </c>
    </row>
    <row r="959" spans="1:14" x14ac:dyDescent="0.3">
      <c r="A959" t="s">
        <v>16</v>
      </c>
      <c r="B959" t="s">
        <v>31</v>
      </c>
      <c r="C959" t="s">
        <v>42</v>
      </c>
      <c r="D959" t="s">
        <v>60</v>
      </c>
      <c r="E959" t="s">
        <v>64</v>
      </c>
      <c r="F959" t="s">
        <v>72</v>
      </c>
      <c r="G959">
        <v>2236.91</v>
      </c>
      <c r="H959">
        <v>0</v>
      </c>
      <c r="I959">
        <v>2236.91</v>
      </c>
      <c r="J959">
        <v>5</v>
      </c>
      <c r="K959">
        <v>11184.55</v>
      </c>
      <c r="L959">
        <v>1677.68</v>
      </c>
      <c r="M959" s="2">
        <v>45609</v>
      </c>
      <c r="N959" s="2">
        <v>45618</v>
      </c>
    </row>
    <row r="960" spans="1:14" x14ac:dyDescent="0.3">
      <c r="A960" t="s">
        <v>21</v>
      </c>
      <c r="B960" t="s">
        <v>34</v>
      </c>
      <c r="C960" t="s">
        <v>55</v>
      </c>
      <c r="D960" t="s">
        <v>58</v>
      </c>
      <c r="E960" t="s">
        <v>62</v>
      </c>
      <c r="F960" t="s">
        <v>69</v>
      </c>
      <c r="G960">
        <v>3216.54</v>
      </c>
      <c r="H960">
        <v>30</v>
      </c>
      <c r="I960">
        <v>2251.578</v>
      </c>
      <c r="J960">
        <v>2</v>
      </c>
      <c r="K960">
        <v>4503.16</v>
      </c>
      <c r="L960">
        <v>1125.79</v>
      </c>
      <c r="M960" s="2">
        <v>45615</v>
      </c>
      <c r="N960" s="2">
        <v>45619</v>
      </c>
    </row>
    <row r="961" spans="1:14" x14ac:dyDescent="0.3">
      <c r="A961" t="s">
        <v>26</v>
      </c>
      <c r="B961" t="s">
        <v>32</v>
      </c>
      <c r="C961" t="s">
        <v>37</v>
      </c>
      <c r="D961" t="s">
        <v>59</v>
      </c>
      <c r="E961" t="s">
        <v>63</v>
      </c>
      <c r="F961" t="s">
        <v>68</v>
      </c>
      <c r="G961">
        <v>39255.57</v>
      </c>
      <c r="H961">
        <v>0</v>
      </c>
      <c r="I961">
        <v>39255.57</v>
      </c>
      <c r="J961">
        <v>5</v>
      </c>
      <c r="K961">
        <v>196277.85</v>
      </c>
      <c r="L961">
        <v>68697.25</v>
      </c>
      <c r="M961" s="2">
        <v>45854</v>
      </c>
      <c r="N961" s="2">
        <v>45860</v>
      </c>
    </row>
    <row r="962" spans="1:14" x14ac:dyDescent="0.3">
      <c r="A962" t="s">
        <v>21</v>
      </c>
      <c r="B962" t="s">
        <v>34</v>
      </c>
      <c r="C962" t="s">
        <v>41</v>
      </c>
      <c r="D962" t="s">
        <v>60</v>
      </c>
      <c r="E962" t="s">
        <v>64</v>
      </c>
      <c r="F962" t="s">
        <v>74</v>
      </c>
      <c r="G962">
        <v>2786.48</v>
      </c>
      <c r="H962">
        <v>30</v>
      </c>
      <c r="I962">
        <v>1950.5360000000001</v>
      </c>
      <c r="J962">
        <v>4</v>
      </c>
      <c r="K962">
        <v>7802.14</v>
      </c>
      <c r="L962">
        <v>1170.32</v>
      </c>
      <c r="M962" s="2">
        <v>45323</v>
      </c>
      <c r="N962" s="2">
        <v>45331</v>
      </c>
    </row>
    <row r="963" spans="1:14" x14ac:dyDescent="0.3">
      <c r="A963" t="s">
        <v>30</v>
      </c>
      <c r="B963" t="s">
        <v>33</v>
      </c>
      <c r="C963" t="s">
        <v>57</v>
      </c>
      <c r="D963" t="s">
        <v>60</v>
      </c>
      <c r="E963" t="s">
        <v>61</v>
      </c>
      <c r="F963" t="s">
        <v>71</v>
      </c>
      <c r="G963">
        <v>12476.61</v>
      </c>
      <c r="H963">
        <v>0</v>
      </c>
      <c r="I963">
        <v>12476.61</v>
      </c>
      <c r="J963">
        <v>4</v>
      </c>
      <c r="K963">
        <v>49906.44</v>
      </c>
      <c r="L963">
        <v>7485.97</v>
      </c>
      <c r="M963" s="2">
        <v>45754</v>
      </c>
      <c r="N963" s="2">
        <v>45763</v>
      </c>
    </row>
    <row r="964" spans="1:14" x14ac:dyDescent="0.3">
      <c r="A964" t="s">
        <v>17</v>
      </c>
      <c r="B964" t="s">
        <v>32</v>
      </c>
      <c r="C964" t="s">
        <v>54</v>
      </c>
      <c r="D964" t="s">
        <v>60</v>
      </c>
      <c r="E964" t="s">
        <v>64</v>
      </c>
      <c r="F964" t="s">
        <v>76</v>
      </c>
      <c r="G964">
        <v>7006.5</v>
      </c>
      <c r="H964">
        <v>20</v>
      </c>
      <c r="I964">
        <v>5605.2000000000007</v>
      </c>
      <c r="J964">
        <v>5</v>
      </c>
      <c r="K964">
        <v>28026</v>
      </c>
      <c r="L964">
        <v>4203.8999999999996</v>
      </c>
      <c r="M964" s="2">
        <v>45649</v>
      </c>
      <c r="N964" s="2">
        <v>45655</v>
      </c>
    </row>
    <row r="965" spans="1:14" x14ac:dyDescent="0.3">
      <c r="A965" t="s">
        <v>27</v>
      </c>
      <c r="B965" t="s">
        <v>35</v>
      </c>
      <c r="C965" t="s">
        <v>46</v>
      </c>
      <c r="D965" t="s">
        <v>59</v>
      </c>
      <c r="E965" t="s">
        <v>62</v>
      </c>
      <c r="F965" t="s">
        <v>67</v>
      </c>
      <c r="G965">
        <v>9544.39</v>
      </c>
      <c r="H965">
        <v>15</v>
      </c>
      <c r="I965">
        <v>8112.731499999999</v>
      </c>
      <c r="J965">
        <v>2</v>
      </c>
      <c r="K965">
        <v>16225.46</v>
      </c>
      <c r="L965">
        <v>5678.91</v>
      </c>
      <c r="M965" s="2">
        <v>45364</v>
      </c>
      <c r="N965" s="2">
        <v>45366</v>
      </c>
    </row>
    <row r="966" spans="1:14" x14ac:dyDescent="0.3">
      <c r="A966" t="s">
        <v>28</v>
      </c>
      <c r="B966" t="s">
        <v>34</v>
      </c>
      <c r="C966" t="s">
        <v>49</v>
      </c>
      <c r="D966" t="s">
        <v>59</v>
      </c>
      <c r="E966" t="s">
        <v>63</v>
      </c>
      <c r="F966" t="s">
        <v>73</v>
      </c>
      <c r="G966">
        <v>1734.94</v>
      </c>
      <c r="H966">
        <v>0</v>
      </c>
      <c r="I966">
        <v>1734.94</v>
      </c>
      <c r="J966">
        <v>5</v>
      </c>
      <c r="K966">
        <v>8674.7000000000007</v>
      </c>
      <c r="L966">
        <v>3036.14</v>
      </c>
      <c r="M966" s="2">
        <v>45608</v>
      </c>
      <c r="N966" s="2">
        <v>45613</v>
      </c>
    </row>
    <row r="967" spans="1:14" x14ac:dyDescent="0.3">
      <c r="A967" t="s">
        <v>17</v>
      </c>
      <c r="B967" t="s">
        <v>32</v>
      </c>
      <c r="C967" t="s">
        <v>37</v>
      </c>
      <c r="D967" t="s">
        <v>59</v>
      </c>
      <c r="E967" t="s">
        <v>63</v>
      </c>
      <c r="F967" t="s">
        <v>73</v>
      </c>
      <c r="G967">
        <v>9483.48</v>
      </c>
      <c r="H967">
        <v>10</v>
      </c>
      <c r="I967">
        <v>8535.1319999999996</v>
      </c>
      <c r="J967">
        <v>4</v>
      </c>
      <c r="K967">
        <v>34140.53</v>
      </c>
      <c r="L967">
        <v>11949.19</v>
      </c>
      <c r="M967" s="2">
        <v>45369</v>
      </c>
      <c r="N967" s="2">
        <v>45371</v>
      </c>
    </row>
    <row r="968" spans="1:14" x14ac:dyDescent="0.3">
      <c r="A968" t="s">
        <v>17</v>
      </c>
      <c r="B968" t="s">
        <v>32</v>
      </c>
      <c r="C968" t="s">
        <v>40</v>
      </c>
      <c r="D968" t="s">
        <v>59</v>
      </c>
      <c r="E968" t="s">
        <v>62</v>
      </c>
      <c r="F968" t="s">
        <v>67</v>
      </c>
      <c r="G968">
        <v>9591.3799999999992</v>
      </c>
      <c r="H968">
        <v>5</v>
      </c>
      <c r="I968">
        <v>9111.8109999999997</v>
      </c>
      <c r="J968">
        <v>3</v>
      </c>
      <c r="K968">
        <v>27335.43</v>
      </c>
      <c r="L968">
        <v>9567.4</v>
      </c>
      <c r="M968" s="2">
        <v>45743</v>
      </c>
      <c r="N968" s="2">
        <v>45753</v>
      </c>
    </row>
    <row r="969" spans="1:14" x14ac:dyDescent="0.3">
      <c r="A969" t="s">
        <v>28</v>
      </c>
      <c r="B969" t="s">
        <v>34</v>
      </c>
      <c r="C969" t="s">
        <v>51</v>
      </c>
      <c r="D969" t="s">
        <v>59</v>
      </c>
      <c r="E969" t="s">
        <v>62</v>
      </c>
      <c r="F969" t="s">
        <v>69</v>
      </c>
      <c r="G969">
        <v>1890.93</v>
      </c>
      <c r="H969">
        <v>20</v>
      </c>
      <c r="I969">
        <v>1512.7439999999999</v>
      </c>
      <c r="J969">
        <v>4</v>
      </c>
      <c r="K969">
        <v>6050.98</v>
      </c>
      <c r="L969">
        <v>2117.84</v>
      </c>
      <c r="M969" s="2">
        <v>45611</v>
      </c>
      <c r="N969" s="2">
        <v>45615</v>
      </c>
    </row>
    <row r="970" spans="1:14" x14ac:dyDescent="0.3">
      <c r="A970" t="s">
        <v>17</v>
      </c>
      <c r="B970" t="s">
        <v>32</v>
      </c>
      <c r="C970" t="s">
        <v>43</v>
      </c>
      <c r="D970" t="s">
        <v>58</v>
      </c>
      <c r="E970" t="s">
        <v>62</v>
      </c>
      <c r="F970" t="s">
        <v>66</v>
      </c>
      <c r="G970">
        <v>8465.9</v>
      </c>
      <c r="H970">
        <v>0</v>
      </c>
      <c r="I970">
        <v>8465.9</v>
      </c>
      <c r="J970">
        <v>4</v>
      </c>
      <c r="K970">
        <v>33863.599999999999</v>
      </c>
      <c r="L970">
        <v>8465.9</v>
      </c>
      <c r="M970" s="2">
        <v>45780</v>
      </c>
      <c r="N970" s="2">
        <v>45782</v>
      </c>
    </row>
    <row r="971" spans="1:14" x14ac:dyDescent="0.3">
      <c r="A971" t="s">
        <v>27</v>
      </c>
      <c r="B971" t="s">
        <v>35</v>
      </c>
      <c r="C971" t="s">
        <v>48</v>
      </c>
      <c r="D971" t="s">
        <v>58</v>
      </c>
      <c r="E971" t="s">
        <v>62</v>
      </c>
      <c r="F971" t="s">
        <v>69</v>
      </c>
      <c r="G971">
        <v>8474.89</v>
      </c>
      <c r="H971">
        <v>30</v>
      </c>
      <c r="I971">
        <v>5932.4229999999989</v>
      </c>
      <c r="J971">
        <v>4</v>
      </c>
      <c r="K971">
        <v>23729.69</v>
      </c>
      <c r="L971">
        <v>5932.42</v>
      </c>
      <c r="M971" s="2">
        <v>45730</v>
      </c>
      <c r="N971" s="2">
        <v>45732</v>
      </c>
    </row>
    <row r="972" spans="1:14" x14ac:dyDescent="0.3">
      <c r="A972" t="s">
        <v>19</v>
      </c>
      <c r="B972" t="s">
        <v>33</v>
      </c>
      <c r="C972" t="s">
        <v>50</v>
      </c>
      <c r="D972" t="s">
        <v>59</v>
      </c>
      <c r="E972" t="s">
        <v>61</v>
      </c>
      <c r="F972" t="s">
        <v>71</v>
      </c>
      <c r="G972">
        <v>2448.94</v>
      </c>
      <c r="H972">
        <v>10</v>
      </c>
      <c r="I972">
        <v>2204.0459999999998</v>
      </c>
      <c r="J972">
        <v>4</v>
      </c>
      <c r="K972">
        <v>8816.18</v>
      </c>
      <c r="L972">
        <v>3085.66</v>
      </c>
      <c r="M972" s="2">
        <v>45346</v>
      </c>
      <c r="N972" s="2">
        <v>45355</v>
      </c>
    </row>
    <row r="973" spans="1:14" x14ac:dyDescent="0.3">
      <c r="A973" t="s">
        <v>30</v>
      </c>
      <c r="B973" t="s">
        <v>33</v>
      </c>
      <c r="C973" t="s">
        <v>56</v>
      </c>
      <c r="D973" t="s">
        <v>60</v>
      </c>
      <c r="E973" t="s">
        <v>61</v>
      </c>
      <c r="F973" t="s">
        <v>71</v>
      </c>
      <c r="G973">
        <v>11935.44</v>
      </c>
      <c r="H973">
        <v>15</v>
      </c>
      <c r="I973">
        <v>10145.124</v>
      </c>
      <c r="J973">
        <v>5</v>
      </c>
      <c r="K973">
        <v>50725.62</v>
      </c>
      <c r="L973">
        <v>7608.84</v>
      </c>
      <c r="M973" s="2">
        <v>45647</v>
      </c>
      <c r="N973" s="2">
        <v>45654</v>
      </c>
    </row>
    <row r="974" spans="1:14" x14ac:dyDescent="0.3">
      <c r="A974" t="s">
        <v>19</v>
      </c>
      <c r="B974" t="s">
        <v>33</v>
      </c>
      <c r="C974" t="s">
        <v>38</v>
      </c>
      <c r="D974" t="s">
        <v>59</v>
      </c>
      <c r="E974" t="s">
        <v>62</v>
      </c>
      <c r="F974" t="s">
        <v>67</v>
      </c>
      <c r="G974">
        <v>2414.9699999999998</v>
      </c>
      <c r="H974">
        <v>30</v>
      </c>
      <c r="I974">
        <v>1690.479</v>
      </c>
      <c r="J974">
        <v>1</v>
      </c>
      <c r="K974">
        <v>1690.48</v>
      </c>
      <c r="L974">
        <v>591.66999999999996</v>
      </c>
      <c r="M974" s="2">
        <v>45364</v>
      </c>
      <c r="N974" s="2">
        <v>45372</v>
      </c>
    </row>
    <row r="975" spans="1:14" x14ac:dyDescent="0.3">
      <c r="A975" t="s">
        <v>19</v>
      </c>
      <c r="B975" t="s">
        <v>33</v>
      </c>
      <c r="C975" t="s">
        <v>50</v>
      </c>
      <c r="D975" t="s">
        <v>59</v>
      </c>
      <c r="E975" t="s">
        <v>62</v>
      </c>
      <c r="F975" t="s">
        <v>66</v>
      </c>
      <c r="G975">
        <v>2608.39</v>
      </c>
      <c r="H975">
        <v>5</v>
      </c>
      <c r="I975">
        <v>2477.9704999999999</v>
      </c>
      <c r="J975">
        <v>4</v>
      </c>
      <c r="K975">
        <v>9911.8799999999992</v>
      </c>
      <c r="L975">
        <v>3469.16</v>
      </c>
      <c r="M975" s="2">
        <v>45823</v>
      </c>
      <c r="N975" s="2">
        <v>45829</v>
      </c>
    </row>
    <row r="976" spans="1:14" x14ac:dyDescent="0.3">
      <c r="A976" t="s">
        <v>30</v>
      </c>
      <c r="B976" t="s">
        <v>33</v>
      </c>
      <c r="C976" t="s">
        <v>50</v>
      </c>
      <c r="D976" t="s">
        <v>59</v>
      </c>
      <c r="E976" t="s">
        <v>62</v>
      </c>
      <c r="F976" t="s">
        <v>67</v>
      </c>
      <c r="G976">
        <v>18953.080000000002</v>
      </c>
      <c r="H976">
        <v>15</v>
      </c>
      <c r="I976">
        <v>16110.118</v>
      </c>
      <c r="J976">
        <v>4</v>
      </c>
      <c r="K976">
        <v>64440.47</v>
      </c>
      <c r="L976">
        <v>22554.16</v>
      </c>
      <c r="M976" s="2">
        <v>45506</v>
      </c>
      <c r="N976" s="2">
        <v>45512</v>
      </c>
    </row>
    <row r="977" spans="1:14" x14ac:dyDescent="0.3">
      <c r="A977" t="s">
        <v>30</v>
      </c>
      <c r="B977" t="s">
        <v>33</v>
      </c>
      <c r="C977" t="s">
        <v>38</v>
      </c>
      <c r="D977" t="s">
        <v>59</v>
      </c>
      <c r="E977" t="s">
        <v>62</v>
      </c>
      <c r="F977" t="s">
        <v>67</v>
      </c>
      <c r="G977">
        <v>19294.27</v>
      </c>
      <c r="H977">
        <v>10</v>
      </c>
      <c r="I977">
        <v>17364.843000000001</v>
      </c>
      <c r="J977">
        <v>1</v>
      </c>
      <c r="K977">
        <v>17364.84</v>
      </c>
      <c r="L977">
        <v>6077.69</v>
      </c>
      <c r="M977" s="2">
        <v>45423</v>
      </c>
      <c r="N977" s="2">
        <v>45427</v>
      </c>
    </row>
    <row r="978" spans="1:14" x14ac:dyDescent="0.3">
      <c r="A978" t="s">
        <v>30</v>
      </c>
      <c r="B978" t="s">
        <v>33</v>
      </c>
      <c r="C978" t="s">
        <v>56</v>
      </c>
      <c r="D978" t="s">
        <v>60</v>
      </c>
      <c r="E978" t="s">
        <v>63</v>
      </c>
      <c r="F978" t="s">
        <v>73</v>
      </c>
      <c r="G978">
        <v>12691.8</v>
      </c>
      <c r="H978">
        <v>0</v>
      </c>
      <c r="I978">
        <v>12691.8</v>
      </c>
      <c r="J978">
        <v>2</v>
      </c>
      <c r="K978">
        <v>25383.599999999999</v>
      </c>
      <c r="L978">
        <v>3807.54</v>
      </c>
      <c r="M978" s="2">
        <v>45569</v>
      </c>
      <c r="N978" s="2">
        <v>45573</v>
      </c>
    </row>
    <row r="979" spans="1:14" x14ac:dyDescent="0.3">
      <c r="A979" t="s">
        <v>19</v>
      </c>
      <c r="B979" t="s">
        <v>33</v>
      </c>
      <c r="C979" t="s">
        <v>57</v>
      </c>
      <c r="D979" t="s">
        <v>60</v>
      </c>
      <c r="E979" t="s">
        <v>62</v>
      </c>
      <c r="F979" t="s">
        <v>69</v>
      </c>
      <c r="G979">
        <v>1783.55</v>
      </c>
      <c r="H979">
        <v>10</v>
      </c>
      <c r="I979">
        <v>1605.1949999999999</v>
      </c>
      <c r="J979">
        <v>1</v>
      </c>
      <c r="K979">
        <v>1605.19</v>
      </c>
      <c r="L979">
        <v>240.78</v>
      </c>
      <c r="M979" s="2">
        <v>45507</v>
      </c>
      <c r="N979" s="2">
        <v>45515</v>
      </c>
    </row>
    <row r="980" spans="1:14" x14ac:dyDescent="0.3">
      <c r="A980" t="s">
        <v>20</v>
      </c>
      <c r="B980" t="s">
        <v>32</v>
      </c>
      <c r="C980" t="s">
        <v>37</v>
      </c>
      <c r="D980" t="s">
        <v>59</v>
      </c>
      <c r="E980" t="s">
        <v>64</v>
      </c>
      <c r="F980" t="s">
        <v>76</v>
      </c>
      <c r="G980">
        <v>39851.47</v>
      </c>
      <c r="H980">
        <v>25</v>
      </c>
      <c r="I980">
        <v>29888.602500000001</v>
      </c>
      <c r="J980">
        <v>5</v>
      </c>
      <c r="K980">
        <v>149443.01</v>
      </c>
      <c r="L980">
        <v>52305.05</v>
      </c>
      <c r="M980" s="2">
        <v>45565</v>
      </c>
      <c r="N980" s="2">
        <v>45575</v>
      </c>
    </row>
    <row r="981" spans="1:14" x14ac:dyDescent="0.3">
      <c r="A981" t="s">
        <v>23</v>
      </c>
      <c r="B981" t="s">
        <v>35</v>
      </c>
      <c r="C981" t="s">
        <v>46</v>
      </c>
      <c r="D981" t="s">
        <v>59</v>
      </c>
      <c r="E981" t="s">
        <v>62</v>
      </c>
      <c r="F981" t="s">
        <v>66</v>
      </c>
      <c r="G981">
        <v>30259.22</v>
      </c>
      <c r="H981">
        <v>20</v>
      </c>
      <c r="I981">
        <v>24207.376</v>
      </c>
      <c r="J981">
        <v>5</v>
      </c>
      <c r="K981">
        <v>121036.88</v>
      </c>
      <c r="L981">
        <v>42362.91</v>
      </c>
      <c r="M981" s="2">
        <v>45431</v>
      </c>
      <c r="N981" s="2">
        <v>45434</v>
      </c>
    </row>
    <row r="982" spans="1:14" x14ac:dyDescent="0.3">
      <c r="A982" t="s">
        <v>21</v>
      </c>
      <c r="B982" t="s">
        <v>34</v>
      </c>
      <c r="C982" t="s">
        <v>49</v>
      </c>
      <c r="D982" t="s">
        <v>59</v>
      </c>
      <c r="E982" t="s">
        <v>61</v>
      </c>
      <c r="F982" t="s">
        <v>71</v>
      </c>
      <c r="G982">
        <v>3410.61</v>
      </c>
      <c r="H982">
        <v>5</v>
      </c>
      <c r="I982">
        <v>3240.0794999999998</v>
      </c>
      <c r="J982">
        <v>1</v>
      </c>
      <c r="K982">
        <v>3240.08</v>
      </c>
      <c r="L982">
        <v>1134.03</v>
      </c>
      <c r="M982" s="2">
        <v>45474</v>
      </c>
      <c r="N982" s="2">
        <v>45478</v>
      </c>
    </row>
    <row r="983" spans="1:14" x14ac:dyDescent="0.3">
      <c r="A983" t="s">
        <v>26</v>
      </c>
      <c r="B983" t="s">
        <v>32</v>
      </c>
      <c r="C983" t="s">
        <v>40</v>
      </c>
      <c r="D983" t="s">
        <v>59</v>
      </c>
      <c r="E983" t="s">
        <v>62</v>
      </c>
      <c r="F983" t="s">
        <v>66</v>
      </c>
      <c r="G983">
        <v>41822.32</v>
      </c>
      <c r="H983">
        <v>0</v>
      </c>
      <c r="I983">
        <v>41822.32</v>
      </c>
      <c r="J983">
        <v>4</v>
      </c>
      <c r="K983">
        <v>167289.28</v>
      </c>
      <c r="L983">
        <v>58551.25</v>
      </c>
      <c r="M983" s="2">
        <v>45541</v>
      </c>
      <c r="N983" s="2">
        <v>45546</v>
      </c>
    </row>
    <row r="984" spans="1:14" x14ac:dyDescent="0.3">
      <c r="A984" t="s">
        <v>21</v>
      </c>
      <c r="B984" t="s">
        <v>34</v>
      </c>
      <c r="C984" t="s">
        <v>55</v>
      </c>
      <c r="D984" t="s">
        <v>58</v>
      </c>
      <c r="E984" t="s">
        <v>61</v>
      </c>
      <c r="F984" t="s">
        <v>70</v>
      </c>
      <c r="G984">
        <v>2920.01</v>
      </c>
      <c r="H984">
        <v>10</v>
      </c>
      <c r="I984">
        <v>2628.009</v>
      </c>
      <c r="J984">
        <v>4</v>
      </c>
      <c r="K984">
        <v>10512.04</v>
      </c>
      <c r="L984">
        <v>2628.01</v>
      </c>
      <c r="M984" s="2">
        <v>45708</v>
      </c>
      <c r="N984" s="2">
        <v>45715</v>
      </c>
    </row>
    <row r="985" spans="1:14" x14ac:dyDescent="0.3">
      <c r="A985" t="s">
        <v>17</v>
      </c>
      <c r="B985" t="s">
        <v>32</v>
      </c>
      <c r="C985" t="s">
        <v>54</v>
      </c>
      <c r="D985" t="s">
        <v>60</v>
      </c>
      <c r="E985" t="s">
        <v>64</v>
      </c>
      <c r="F985" t="s">
        <v>76</v>
      </c>
      <c r="G985">
        <v>7536.1</v>
      </c>
      <c r="H985">
        <v>5</v>
      </c>
      <c r="I985">
        <v>7159.2950000000001</v>
      </c>
      <c r="J985">
        <v>2</v>
      </c>
      <c r="K985">
        <v>14318.59</v>
      </c>
      <c r="L985">
        <v>2147.79</v>
      </c>
      <c r="M985" s="2">
        <v>45711</v>
      </c>
      <c r="N985" s="2">
        <v>45718</v>
      </c>
    </row>
    <row r="986" spans="1:14" x14ac:dyDescent="0.3">
      <c r="A986" t="s">
        <v>27</v>
      </c>
      <c r="B986" t="s">
        <v>35</v>
      </c>
      <c r="C986" t="s">
        <v>44</v>
      </c>
      <c r="D986" t="s">
        <v>60</v>
      </c>
      <c r="E986" t="s">
        <v>63</v>
      </c>
      <c r="F986" t="s">
        <v>68</v>
      </c>
      <c r="G986">
        <v>6374.54</v>
      </c>
      <c r="H986">
        <v>5</v>
      </c>
      <c r="I986">
        <v>6055.8130000000001</v>
      </c>
      <c r="J986">
        <v>1</v>
      </c>
      <c r="K986">
        <v>6055.81</v>
      </c>
      <c r="L986">
        <v>908.37</v>
      </c>
      <c r="M986" s="2">
        <v>45696</v>
      </c>
      <c r="N986" s="2">
        <v>45702</v>
      </c>
    </row>
    <row r="987" spans="1:14" x14ac:dyDescent="0.3">
      <c r="A987" t="s">
        <v>21</v>
      </c>
      <c r="B987" t="s">
        <v>34</v>
      </c>
      <c r="C987" t="s">
        <v>51</v>
      </c>
      <c r="D987" t="s">
        <v>59</v>
      </c>
      <c r="E987" t="s">
        <v>63</v>
      </c>
      <c r="F987" t="s">
        <v>75</v>
      </c>
      <c r="G987">
        <v>3349.35</v>
      </c>
      <c r="H987">
        <v>0</v>
      </c>
      <c r="I987">
        <v>3349.35</v>
      </c>
      <c r="J987">
        <v>4</v>
      </c>
      <c r="K987">
        <v>13397.4</v>
      </c>
      <c r="L987">
        <v>4689.09</v>
      </c>
      <c r="M987" s="2">
        <v>45768</v>
      </c>
      <c r="N987" s="2">
        <v>45771</v>
      </c>
    </row>
    <row r="988" spans="1:14" x14ac:dyDescent="0.3">
      <c r="A988" t="s">
        <v>22</v>
      </c>
      <c r="B988" t="s">
        <v>31</v>
      </c>
      <c r="C988" t="s">
        <v>36</v>
      </c>
      <c r="D988" t="s">
        <v>58</v>
      </c>
      <c r="E988" t="s">
        <v>61</v>
      </c>
      <c r="F988" t="s">
        <v>70</v>
      </c>
      <c r="G988">
        <v>3557.57</v>
      </c>
      <c r="H988">
        <v>30</v>
      </c>
      <c r="I988">
        <v>2490.299</v>
      </c>
      <c r="J988">
        <v>2</v>
      </c>
      <c r="K988">
        <v>4980.6000000000004</v>
      </c>
      <c r="L988">
        <v>1245.1500000000001</v>
      </c>
      <c r="M988" s="2">
        <v>45334</v>
      </c>
      <c r="N988" s="2">
        <v>45336</v>
      </c>
    </row>
    <row r="989" spans="1:14" x14ac:dyDescent="0.3">
      <c r="A989" t="s">
        <v>17</v>
      </c>
      <c r="B989" t="s">
        <v>32</v>
      </c>
      <c r="C989" t="s">
        <v>43</v>
      </c>
      <c r="D989" t="s">
        <v>58</v>
      </c>
      <c r="E989" t="s">
        <v>64</v>
      </c>
      <c r="F989" t="s">
        <v>76</v>
      </c>
      <c r="G989">
        <v>8770.8700000000008</v>
      </c>
      <c r="H989">
        <v>5</v>
      </c>
      <c r="I989">
        <v>8332.326500000001</v>
      </c>
      <c r="J989">
        <v>2</v>
      </c>
      <c r="K989">
        <v>16664.650000000001</v>
      </c>
      <c r="L989">
        <v>4166.16</v>
      </c>
      <c r="M989" s="2">
        <v>45373</v>
      </c>
      <c r="N989" s="2">
        <v>45382</v>
      </c>
    </row>
    <row r="990" spans="1:14" x14ac:dyDescent="0.3">
      <c r="A990" t="s">
        <v>16</v>
      </c>
      <c r="B990" t="s">
        <v>31</v>
      </c>
      <c r="C990" t="s">
        <v>42</v>
      </c>
      <c r="D990" t="s">
        <v>60</v>
      </c>
      <c r="E990" t="s">
        <v>63</v>
      </c>
      <c r="F990" t="s">
        <v>73</v>
      </c>
      <c r="G990">
        <v>2015.46</v>
      </c>
      <c r="H990">
        <v>0</v>
      </c>
      <c r="I990">
        <v>2015.46</v>
      </c>
      <c r="J990">
        <v>3</v>
      </c>
      <c r="K990">
        <v>6046.38</v>
      </c>
      <c r="L990">
        <v>906.96</v>
      </c>
      <c r="M990" s="2">
        <v>45491</v>
      </c>
      <c r="N990" s="2">
        <v>45493</v>
      </c>
    </row>
    <row r="991" spans="1:14" x14ac:dyDescent="0.3">
      <c r="A991" t="s">
        <v>26</v>
      </c>
      <c r="B991" t="s">
        <v>32</v>
      </c>
      <c r="C991" t="s">
        <v>54</v>
      </c>
      <c r="D991" t="s">
        <v>60</v>
      </c>
      <c r="E991" t="s">
        <v>62</v>
      </c>
      <c r="F991" t="s">
        <v>69</v>
      </c>
      <c r="G991">
        <v>30351.08</v>
      </c>
      <c r="H991">
        <v>20</v>
      </c>
      <c r="I991">
        <v>24280.864000000001</v>
      </c>
      <c r="J991">
        <v>4</v>
      </c>
      <c r="K991">
        <v>97123.46</v>
      </c>
      <c r="L991">
        <v>14568.52</v>
      </c>
      <c r="M991" s="2">
        <v>45443</v>
      </c>
      <c r="N991" s="2">
        <v>45452</v>
      </c>
    </row>
    <row r="992" spans="1:14" x14ac:dyDescent="0.3">
      <c r="A992" t="s">
        <v>24</v>
      </c>
      <c r="B992" t="s">
        <v>32</v>
      </c>
      <c r="C992" t="s">
        <v>54</v>
      </c>
      <c r="D992" t="s">
        <v>60</v>
      </c>
      <c r="E992" t="s">
        <v>62</v>
      </c>
      <c r="F992" t="s">
        <v>67</v>
      </c>
      <c r="G992">
        <v>21100.94</v>
      </c>
      <c r="H992">
        <v>0</v>
      </c>
      <c r="I992">
        <v>21100.94</v>
      </c>
      <c r="J992">
        <v>3</v>
      </c>
      <c r="K992">
        <v>63302.82</v>
      </c>
      <c r="L992">
        <v>9495.42</v>
      </c>
      <c r="M992" s="2">
        <v>45737</v>
      </c>
      <c r="N992" s="2">
        <v>45743</v>
      </c>
    </row>
    <row r="993" spans="1:14" x14ac:dyDescent="0.3">
      <c r="A993" t="s">
        <v>25</v>
      </c>
      <c r="B993" t="s">
        <v>34</v>
      </c>
      <c r="C993" t="s">
        <v>41</v>
      </c>
      <c r="D993" t="s">
        <v>60</v>
      </c>
      <c r="E993" t="s">
        <v>64</v>
      </c>
      <c r="F993" t="s">
        <v>74</v>
      </c>
      <c r="G993">
        <v>736.59</v>
      </c>
      <c r="H993">
        <v>15</v>
      </c>
      <c r="I993">
        <v>626.10149999999999</v>
      </c>
      <c r="J993">
        <v>1</v>
      </c>
      <c r="K993">
        <v>626.1</v>
      </c>
      <c r="L993">
        <v>93.92</v>
      </c>
      <c r="M993" s="2">
        <v>45679</v>
      </c>
      <c r="N993" s="2">
        <v>45682</v>
      </c>
    </row>
    <row r="994" spans="1:14" x14ac:dyDescent="0.3">
      <c r="A994" t="s">
        <v>28</v>
      </c>
      <c r="B994" t="s">
        <v>34</v>
      </c>
      <c r="C994" t="s">
        <v>55</v>
      </c>
      <c r="D994" t="s">
        <v>58</v>
      </c>
      <c r="E994" t="s">
        <v>62</v>
      </c>
      <c r="F994" t="s">
        <v>67</v>
      </c>
      <c r="G994">
        <v>1594.65</v>
      </c>
      <c r="H994">
        <v>0</v>
      </c>
      <c r="I994">
        <v>1594.65</v>
      </c>
      <c r="J994">
        <v>4</v>
      </c>
      <c r="K994">
        <v>6378.6</v>
      </c>
      <c r="L994">
        <v>1594.65</v>
      </c>
      <c r="M994" s="2">
        <v>45812</v>
      </c>
      <c r="N994" s="2">
        <v>45822</v>
      </c>
    </row>
    <row r="995" spans="1:14" x14ac:dyDescent="0.3">
      <c r="A995" t="s">
        <v>23</v>
      </c>
      <c r="B995" t="s">
        <v>35</v>
      </c>
      <c r="C995" t="s">
        <v>46</v>
      </c>
      <c r="D995" t="s">
        <v>59</v>
      </c>
      <c r="E995" t="s">
        <v>63</v>
      </c>
      <c r="F995" t="s">
        <v>73</v>
      </c>
      <c r="G995">
        <v>27894.82</v>
      </c>
      <c r="H995">
        <v>20</v>
      </c>
      <c r="I995">
        <v>22315.856</v>
      </c>
      <c r="J995">
        <v>4</v>
      </c>
      <c r="K995">
        <v>89263.42</v>
      </c>
      <c r="L995">
        <v>31242.2</v>
      </c>
      <c r="M995" s="2">
        <v>45796</v>
      </c>
      <c r="N995" s="2">
        <v>45805</v>
      </c>
    </row>
    <row r="996" spans="1:14" x14ac:dyDescent="0.3">
      <c r="A996" t="s">
        <v>24</v>
      </c>
      <c r="B996" t="s">
        <v>32</v>
      </c>
      <c r="C996" t="s">
        <v>43</v>
      </c>
      <c r="D996" t="s">
        <v>58</v>
      </c>
      <c r="E996" t="s">
        <v>62</v>
      </c>
      <c r="F996" t="s">
        <v>66</v>
      </c>
      <c r="G996">
        <v>25393.79</v>
      </c>
      <c r="H996">
        <v>30</v>
      </c>
      <c r="I996">
        <v>17775.652999999998</v>
      </c>
      <c r="J996">
        <v>4</v>
      </c>
      <c r="K996">
        <v>71102.61</v>
      </c>
      <c r="L996">
        <v>17775.650000000001</v>
      </c>
      <c r="M996" s="2">
        <v>45770</v>
      </c>
      <c r="N996" s="2">
        <v>45780</v>
      </c>
    </row>
    <row r="997" spans="1:14" x14ac:dyDescent="0.3">
      <c r="A997" t="s">
        <v>17</v>
      </c>
      <c r="B997" t="s">
        <v>32</v>
      </c>
      <c r="C997" t="s">
        <v>37</v>
      </c>
      <c r="D997" t="s">
        <v>59</v>
      </c>
      <c r="E997" t="s">
        <v>63</v>
      </c>
      <c r="F997" t="s">
        <v>75</v>
      </c>
      <c r="G997">
        <v>9232.02</v>
      </c>
      <c r="H997">
        <v>25</v>
      </c>
      <c r="I997">
        <v>6924.0150000000003</v>
      </c>
      <c r="J997">
        <v>2</v>
      </c>
      <c r="K997">
        <v>13848.03</v>
      </c>
      <c r="L997">
        <v>4846.8100000000004</v>
      </c>
      <c r="M997" s="2">
        <v>45417</v>
      </c>
      <c r="N997" s="2">
        <v>45420</v>
      </c>
    </row>
    <row r="998" spans="1:14" x14ac:dyDescent="0.3">
      <c r="A998" t="s">
        <v>21</v>
      </c>
      <c r="B998" t="s">
        <v>34</v>
      </c>
      <c r="C998" t="s">
        <v>41</v>
      </c>
      <c r="D998" t="s">
        <v>60</v>
      </c>
      <c r="E998" t="s">
        <v>64</v>
      </c>
      <c r="F998" t="s">
        <v>72</v>
      </c>
      <c r="G998">
        <v>2720.36</v>
      </c>
      <c r="H998">
        <v>15</v>
      </c>
      <c r="I998">
        <v>2312.306</v>
      </c>
      <c r="J998">
        <v>4</v>
      </c>
      <c r="K998">
        <v>9249.2199999999993</v>
      </c>
      <c r="L998">
        <v>1387.38</v>
      </c>
      <c r="M998" s="2">
        <v>45535</v>
      </c>
      <c r="N998" s="2">
        <v>45545</v>
      </c>
    </row>
    <row r="999" spans="1:14" x14ac:dyDescent="0.3">
      <c r="A999" t="s">
        <v>20</v>
      </c>
      <c r="B999" t="s">
        <v>32</v>
      </c>
      <c r="C999" t="s">
        <v>37</v>
      </c>
      <c r="D999" t="s">
        <v>59</v>
      </c>
      <c r="E999" t="s">
        <v>61</v>
      </c>
      <c r="F999" t="s">
        <v>65</v>
      </c>
      <c r="G999">
        <v>33749.379999999997</v>
      </c>
      <c r="H999">
        <v>30</v>
      </c>
      <c r="I999">
        <v>23624.565999999999</v>
      </c>
      <c r="J999">
        <v>5</v>
      </c>
      <c r="K999">
        <v>118122.83</v>
      </c>
      <c r="L999">
        <v>41342.99</v>
      </c>
      <c r="M999" s="2">
        <v>45331</v>
      </c>
      <c r="N999" s="2">
        <v>45336</v>
      </c>
    </row>
    <row r="1000" spans="1:14" x14ac:dyDescent="0.3">
      <c r="A1000" t="s">
        <v>18</v>
      </c>
      <c r="B1000" t="s">
        <v>33</v>
      </c>
      <c r="C1000" t="s">
        <v>56</v>
      </c>
      <c r="D1000" t="s">
        <v>60</v>
      </c>
      <c r="E1000" t="s">
        <v>61</v>
      </c>
      <c r="F1000" t="s">
        <v>65</v>
      </c>
      <c r="G1000">
        <v>41525.949999999997</v>
      </c>
      <c r="H1000">
        <v>30</v>
      </c>
      <c r="I1000">
        <v>29068.165000000001</v>
      </c>
      <c r="J1000">
        <v>5</v>
      </c>
      <c r="K1000">
        <v>145340.82</v>
      </c>
      <c r="L1000">
        <v>21801.119999999999</v>
      </c>
      <c r="M1000" s="2">
        <v>45668</v>
      </c>
      <c r="N1000" s="2">
        <v>45677</v>
      </c>
    </row>
    <row r="1001" spans="1:14" x14ac:dyDescent="0.3">
      <c r="A1001" t="s">
        <v>20</v>
      </c>
      <c r="B1001" t="s">
        <v>32</v>
      </c>
      <c r="C1001" t="s">
        <v>37</v>
      </c>
      <c r="D1001" t="s">
        <v>59</v>
      </c>
      <c r="E1001" t="s">
        <v>61</v>
      </c>
      <c r="F1001" t="s">
        <v>65</v>
      </c>
      <c r="G1001">
        <v>34643.99</v>
      </c>
      <c r="H1001">
        <v>10</v>
      </c>
      <c r="I1001">
        <v>31179.591</v>
      </c>
      <c r="J1001">
        <v>2</v>
      </c>
      <c r="K1001">
        <v>62359.18</v>
      </c>
      <c r="L1001">
        <v>21825.71</v>
      </c>
      <c r="M1001" s="2">
        <v>45307</v>
      </c>
      <c r="N1001" s="2">
        <v>45315</v>
      </c>
    </row>
    <row r="1002" spans="1:14" x14ac:dyDescent="0.3">
      <c r="A1002" t="s">
        <v>24</v>
      </c>
      <c r="B1002" t="s">
        <v>32</v>
      </c>
      <c r="C1002" t="s">
        <v>43</v>
      </c>
      <c r="D1002" t="s">
        <v>58</v>
      </c>
      <c r="E1002" t="s">
        <v>61</v>
      </c>
      <c r="F1002" t="s">
        <v>65</v>
      </c>
      <c r="G1002">
        <v>24443.85</v>
      </c>
      <c r="H1002">
        <v>20</v>
      </c>
      <c r="I1002">
        <v>19555.080000000002</v>
      </c>
      <c r="J1002">
        <v>5</v>
      </c>
      <c r="K1002">
        <v>97775.4</v>
      </c>
      <c r="L1002">
        <v>24443.85</v>
      </c>
      <c r="M1002" s="2">
        <v>45483</v>
      </c>
      <c r="N1002" s="2">
        <v>45489</v>
      </c>
    </row>
    <row r="1003" spans="1:14" x14ac:dyDescent="0.3">
      <c r="A1003" t="s">
        <v>27</v>
      </c>
      <c r="B1003" t="s">
        <v>35</v>
      </c>
      <c r="C1003" t="s">
        <v>48</v>
      </c>
      <c r="D1003" t="s">
        <v>58</v>
      </c>
      <c r="E1003" t="s">
        <v>61</v>
      </c>
      <c r="F1003" t="s">
        <v>65</v>
      </c>
      <c r="G1003">
        <v>8044.59</v>
      </c>
      <c r="H1003">
        <v>20</v>
      </c>
      <c r="I1003">
        <v>6435.6719999999996</v>
      </c>
      <c r="J1003">
        <v>2</v>
      </c>
      <c r="K1003">
        <v>12871.34</v>
      </c>
      <c r="L1003">
        <v>3217.84</v>
      </c>
      <c r="M1003" s="2">
        <v>45681</v>
      </c>
      <c r="N1003" s="2">
        <v>45688</v>
      </c>
    </row>
    <row r="1004" spans="1:14" x14ac:dyDescent="0.3">
      <c r="A1004" t="s">
        <v>22</v>
      </c>
      <c r="B1004" t="s">
        <v>31</v>
      </c>
      <c r="C1004" t="s">
        <v>36</v>
      </c>
      <c r="D1004" t="s">
        <v>58</v>
      </c>
      <c r="E1004" t="s">
        <v>63</v>
      </c>
      <c r="F1004" t="s">
        <v>73</v>
      </c>
      <c r="G1004">
        <v>3246.48</v>
      </c>
      <c r="H1004">
        <v>25</v>
      </c>
      <c r="I1004">
        <v>2434.86</v>
      </c>
      <c r="J1004">
        <v>3</v>
      </c>
      <c r="K1004">
        <v>7304.58</v>
      </c>
      <c r="L1004">
        <v>1826.14</v>
      </c>
      <c r="M1004" s="2">
        <v>45554</v>
      </c>
      <c r="N1004" s="2">
        <v>45557</v>
      </c>
    </row>
    <row r="1005" spans="1:14" x14ac:dyDescent="0.3">
      <c r="A1005" t="s">
        <v>26</v>
      </c>
      <c r="B1005" t="s">
        <v>32</v>
      </c>
      <c r="C1005" t="s">
        <v>43</v>
      </c>
      <c r="D1005" t="s">
        <v>58</v>
      </c>
      <c r="E1005" t="s">
        <v>61</v>
      </c>
      <c r="F1005" t="s">
        <v>70</v>
      </c>
      <c r="G1005">
        <v>35377.33</v>
      </c>
      <c r="H1005">
        <v>25</v>
      </c>
      <c r="I1005">
        <v>26532.997500000001</v>
      </c>
      <c r="J1005">
        <v>2</v>
      </c>
      <c r="K1005">
        <v>53066</v>
      </c>
      <c r="L1005">
        <v>13266.5</v>
      </c>
      <c r="M1005" s="2">
        <v>45709</v>
      </c>
      <c r="N1005" s="2">
        <v>45718</v>
      </c>
    </row>
    <row r="1006" spans="1:14" x14ac:dyDescent="0.3">
      <c r="A1006" t="s">
        <v>24</v>
      </c>
      <c r="B1006" t="s">
        <v>32</v>
      </c>
      <c r="C1006" t="s">
        <v>43</v>
      </c>
      <c r="D1006" t="s">
        <v>58</v>
      </c>
      <c r="E1006" t="s">
        <v>63</v>
      </c>
      <c r="F1006" t="s">
        <v>73</v>
      </c>
      <c r="G1006">
        <v>23167.03</v>
      </c>
      <c r="H1006">
        <v>15</v>
      </c>
      <c r="I1006">
        <v>19691.9755</v>
      </c>
      <c r="J1006">
        <v>1</v>
      </c>
      <c r="K1006">
        <v>19691.98</v>
      </c>
      <c r="L1006">
        <v>4922.99</v>
      </c>
      <c r="M1006" s="2">
        <v>45371</v>
      </c>
      <c r="N1006" s="2">
        <v>45377</v>
      </c>
    </row>
    <row r="1007" spans="1:14" x14ac:dyDescent="0.3">
      <c r="A1007" t="s">
        <v>29</v>
      </c>
      <c r="B1007" t="s">
        <v>35</v>
      </c>
      <c r="C1007" t="s">
        <v>38</v>
      </c>
      <c r="D1007" t="s">
        <v>59</v>
      </c>
      <c r="E1007" t="s">
        <v>64</v>
      </c>
      <c r="F1007" t="s">
        <v>76</v>
      </c>
      <c r="G1007">
        <v>22842.91</v>
      </c>
      <c r="H1007">
        <v>30</v>
      </c>
      <c r="I1007">
        <v>15990.037</v>
      </c>
      <c r="J1007">
        <v>3</v>
      </c>
      <c r="K1007">
        <v>47970.11</v>
      </c>
      <c r="L1007">
        <v>16789.54</v>
      </c>
      <c r="M1007" s="2">
        <v>45303</v>
      </c>
      <c r="N1007" s="2">
        <v>45306</v>
      </c>
    </row>
    <row r="1008" spans="1:14" x14ac:dyDescent="0.3">
      <c r="A1008" t="s">
        <v>28</v>
      </c>
      <c r="B1008" t="s">
        <v>34</v>
      </c>
      <c r="C1008" t="s">
        <v>55</v>
      </c>
      <c r="D1008" t="s">
        <v>58</v>
      </c>
      <c r="E1008" t="s">
        <v>63</v>
      </c>
      <c r="F1008" t="s">
        <v>73</v>
      </c>
      <c r="G1008">
        <v>1401.29</v>
      </c>
      <c r="H1008">
        <v>25</v>
      </c>
      <c r="I1008">
        <v>1050.9675</v>
      </c>
      <c r="J1008">
        <v>5</v>
      </c>
      <c r="K1008">
        <v>5254.84</v>
      </c>
      <c r="L1008">
        <v>1313.71</v>
      </c>
      <c r="M1008" s="2">
        <v>45564</v>
      </c>
      <c r="N1008" s="2">
        <v>45569</v>
      </c>
    </row>
    <row r="1009" spans="1:14" x14ac:dyDescent="0.3">
      <c r="A1009" t="s">
        <v>23</v>
      </c>
      <c r="B1009" t="s">
        <v>35</v>
      </c>
      <c r="C1009" t="s">
        <v>46</v>
      </c>
      <c r="D1009" t="s">
        <v>59</v>
      </c>
      <c r="E1009" t="s">
        <v>61</v>
      </c>
      <c r="F1009" t="s">
        <v>71</v>
      </c>
      <c r="G1009">
        <v>28986.55</v>
      </c>
      <c r="H1009">
        <v>15</v>
      </c>
      <c r="I1009">
        <v>24638.567500000001</v>
      </c>
      <c r="J1009">
        <v>1</v>
      </c>
      <c r="K1009">
        <v>24638.57</v>
      </c>
      <c r="L1009">
        <v>8623.5</v>
      </c>
      <c r="M1009" s="2">
        <v>45452</v>
      </c>
      <c r="N1009" s="2">
        <v>45458</v>
      </c>
    </row>
    <row r="1010" spans="1:14" x14ac:dyDescent="0.3">
      <c r="A1010" t="s">
        <v>19</v>
      </c>
      <c r="B1010" t="s">
        <v>33</v>
      </c>
      <c r="C1010" t="s">
        <v>53</v>
      </c>
      <c r="D1010" t="s">
        <v>58</v>
      </c>
      <c r="E1010" t="s">
        <v>63</v>
      </c>
      <c r="F1010" t="s">
        <v>75</v>
      </c>
      <c r="G1010">
        <v>1916.3</v>
      </c>
      <c r="H1010">
        <v>25</v>
      </c>
      <c r="I1010">
        <v>1437.2249999999999</v>
      </c>
      <c r="J1010">
        <v>2</v>
      </c>
      <c r="K1010">
        <v>2874.45</v>
      </c>
      <c r="L1010">
        <v>718.61</v>
      </c>
      <c r="M1010" s="2">
        <v>45796</v>
      </c>
      <c r="N1010" s="2">
        <v>45805</v>
      </c>
    </row>
    <row r="1011" spans="1:14" x14ac:dyDescent="0.3">
      <c r="A1011" t="s">
        <v>24</v>
      </c>
      <c r="B1011" t="s">
        <v>32</v>
      </c>
      <c r="C1011" t="s">
        <v>43</v>
      </c>
      <c r="D1011" t="s">
        <v>58</v>
      </c>
      <c r="E1011" t="s">
        <v>64</v>
      </c>
      <c r="F1011" t="s">
        <v>72</v>
      </c>
      <c r="G1011">
        <v>26054.74</v>
      </c>
      <c r="H1011">
        <v>10</v>
      </c>
      <c r="I1011">
        <v>23449.266</v>
      </c>
      <c r="J1011">
        <v>2</v>
      </c>
      <c r="K1011">
        <v>46898.53</v>
      </c>
      <c r="L1011">
        <v>11724.63</v>
      </c>
      <c r="M1011" s="2">
        <v>45420</v>
      </c>
      <c r="N1011" s="2">
        <v>45430</v>
      </c>
    </row>
    <row r="1012" spans="1:14" x14ac:dyDescent="0.3">
      <c r="A1012" t="s">
        <v>19</v>
      </c>
      <c r="B1012" t="s">
        <v>33</v>
      </c>
      <c r="C1012" t="s">
        <v>57</v>
      </c>
      <c r="D1012" t="s">
        <v>60</v>
      </c>
      <c r="E1012" t="s">
        <v>63</v>
      </c>
      <c r="F1012" t="s">
        <v>75</v>
      </c>
      <c r="G1012">
        <v>1694.45</v>
      </c>
      <c r="H1012">
        <v>10</v>
      </c>
      <c r="I1012">
        <v>1525.0050000000001</v>
      </c>
      <c r="J1012">
        <v>1</v>
      </c>
      <c r="K1012">
        <v>1525.01</v>
      </c>
      <c r="L1012">
        <v>228.75</v>
      </c>
      <c r="M1012" s="2">
        <v>45334</v>
      </c>
      <c r="N1012" s="2">
        <v>45341</v>
      </c>
    </row>
    <row r="1013" spans="1:14" x14ac:dyDescent="0.3">
      <c r="A1013" t="s">
        <v>23</v>
      </c>
      <c r="B1013" t="s">
        <v>35</v>
      </c>
      <c r="C1013" t="s">
        <v>38</v>
      </c>
      <c r="D1013" t="s">
        <v>59</v>
      </c>
      <c r="E1013" t="s">
        <v>64</v>
      </c>
      <c r="F1013" t="s">
        <v>72</v>
      </c>
      <c r="G1013">
        <v>31523.040000000001</v>
      </c>
      <c r="H1013">
        <v>15</v>
      </c>
      <c r="I1013">
        <v>26794.583999999999</v>
      </c>
      <c r="J1013">
        <v>5</v>
      </c>
      <c r="K1013">
        <v>133972.92000000001</v>
      </c>
      <c r="L1013">
        <v>46890.52</v>
      </c>
      <c r="M1013" s="2">
        <v>45767</v>
      </c>
      <c r="N1013" s="2">
        <v>45772</v>
      </c>
    </row>
    <row r="1014" spans="1:14" x14ac:dyDescent="0.3">
      <c r="A1014" t="s">
        <v>27</v>
      </c>
      <c r="B1014" t="s">
        <v>35</v>
      </c>
      <c r="C1014" t="s">
        <v>46</v>
      </c>
      <c r="D1014" t="s">
        <v>59</v>
      </c>
      <c r="E1014" t="s">
        <v>61</v>
      </c>
      <c r="F1014" t="s">
        <v>70</v>
      </c>
      <c r="G1014">
        <v>9386.9</v>
      </c>
      <c r="H1014">
        <v>25</v>
      </c>
      <c r="I1014">
        <v>7040.1749999999993</v>
      </c>
      <c r="J1014">
        <v>3</v>
      </c>
      <c r="K1014">
        <v>21120.52</v>
      </c>
      <c r="L1014">
        <v>7392.18</v>
      </c>
      <c r="M1014" s="2">
        <v>45594</v>
      </c>
      <c r="N1014" s="2">
        <v>45601</v>
      </c>
    </row>
    <row r="1015" spans="1:14" x14ac:dyDescent="0.3">
      <c r="A1015" t="s">
        <v>19</v>
      </c>
      <c r="B1015" t="s">
        <v>33</v>
      </c>
      <c r="C1015" t="s">
        <v>56</v>
      </c>
      <c r="D1015" t="s">
        <v>60</v>
      </c>
      <c r="E1015" t="s">
        <v>63</v>
      </c>
      <c r="F1015" t="s">
        <v>75</v>
      </c>
      <c r="G1015">
        <v>1685.34</v>
      </c>
      <c r="H1015">
        <v>20</v>
      </c>
      <c r="I1015">
        <v>1348.2719999999999</v>
      </c>
      <c r="J1015">
        <v>4</v>
      </c>
      <c r="K1015">
        <v>5393.09</v>
      </c>
      <c r="L1015">
        <v>808.96</v>
      </c>
      <c r="M1015" s="2">
        <v>45321</v>
      </c>
      <c r="N1015" s="2">
        <v>45325</v>
      </c>
    </row>
    <row r="1016" spans="1:14" x14ac:dyDescent="0.3">
      <c r="A1016" t="s">
        <v>17</v>
      </c>
      <c r="B1016" t="s">
        <v>32</v>
      </c>
      <c r="C1016" t="s">
        <v>43</v>
      </c>
      <c r="D1016" t="s">
        <v>58</v>
      </c>
      <c r="E1016" t="s">
        <v>61</v>
      </c>
      <c r="F1016" t="s">
        <v>70</v>
      </c>
      <c r="G1016">
        <v>7491.31</v>
      </c>
      <c r="H1016">
        <v>10</v>
      </c>
      <c r="I1016">
        <v>6742.1790000000001</v>
      </c>
      <c r="J1016">
        <v>4</v>
      </c>
      <c r="K1016">
        <v>26968.720000000001</v>
      </c>
      <c r="L1016">
        <v>6742.18</v>
      </c>
      <c r="M1016" s="2">
        <v>45677</v>
      </c>
      <c r="N1016" s="2">
        <v>45681</v>
      </c>
    </row>
    <row r="1017" spans="1:14" x14ac:dyDescent="0.3">
      <c r="A1017" t="s">
        <v>24</v>
      </c>
      <c r="B1017" t="s">
        <v>32</v>
      </c>
      <c r="C1017" t="s">
        <v>37</v>
      </c>
      <c r="D1017" t="s">
        <v>59</v>
      </c>
      <c r="E1017" t="s">
        <v>63</v>
      </c>
      <c r="F1017" t="s">
        <v>73</v>
      </c>
      <c r="G1017">
        <v>28489.79</v>
      </c>
      <c r="H1017">
        <v>25</v>
      </c>
      <c r="I1017">
        <v>21367.342499999999</v>
      </c>
      <c r="J1017">
        <v>1</v>
      </c>
      <c r="K1017">
        <v>21367.34</v>
      </c>
      <c r="L1017">
        <v>7478.57</v>
      </c>
      <c r="M1017" s="2">
        <v>45722</v>
      </c>
      <c r="N1017" s="2">
        <v>45726</v>
      </c>
    </row>
    <row r="1018" spans="1:14" x14ac:dyDescent="0.3">
      <c r="A1018" t="s">
        <v>22</v>
      </c>
      <c r="B1018" t="s">
        <v>31</v>
      </c>
      <c r="C1018" t="s">
        <v>47</v>
      </c>
      <c r="D1018" t="s">
        <v>59</v>
      </c>
      <c r="E1018" t="s">
        <v>61</v>
      </c>
      <c r="F1018" t="s">
        <v>65</v>
      </c>
      <c r="G1018">
        <v>4265.46</v>
      </c>
      <c r="H1018">
        <v>10</v>
      </c>
      <c r="I1018">
        <v>3838.9140000000002</v>
      </c>
      <c r="J1018">
        <v>2</v>
      </c>
      <c r="K1018">
        <v>7677.83</v>
      </c>
      <c r="L1018">
        <v>2687.24</v>
      </c>
      <c r="M1018" s="2">
        <v>45461</v>
      </c>
      <c r="N1018" s="2">
        <v>45470</v>
      </c>
    </row>
    <row r="1019" spans="1:14" x14ac:dyDescent="0.3">
      <c r="A1019" t="s">
        <v>29</v>
      </c>
      <c r="B1019" t="s">
        <v>35</v>
      </c>
      <c r="C1019" t="s">
        <v>38</v>
      </c>
      <c r="D1019" t="s">
        <v>59</v>
      </c>
      <c r="E1019" t="s">
        <v>61</v>
      </c>
      <c r="F1019" t="s">
        <v>65</v>
      </c>
      <c r="G1019">
        <v>20621.12</v>
      </c>
      <c r="H1019">
        <v>5</v>
      </c>
      <c r="I1019">
        <v>19590.063999999998</v>
      </c>
      <c r="J1019">
        <v>4</v>
      </c>
      <c r="K1019">
        <v>78360.259999999995</v>
      </c>
      <c r="L1019">
        <v>27426.09</v>
      </c>
      <c r="M1019" s="2">
        <v>45417</v>
      </c>
      <c r="N1019" s="2">
        <v>45424</v>
      </c>
    </row>
    <row r="1020" spans="1:14" x14ac:dyDescent="0.3">
      <c r="A1020" t="s">
        <v>27</v>
      </c>
      <c r="B1020" t="s">
        <v>35</v>
      </c>
      <c r="C1020" t="s">
        <v>38</v>
      </c>
      <c r="D1020" t="s">
        <v>59</v>
      </c>
      <c r="E1020" t="s">
        <v>63</v>
      </c>
      <c r="F1020" t="s">
        <v>68</v>
      </c>
      <c r="G1020">
        <v>9311.0400000000009</v>
      </c>
      <c r="H1020">
        <v>15</v>
      </c>
      <c r="I1020">
        <v>7914.3840000000009</v>
      </c>
      <c r="J1020">
        <v>5</v>
      </c>
      <c r="K1020">
        <v>39571.919999999998</v>
      </c>
      <c r="L1020">
        <v>13850.17</v>
      </c>
      <c r="M1020" s="2">
        <v>45606</v>
      </c>
      <c r="N1020" s="2">
        <v>45616</v>
      </c>
    </row>
    <row r="1021" spans="1:14" x14ac:dyDescent="0.3">
      <c r="A1021" t="s">
        <v>18</v>
      </c>
      <c r="B1021" t="s">
        <v>33</v>
      </c>
      <c r="C1021" t="s">
        <v>56</v>
      </c>
      <c r="D1021" t="s">
        <v>60</v>
      </c>
      <c r="E1021" t="s">
        <v>63</v>
      </c>
      <c r="F1021" t="s">
        <v>73</v>
      </c>
      <c r="G1021">
        <v>41916.660000000003</v>
      </c>
      <c r="H1021">
        <v>15</v>
      </c>
      <c r="I1021">
        <v>35629.161</v>
      </c>
      <c r="J1021">
        <v>5</v>
      </c>
      <c r="K1021">
        <v>178145.8</v>
      </c>
      <c r="L1021">
        <v>26721.87</v>
      </c>
      <c r="M1021" s="2">
        <v>45319</v>
      </c>
      <c r="N1021" s="2">
        <v>45325</v>
      </c>
    </row>
    <row r="1022" spans="1:14" x14ac:dyDescent="0.3">
      <c r="A1022" t="s">
        <v>25</v>
      </c>
      <c r="B1022" t="s">
        <v>34</v>
      </c>
      <c r="C1022" t="s">
        <v>41</v>
      </c>
      <c r="D1022" t="s">
        <v>60</v>
      </c>
      <c r="E1022" t="s">
        <v>61</v>
      </c>
      <c r="F1022" t="s">
        <v>71</v>
      </c>
      <c r="G1022">
        <v>633.13</v>
      </c>
      <c r="H1022">
        <v>30</v>
      </c>
      <c r="I1022">
        <v>443.19099999999997</v>
      </c>
      <c r="J1022">
        <v>3</v>
      </c>
      <c r="K1022">
        <v>1329.57</v>
      </c>
      <c r="L1022">
        <v>199.44</v>
      </c>
      <c r="M1022" s="2">
        <v>45345</v>
      </c>
      <c r="N1022" s="2">
        <v>45352</v>
      </c>
    </row>
    <row r="1023" spans="1:14" x14ac:dyDescent="0.3">
      <c r="A1023" t="s">
        <v>18</v>
      </c>
      <c r="B1023" t="s">
        <v>33</v>
      </c>
      <c r="C1023" t="s">
        <v>50</v>
      </c>
      <c r="D1023" t="s">
        <v>59</v>
      </c>
      <c r="E1023" t="s">
        <v>61</v>
      </c>
      <c r="F1023" t="s">
        <v>70</v>
      </c>
      <c r="G1023">
        <v>60649.66</v>
      </c>
      <c r="H1023">
        <v>25</v>
      </c>
      <c r="I1023">
        <v>45487.245000000003</v>
      </c>
      <c r="J1023">
        <v>2</v>
      </c>
      <c r="K1023">
        <v>90974.49</v>
      </c>
      <c r="L1023">
        <v>31841.07</v>
      </c>
      <c r="M1023" s="2">
        <v>45748</v>
      </c>
      <c r="N1023" s="2">
        <v>45755</v>
      </c>
    </row>
    <row r="1024" spans="1:14" x14ac:dyDescent="0.3">
      <c r="A1024" t="s">
        <v>18</v>
      </c>
      <c r="B1024" t="s">
        <v>33</v>
      </c>
      <c r="C1024" t="s">
        <v>57</v>
      </c>
      <c r="D1024" t="s">
        <v>60</v>
      </c>
      <c r="E1024" t="s">
        <v>61</v>
      </c>
      <c r="F1024" t="s">
        <v>65</v>
      </c>
      <c r="G1024">
        <v>43079.63</v>
      </c>
      <c r="H1024">
        <v>15</v>
      </c>
      <c r="I1024">
        <v>36617.6855</v>
      </c>
      <c r="J1024">
        <v>5</v>
      </c>
      <c r="K1024">
        <v>183088.43</v>
      </c>
      <c r="L1024">
        <v>27463.26</v>
      </c>
      <c r="M1024" s="2">
        <v>45549</v>
      </c>
      <c r="N1024" s="2">
        <v>45552</v>
      </c>
    </row>
    <row r="1025" spans="1:14" x14ac:dyDescent="0.3">
      <c r="A1025" t="s">
        <v>19</v>
      </c>
      <c r="B1025" t="s">
        <v>33</v>
      </c>
      <c r="C1025" t="s">
        <v>56</v>
      </c>
      <c r="D1025" t="s">
        <v>60</v>
      </c>
      <c r="E1025" t="s">
        <v>61</v>
      </c>
      <c r="F1025" t="s">
        <v>71</v>
      </c>
      <c r="G1025">
        <v>1691.9</v>
      </c>
      <c r="H1025">
        <v>0</v>
      </c>
      <c r="I1025">
        <v>1691.9</v>
      </c>
      <c r="J1025">
        <v>4</v>
      </c>
      <c r="K1025">
        <v>6767.6</v>
      </c>
      <c r="L1025">
        <v>1015.14</v>
      </c>
      <c r="M1025" s="2">
        <v>45862</v>
      </c>
      <c r="N1025" s="2">
        <v>45871</v>
      </c>
    </row>
    <row r="1026" spans="1:14" x14ac:dyDescent="0.3">
      <c r="A1026" t="s">
        <v>24</v>
      </c>
      <c r="B1026" t="s">
        <v>32</v>
      </c>
      <c r="C1026" t="s">
        <v>40</v>
      </c>
      <c r="D1026" t="s">
        <v>59</v>
      </c>
      <c r="E1026" t="s">
        <v>64</v>
      </c>
      <c r="F1026" t="s">
        <v>76</v>
      </c>
      <c r="G1026">
        <v>32086.15</v>
      </c>
      <c r="H1026">
        <v>5</v>
      </c>
      <c r="I1026">
        <v>30481.842499999999</v>
      </c>
      <c r="J1026">
        <v>2</v>
      </c>
      <c r="K1026">
        <v>60963.68</v>
      </c>
      <c r="L1026">
        <v>21337.29</v>
      </c>
      <c r="M1026" s="2">
        <v>45317</v>
      </c>
      <c r="N1026" s="2">
        <v>45327</v>
      </c>
    </row>
    <row r="1027" spans="1:14" x14ac:dyDescent="0.3">
      <c r="A1027" t="s">
        <v>21</v>
      </c>
      <c r="B1027" t="s">
        <v>34</v>
      </c>
      <c r="C1027" t="s">
        <v>41</v>
      </c>
      <c r="D1027" t="s">
        <v>60</v>
      </c>
      <c r="E1027" t="s">
        <v>63</v>
      </c>
      <c r="F1027" t="s">
        <v>73</v>
      </c>
      <c r="G1027">
        <v>2307.4899999999998</v>
      </c>
      <c r="H1027">
        <v>30</v>
      </c>
      <c r="I1027">
        <v>1615.2429999999999</v>
      </c>
      <c r="J1027">
        <v>5</v>
      </c>
      <c r="K1027">
        <v>8076.21</v>
      </c>
      <c r="L1027">
        <v>1211.43</v>
      </c>
      <c r="M1027" s="2">
        <v>45672</v>
      </c>
      <c r="N1027" s="2">
        <v>45678</v>
      </c>
    </row>
    <row r="1028" spans="1:14" x14ac:dyDescent="0.3">
      <c r="A1028" t="s">
        <v>30</v>
      </c>
      <c r="B1028" t="s">
        <v>33</v>
      </c>
      <c r="C1028" t="s">
        <v>53</v>
      </c>
      <c r="D1028" t="s">
        <v>58</v>
      </c>
      <c r="E1028" t="s">
        <v>61</v>
      </c>
      <c r="F1028" t="s">
        <v>70</v>
      </c>
      <c r="G1028">
        <v>15344.84</v>
      </c>
      <c r="H1028">
        <v>10</v>
      </c>
      <c r="I1028">
        <v>13810.356</v>
      </c>
      <c r="J1028">
        <v>1</v>
      </c>
      <c r="K1028">
        <v>13810.36</v>
      </c>
      <c r="L1028">
        <v>3452.59</v>
      </c>
      <c r="M1028" s="2">
        <v>45667</v>
      </c>
      <c r="N1028" s="2">
        <v>45670</v>
      </c>
    </row>
    <row r="1029" spans="1:14" x14ac:dyDescent="0.3">
      <c r="A1029" t="s">
        <v>24</v>
      </c>
      <c r="B1029" t="s">
        <v>32</v>
      </c>
      <c r="C1029" t="s">
        <v>43</v>
      </c>
      <c r="D1029" t="s">
        <v>58</v>
      </c>
      <c r="E1029" t="s">
        <v>63</v>
      </c>
      <c r="F1029" t="s">
        <v>73</v>
      </c>
      <c r="G1029">
        <v>24502.03</v>
      </c>
      <c r="H1029">
        <v>5</v>
      </c>
      <c r="I1029">
        <v>23276.928500000002</v>
      </c>
      <c r="J1029">
        <v>5</v>
      </c>
      <c r="K1029">
        <v>116384.64</v>
      </c>
      <c r="L1029">
        <v>29096.16</v>
      </c>
      <c r="M1029" s="2">
        <v>45488</v>
      </c>
      <c r="N1029" s="2">
        <v>45497</v>
      </c>
    </row>
    <row r="1030" spans="1:14" x14ac:dyDescent="0.3">
      <c r="A1030" t="s">
        <v>27</v>
      </c>
      <c r="B1030" t="s">
        <v>35</v>
      </c>
      <c r="C1030" t="s">
        <v>48</v>
      </c>
      <c r="D1030" t="s">
        <v>58</v>
      </c>
      <c r="E1030" t="s">
        <v>61</v>
      </c>
      <c r="F1030" t="s">
        <v>71</v>
      </c>
      <c r="G1030">
        <v>7883.75</v>
      </c>
      <c r="H1030">
        <v>0</v>
      </c>
      <c r="I1030">
        <v>7883.75</v>
      </c>
      <c r="J1030">
        <v>1</v>
      </c>
      <c r="K1030">
        <v>7883.75</v>
      </c>
      <c r="L1030">
        <v>1970.94</v>
      </c>
      <c r="M1030" s="2">
        <v>45697</v>
      </c>
      <c r="N1030" s="2">
        <v>45704</v>
      </c>
    </row>
    <row r="1031" spans="1:14" x14ac:dyDescent="0.3">
      <c r="A1031" t="s">
        <v>28</v>
      </c>
      <c r="B1031" t="s">
        <v>34</v>
      </c>
      <c r="C1031" t="s">
        <v>55</v>
      </c>
      <c r="D1031" t="s">
        <v>58</v>
      </c>
      <c r="E1031" t="s">
        <v>63</v>
      </c>
      <c r="F1031" t="s">
        <v>73</v>
      </c>
      <c r="G1031">
        <v>1355.1</v>
      </c>
      <c r="H1031">
        <v>20</v>
      </c>
      <c r="I1031">
        <v>1084.08</v>
      </c>
      <c r="J1031">
        <v>5</v>
      </c>
      <c r="K1031">
        <v>5420.4</v>
      </c>
      <c r="L1031">
        <v>1355.1</v>
      </c>
      <c r="M1031" s="2">
        <v>45429</v>
      </c>
      <c r="N1031" s="2">
        <v>45436</v>
      </c>
    </row>
    <row r="1032" spans="1:14" x14ac:dyDescent="0.3">
      <c r="A1032" t="s">
        <v>18</v>
      </c>
      <c r="B1032" t="s">
        <v>33</v>
      </c>
      <c r="C1032" t="s">
        <v>57</v>
      </c>
      <c r="D1032" t="s">
        <v>60</v>
      </c>
      <c r="E1032" t="s">
        <v>61</v>
      </c>
      <c r="F1032" t="s">
        <v>70</v>
      </c>
      <c r="G1032">
        <v>40441.19</v>
      </c>
      <c r="H1032">
        <v>20</v>
      </c>
      <c r="I1032">
        <v>32352.952000000001</v>
      </c>
      <c r="J1032">
        <v>5</v>
      </c>
      <c r="K1032">
        <v>161764.76</v>
      </c>
      <c r="L1032">
        <v>24264.71</v>
      </c>
      <c r="M1032" s="2">
        <v>45829</v>
      </c>
      <c r="N1032" s="2">
        <v>45833</v>
      </c>
    </row>
    <row r="1033" spans="1:14" x14ac:dyDescent="0.3">
      <c r="A1033" t="s">
        <v>17</v>
      </c>
      <c r="B1033" t="s">
        <v>32</v>
      </c>
      <c r="C1033" t="s">
        <v>43</v>
      </c>
      <c r="D1033" t="s">
        <v>58</v>
      </c>
      <c r="E1033" t="s">
        <v>63</v>
      </c>
      <c r="F1033" t="s">
        <v>68</v>
      </c>
      <c r="G1033">
        <v>7308.6</v>
      </c>
      <c r="H1033">
        <v>10</v>
      </c>
      <c r="I1033">
        <v>6577.7400000000007</v>
      </c>
      <c r="J1033">
        <v>3</v>
      </c>
      <c r="K1033">
        <v>19733.22</v>
      </c>
      <c r="L1033">
        <v>4933.3100000000004</v>
      </c>
      <c r="M1033" s="2">
        <v>45315</v>
      </c>
      <c r="N1033" s="2">
        <v>45324</v>
      </c>
    </row>
    <row r="1034" spans="1:14" x14ac:dyDescent="0.3">
      <c r="A1034" t="s">
        <v>20</v>
      </c>
      <c r="B1034" t="s">
        <v>32</v>
      </c>
      <c r="C1034" t="s">
        <v>54</v>
      </c>
      <c r="D1034" t="s">
        <v>60</v>
      </c>
      <c r="E1034" t="s">
        <v>64</v>
      </c>
      <c r="F1034" t="s">
        <v>72</v>
      </c>
      <c r="G1034">
        <v>28335.16</v>
      </c>
      <c r="H1034">
        <v>10</v>
      </c>
      <c r="I1034">
        <v>25501.644</v>
      </c>
      <c r="J1034">
        <v>3</v>
      </c>
      <c r="K1034">
        <v>76504.929999999993</v>
      </c>
      <c r="L1034">
        <v>11475.74</v>
      </c>
      <c r="M1034" s="2">
        <v>45749</v>
      </c>
      <c r="N1034" s="2">
        <v>45751</v>
      </c>
    </row>
    <row r="1035" spans="1:14" x14ac:dyDescent="0.3">
      <c r="A1035" t="s">
        <v>24</v>
      </c>
      <c r="B1035" t="s">
        <v>32</v>
      </c>
      <c r="C1035" t="s">
        <v>40</v>
      </c>
      <c r="D1035" t="s">
        <v>59</v>
      </c>
      <c r="E1035" t="s">
        <v>64</v>
      </c>
      <c r="F1035" t="s">
        <v>72</v>
      </c>
      <c r="G1035">
        <v>31749.67</v>
      </c>
      <c r="H1035">
        <v>25</v>
      </c>
      <c r="I1035">
        <v>23812.252499999999</v>
      </c>
      <c r="J1035">
        <v>5</v>
      </c>
      <c r="K1035">
        <v>119061.26</v>
      </c>
      <c r="L1035">
        <v>41671.440000000002</v>
      </c>
      <c r="M1035" s="2">
        <v>45643</v>
      </c>
      <c r="N1035" s="2">
        <v>45648</v>
      </c>
    </row>
    <row r="1036" spans="1:14" x14ac:dyDescent="0.3">
      <c r="A1036" t="s">
        <v>26</v>
      </c>
      <c r="B1036" t="s">
        <v>32</v>
      </c>
      <c r="C1036" t="s">
        <v>54</v>
      </c>
      <c r="D1036" t="s">
        <v>60</v>
      </c>
      <c r="E1036" t="s">
        <v>64</v>
      </c>
      <c r="F1036" t="s">
        <v>76</v>
      </c>
      <c r="G1036">
        <v>32646.49</v>
      </c>
      <c r="H1036">
        <v>0</v>
      </c>
      <c r="I1036">
        <v>32646.49</v>
      </c>
      <c r="J1036">
        <v>1</v>
      </c>
      <c r="K1036">
        <v>32646.49</v>
      </c>
      <c r="L1036">
        <v>4896.97</v>
      </c>
      <c r="M1036" s="2">
        <v>45704</v>
      </c>
      <c r="N1036" s="2">
        <v>45713</v>
      </c>
    </row>
    <row r="1037" spans="1:14" x14ac:dyDescent="0.3">
      <c r="A1037" t="s">
        <v>24</v>
      </c>
      <c r="B1037" t="s">
        <v>32</v>
      </c>
      <c r="C1037" t="s">
        <v>37</v>
      </c>
      <c r="D1037" t="s">
        <v>59</v>
      </c>
      <c r="E1037" t="s">
        <v>62</v>
      </c>
      <c r="F1037" t="s">
        <v>66</v>
      </c>
      <c r="G1037">
        <v>30106.61</v>
      </c>
      <c r="H1037">
        <v>10</v>
      </c>
      <c r="I1037">
        <v>27095.949000000001</v>
      </c>
      <c r="J1037">
        <v>4</v>
      </c>
      <c r="K1037">
        <v>108383.8</v>
      </c>
      <c r="L1037">
        <v>37934.33</v>
      </c>
      <c r="M1037" s="2">
        <v>45724</v>
      </c>
      <c r="N1037" s="2">
        <v>45733</v>
      </c>
    </row>
    <row r="1038" spans="1:14" x14ac:dyDescent="0.3">
      <c r="A1038" t="s">
        <v>21</v>
      </c>
      <c r="B1038" t="s">
        <v>34</v>
      </c>
      <c r="C1038" t="s">
        <v>51</v>
      </c>
      <c r="D1038" t="s">
        <v>59</v>
      </c>
      <c r="E1038" t="s">
        <v>61</v>
      </c>
      <c r="F1038" t="s">
        <v>71</v>
      </c>
      <c r="G1038">
        <v>3388.02</v>
      </c>
      <c r="H1038">
        <v>5</v>
      </c>
      <c r="I1038">
        <v>3218.6190000000001</v>
      </c>
      <c r="J1038">
        <v>4</v>
      </c>
      <c r="K1038">
        <v>12874.48</v>
      </c>
      <c r="L1038">
        <v>4506.07</v>
      </c>
      <c r="M1038" s="2">
        <v>45304</v>
      </c>
      <c r="N1038" s="2">
        <v>45314</v>
      </c>
    </row>
    <row r="1039" spans="1:14" x14ac:dyDescent="0.3">
      <c r="A1039" t="s">
        <v>30</v>
      </c>
      <c r="B1039" t="s">
        <v>33</v>
      </c>
      <c r="C1039" t="s">
        <v>39</v>
      </c>
      <c r="D1039" t="s">
        <v>58</v>
      </c>
      <c r="E1039" t="s">
        <v>63</v>
      </c>
      <c r="F1039" t="s">
        <v>75</v>
      </c>
      <c r="G1039">
        <v>14205.57</v>
      </c>
      <c r="H1039">
        <v>15</v>
      </c>
      <c r="I1039">
        <v>12074.7345</v>
      </c>
      <c r="J1039">
        <v>1</v>
      </c>
      <c r="K1039">
        <v>12074.73</v>
      </c>
      <c r="L1039">
        <v>3018.68</v>
      </c>
      <c r="M1039" s="2">
        <v>45579</v>
      </c>
      <c r="N1039" s="2">
        <v>45586</v>
      </c>
    </row>
    <row r="1040" spans="1:14" x14ac:dyDescent="0.3">
      <c r="A1040" t="s">
        <v>20</v>
      </c>
      <c r="B1040" t="s">
        <v>32</v>
      </c>
      <c r="C1040" t="s">
        <v>43</v>
      </c>
      <c r="D1040" t="s">
        <v>58</v>
      </c>
      <c r="E1040" t="s">
        <v>62</v>
      </c>
      <c r="F1040" t="s">
        <v>69</v>
      </c>
      <c r="G1040">
        <v>31217.200000000001</v>
      </c>
      <c r="H1040">
        <v>25</v>
      </c>
      <c r="I1040">
        <v>23412.9</v>
      </c>
      <c r="J1040">
        <v>5</v>
      </c>
      <c r="K1040">
        <v>117064.5</v>
      </c>
      <c r="L1040">
        <v>29266.12</v>
      </c>
      <c r="M1040" s="2">
        <v>45761</v>
      </c>
      <c r="N1040" s="2">
        <v>45771</v>
      </c>
    </row>
    <row r="1041" spans="1:14" x14ac:dyDescent="0.3">
      <c r="A1041" t="s">
        <v>25</v>
      </c>
      <c r="B1041" t="s">
        <v>34</v>
      </c>
      <c r="C1041" t="s">
        <v>41</v>
      </c>
      <c r="D1041" t="s">
        <v>60</v>
      </c>
      <c r="E1041" t="s">
        <v>61</v>
      </c>
      <c r="F1041" t="s">
        <v>65</v>
      </c>
      <c r="G1041">
        <v>681.14</v>
      </c>
      <c r="H1041">
        <v>10</v>
      </c>
      <c r="I1041">
        <v>613.02599999999995</v>
      </c>
      <c r="J1041">
        <v>4</v>
      </c>
      <c r="K1041">
        <v>2452.1</v>
      </c>
      <c r="L1041">
        <v>367.81</v>
      </c>
      <c r="M1041" s="2">
        <v>45671</v>
      </c>
      <c r="N1041" s="2">
        <v>45677</v>
      </c>
    </row>
    <row r="1042" spans="1:14" x14ac:dyDescent="0.3">
      <c r="A1042" t="s">
        <v>17</v>
      </c>
      <c r="B1042" t="s">
        <v>32</v>
      </c>
      <c r="C1042" t="s">
        <v>37</v>
      </c>
      <c r="D1042" t="s">
        <v>59</v>
      </c>
      <c r="E1042" t="s">
        <v>63</v>
      </c>
      <c r="F1042" t="s">
        <v>75</v>
      </c>
      <c r="G1042">
        <v>9106.7199999999993</v>
      </c>
      <c r="H1042">
        <v>5</v>
      </c>
      <c r="I1042">
        <v>8651.3839999999982</v>
      </c>
      <c r="J1042">
        <v>4</v>
      </c>
      <c r="K1042">
        <v>34605.54</v>
      </c>
      <c r="L1042">
        <v>12111.94</v>
      </c>
      <c r="M1042" s="2">
        <v>45398</v>
      </c>
      <c r="N1042" s="2">
        <v>45400</v>
      </c>
    </row>
    <row r="1043" spans="1:14" x14ac:dyDescent="0.3">
      <c r="A1043" t="s">
        <v>22</v>
      </c>
      <c r="B1043" t="s">
        <v>31</v>
      </c>
      <c r="C1043" t="s">
        <v>47</v>
      </c>
      <c r="D1043" t="s">
        <v>59</v>
      </c>
      <c r="E1043" t="s">
        <v>63</v>
      </c>
      <c r="F1043" t="s">
        <v>68</v>
      </c>
      <c r="G1043">
        <v>4128.76</v>
      </c>
      <c r="H1043">
        <v>20</v>
      </c>
      <c r="I1043">
        <v>3303.0079999999998</v>
      </c>
      <c r="J1043">
        <v>5</v>
      </c>
      <c r="K1043">
        <v>16515.04</v>
      </c>
      <c r="L1043">
        <v>5780.26</v>
      </c>
      <c r="M1043" s="2">
        <v>45515</v>
      </c>
      <c r="N1043" s="2">
        <v>45524</v>
      </c>
    </row>
    <row r="1044" spans="1:14" x14ac:dyDescent="0.3">
      <c r="A1044" t="s">
        <v>23</v>
      </c>
      <c r="B1044" t="s">
        <v>35</v>
      </c>
      <c r="C1044" t="s">
        <v>38</v>
      </c>
      <c r="D1044" t="s">
        <v>59</v>
      </c>
      <c r="E1044" t="s">
        <v>63</v>
      </c>
      <c r="F1044" t="s">
        <v>75</v>
      </c>
      <c r="G1044">
        <v>28191.37</v>
      </c>
      <c r="H1044">
        <v>15</v>
      </c>
      <c r="I1044">
        <v>23962.664499999999</v>
      </c>
      <c r="J1044">
        <v>3</v>
      </c>
      <c r="K1044">
        <v>71887.990000000005</v>
      </c>
      <c r="L1044">
        <v>25160.799999999999</v>
      </c>
      <c r="M1044" s="2">
        <v>45834</v>
      </c>
      <c r="N1044" s="2">
        <v>45841</v>
      </c>
    </row>
    <row r="1045" spans="1:14" x14ac:dyDescent="0.3">
      <c r="A1045" t="s">
        <v>24</v>
      </c>
      <c r="B1045" t="s">
        <v>32</v>
      </c>
      <c r="C1045" t="s">
        <v>37</v>
      </c>
      <c r="D1045" t="s">
        <v>59</v>
      </c>
      <c r="E1045" t="s">
        <v>62</v>
      </c>
      <c r="F1045" t="s">
        <v>66</v>
      </c>
      <c r="G1045">
        <v>31873.94</v>
      </c>
      <c r="H1045">
        <v>25</v>
      </c>
      <c r="I1045">
        <v>23905.455000000002</v>
      </c>
      <c r="J1045">
        <v>3</v>
      </c>
      <c r="K1045">
        <v>71716.36</v>
      </c>
      <c r="L1045">
        <v>25100.73</v>
      </c>
      <c r="M1045" s="2">
        <v>45329</v>
      </c>
      <c r="N1045" s="2">
        <v>45333</v>
      </c>
    </row>
    <row r="1046" spans="1:14" x14ac:dyDescent="0.3">
      <c r="A1046" t="s">
        <v>17</v>
      </c>
      <c r="B1046" t="s">
        <v>32</v>
      </c>
      <c r="C1046" t="s">
        <v>43</v>
      </c>
      <c r="D1046" t="s">
        <v>58</v>
      </c>
      <c r="E1046" t="s">
        <v>61</v>
      </c>
      <c r="F1046" t="s">
        <v>71</v>
      </c>
      <c r="G1046">
        <v>7854.91</v>
      </c>
      <c r="H1046">
        <v>30</v>
      </c>
      <c r="I1046">
        <v>5498.4369999999999</v>
      </c>
      <c r="J1046">
        <v>5</v>
      </c>
      <c r="K1046">
        <v>27492.18</v>
      </c>
      <c r="L1046">
        <v>6873.05</v>
      </c>
      <c r="M1046" s="2">
        <v>45745</v>
      </c>
      <c r="N1046" s="2">
        <v>45751</v>
      </c>
    </row>
    <row r="1047" spans="1:14" x14ac:dyDescent="0.3">
      <c r="A1047" t="s">
        <v>18</v>
      </c>
      <c r="B1047" t="s">
        <v>33</v>
      </c>
      <c r="C1047" t="s">
        <v>39</v>
      </c>
      <c r="D1047" t="s">
        <v>58</v>
      </c>
      <c r="E1047" t="s">
        <v>61</v>
      </c>
      <c r="F1047" t="s">
        <v>70</v>
      </c>
      <c r="G1047">
        <v>48828.11</v>
      </c>
      <c r="H1047">
        <v>5</v>
      </c>
      <c r="I1047">
        <v>46386.7045</v>
      </c>
      <c r="J1047">
        <v>4</v>
      </c>
      <c r="K1047">
        <v>185546.82</v>
      </c>
      <c r="L1047">
        <v>46386.71</v>
      </c>
      <c r="M1047" s="2">
        <v>45559</v>
      </c>
      <c r="N1047" s="2">
        <v>45563</v>
      </c>
    </row>
    <row r="1048" spans="1:14" x14ac:dyDescent="0.3">
      <c r="A1048" t="s">
        <v>28</v>
      </c>
      <c r="B1048" t="s">
        <v>34</v>
      </c>
      <c r="C1048" t="s">
        <v>51</v>
      </c>
      <c r="D1048" t="s">
        <v>59</v>
      </c>
      <c r="E1048" t="s">
        <v>63</v>
      </c>
      <c r="F1048" t="s">
        <v>75</v>
      </c>
      <c r="G1048">
        <v>1635.48</v>
      </c>
      <c r="H1048">
        <v>0</v>
      </c>
      <c r="I1048">
        <v>1635.48</v>
      </c>
      <c r="J1048">
        <v>4</v>
      </c>
      <c r="K1048">
        <v>6541.92</v>
      </c>
      <c r="L1048">
        <v>2289.67</v>
      </c>
      <c r="M1048" s="2">
        <v>45681</v>
      </c>
      <c r="N1048" s="2">
        <v>45688</v>
      </c>
    </row>
    <row r="1049" spans="1:14" x14ac:dyDescent="0.3">
      <c r="A1049" t="s">
        <v>20</v>
      </c>
      <c r="B1049" t="s">
        <v>32</v>
      </c>
      <c r="C1049" t="s">
        <v>43</v>
      </c>
      <c r="D1049" t="s">
        <v>58</v>
      </c>
      <c r="E1049" t="s">
        <v>64</v>
      </c>
      <c r="F1049" t="s">
        <v>74</v>
      </c>
      <c r="G1049">
        <v>33636.17</v>
      </c>
      <c r="H1049">
        <v>20</v>
      </c>
      <c r="I1049">
        <v>26908.936000000002</v>
      </c>
      <c r="J1049">
        <v>1</v>
      </c>
      <c r="K1049">
        <v>26908.94</v>
      </c>
      <c r="L1049">
        <v>6727.23</v>
      </c>
      <c r="M1049" s="2">
        <v>45817</v>
      </c>
      <c r="N1049" s="2">
        <v>45827</v>
      </c>
    </row>
    <row r="1050" spans="1:14" x14ac:dyDescent="0.3">
      <c r="A1050" t="s">
        <v>19</v>
      </c>
      <c r="B1050" t="s">
        <v>33</v>
      </c>
      <c r="C1050" t="s">
        <v>53</v>
      </c>
      <c r="D1050" t="s">
        <v>58</v>
      </c>
      <c r="E1050" t="s">
        <v>61</v>
      </c>
      <c r="F1050" t="s">
        <v>71</v>
      </c>
      <c r="G1050">
        <v>1922.4</v>
      </c>
      <c r="H1050">
        <v>15</v>
      </c>
      <c r="I1050">
        <v>1634.04</v>
      </c>
      <c r="J1050">
        <v>4</v>
      </c>
      <c r="K1050">
        <v>6536.16</v>
      </c>
      <c r="L1050">
        <v>1634.04</v>
      </c>
      <c r="M1050" s="2">
        <v>45650</v>
      </c>
      <c r="N1050" s="2">
        <v>45657</v>
      </c>
    </row>
    <row r="1051" spans="1:14" x14ac:dyDescent="0.3">
      <c r="A1051" t="s">
        <v>28</v>
      </c>
      <c r="B1051" t="s">
        <v>34</v>
      </c>
      <c r="C1051" t="s">
        <v>49</v>
      </c>
      <c r="D1051" t="s">
        <v>59</v>
      </c>
      <c r="E1051" t="s">
        <v>62</v>
      </c>
      <c r="F1051" t="s">
        <v>66</v>
      </c>
      <c r="G1051">
        <v>1877.69</v>
      </c>
      <c r="H1051">
        <v>25</v>
      </c>
      <c r="I1051">
        <v>1408.2674999999999</v>
      </c>
      <c r="J1051">
        <v>1</v>
      </c>
      <c r="K1051">
        <v>1408.27</v>
      </c>
      <c r="L1051">
        <v>492.89</v>
      </c>
      <c r="M1051" s="2">
        <v>45524</v>
      </c>
      <c r="N1051" s="2">
        <v>45529</v>
      </c>
    </row>
    <row r="1052" spans="1:14" x14ac:dyDescent="0.3">
      <c r="A1052" t="s">
        <v>27</v>
      </c>
      <c r="B1052" t="s">
        <v>35</v>
      </c>
      <c r="C1052" t="s">
        <v>48</v>
      </c>
      <c r="D1052" t="s">
        <v>58</v>
      </c>
      <c r="E1052" t="s">
        <v>64</v>
      </c>
      <c r="F1052" t="s">
        <v>72</v>
      </c>
      <c r="G1052">
        <v>8407.94</v>
      </c>
      <c r="H1052">
        <v>10</v>
      </c>
      <c r="I1052">
        <v>7567.1460000000006</v>
      </c>
      <c r="J1052">
        <v>5</v>
      </c>
      <c r="K1052">
        <v>37835.730000000003</v>
      </c>
      <c r="L1052">
        <v>9458.93</v>
      </c>
      <c r="M1052" s="2">
        <v>45502</v>
      </c>
      <c r="N1052" s="2">
        <v>45504</v>
      </c>
    </row>
    <row r="1053" spans="1:14" x14ac:dyDescent="0.3">
      <c r="A1053" t="s">
        <v>24</v>
      </c>
      <c r="B1053" t="s">
        <v>32</v>
      </c>
      <c r="C1053" t="s">
        <v>40</v>
      </c>
      <c r="D1053" t="s">
        <v>59</v>
      </c>
      <c r="E1053" t="s">
        <v>63</v>
      </c>
      <c r="F1053" t="s">
        <v>68</v>
      </c>
      <c r="G1053">
        <v>29551.17</v>
      </c>
      <c r="H1053">
        <v>25</v>
      </c>
      <c r="I1053">
        <v>22163.377499999999</v>
      </c>
      <c r="J1053">
        <v>5</v>
      </c>
      <c r="K1053">
        <v>110816.89</v>
      </c>
      <c r="L1053">
        <v>38785.910000000003</v>
      </c>
      <c r="M1053" s="2">
        <v>45328</v>
      </c>
      <c r="N1053" s="2">
        <v>45338</v>
      </c>
    </row>
    <row r="1054" spans="1:14" x14ac:dyDescent="0.3">
      <c r="A1054" t="s">
        <v>20</v>
      </c>
      <c r="B1054" t="s">
        <v>32</v>
      </c>
      <c r="C1054" t="s">
        <v>37</v>
      </c>
      <c r="D1054" t="s">
        <v>59</v>
      </c>
      <c r="E1054" t="s">
        <v>61</v>
      </c>
      <c r="F1054" t="s">
        <v>65</v>
      </c>
      <c r="G1054">
        <v>36003.51</v>
      </c>
      <c r="H1054">
        <v>5</v>
      </c>
      <c r="I1054">
        <v>34203.334499999997</v>
      </c>
      <c r="J1054">
        <v>5</v>
      </c>
      <c r="K1054">
        <v>171016.67</v>
      </c>
      <c r="L1054">
        <v>59855.83</v>
      </c>
      <c r="M1054" s="2">
        <v>45352</v>
      </c>
      <c r="N1054" s="2">
        <v>45358</v>
      </c>
    </row>
    <row r="1055" spans="1:14" x14ac:dyDescent="0.3">
      <c r="A1055" t="s">
        <v>28</v>
      </c>
      <c r="B1055" t="s">
        <v>34</v>
      </c>
      <c r="C1055" t="s">
        <v>52</v>
      </c>
      <c r="D1055" t="s">
        <v>60</v>
      </c>
      <c r="E1055" t="s">
        <v>63</v>
      </c>
      <c r="F1055" t="s">
        <v>73</v>
      </c>
      <c r="G1055">
        <v>1219.95</v>
      </c>
      <c r="H1055">
        <v>25</v>
      </c>
      <c r="I1055">
        <v>914.96250000000009</v>
      </c>
      <c r="J1055">
        <v>2</v>
      </c>
      <c r="K1055">
        <v>1829.93</v>
      </c>
      <c r="L1055">
        <v>274.49</v>
      </c>
      <c r="M1055" s="2">
        <v>45313</v>
      </c>
      <c r="N1055" s="2">
        <v>45322</v>
      </c>
    </row>
    <row r="1056" spans="1:14" x14ac:dyDescent="0.3">
      <c r="A1056" t="s">
        <v>16</v>
      </c>
      <c r="B1056" t="s">
        <v>31</v>
      </c>
      <c r="C1056" t="s">
        <v>42</v>
      </c>
      <c r="D1056" t="s">
        <v>60</v>
      </c>
      <c r="E1056" t="s">
        <v>63</v>
      </c>
      <c r="F1056" t="s">
        <v>73</v>
      </c>
      <c r="G1056">
        <v>1949.44</v>
      </c>
      <c r="H1056">
        <v>30</v>
      </c>
      <c r="I1056">
        <v>1364.6079999999999</v>
      </c>
      <c r="J1056">
        <v>2</v>
      </c>
      <c r="K1056">
        <v>2729.22</v>
      </c>
      <c r="L1056">
        <v>409.38</v>
      </c>
      <c r="M1056" s="2">
        <v>45633</v>
      </c>
      <c r="N1056" s="2">
        <v>45636</v>
      </c>
    </row>
    <row r="1057" spans="1:14" x14ac:dyDescent="0.3">
      <c r="A1057" t="s">
        <v>23</v>
      </c>
      <c r="B1057" t="s">
        <v>35</v>
      </c>
      <c r="C1057" t="s">
        <v>44</v>
      </c>
      <c r="D1057" t="s">
        <v>60</v>
      </c>
      <c r="E1057" t="s">
        <v>62</v>
      </c>
      <c r="F1057" t="s">
        <v>66</v>
      </c>
      <c r="G1057">
        <v>21084.94</v>
      </c>
      <c r="H1057">
        <v>5</v>
      </c>
      <c r="I1057">
        <v>20030.692999999999</v>
      </c>
      <c r="J1057">
        <v>1</v>
      </c>
      <c r="K1057">
        <v>20030.689999999999</v>
      </c>
      <c r="L1057">
        <v>3004.6</v>
      </c>
      <c r="M1057" s="2">
        <v>45701</v>
      </c>
      <c r="N1057" s="2">
        <v>45709</v>
      </c>
    </row>
    <row r="1058" spans="1:14" x14ac:dyDescent="0.3">
      <c r="A1058" t="s">
        <v>22</v>
      </c>
      <c r="B1058" t="s">
        <v>31</v>
      </c>
      <c r="C1058" t="s">
        <v>36</v>
      </c>
      <c r="D1058" t="s">
        <v>58</v>
      </c>
      <c r="E1058" t="s">
        <v>62</v>
      </c>
      <c r="F1058" t="s">
        <v>66</v>
      </c>
      <c r="G1058">
        <v>3732.18</v>
      </c>
      <c r="H1058">
        <v>10</v>
      </c>
      <c r="I1058">
        <v>3358.962</v>
      </c>
      <c r="J1058">
        <v>5</v>
      </c>
      <c r="K1058">
        <v>16794.810000000001</v>
      </c>
      <c r="L1058">
        <v>4198.7</v>
      </c>
      <c r="M1058" s="2">
        <v>45500</v>
      </c>
      <c r="N1058" s="2">
        <v>45509</v>
      </c>
    </row>
    <row r="1059" spans="1:14" x14ac:dyDescent="0.3">
      <c r="A1059" t="s">
        <v>22</v>
      </c>
      <c r="B1059" t="s">
        <v>31</v>
      </c>
      <c r="C1059" t="s">
        <v>42</v>
      </c>
      <c r="D1059" t="s">
        <v>60</v>
      </c>
      <c r="E1059" t="s">
        <v>64</v>
      </c>
      <c r="F1059" t="s">
        <v>72</v>
      </c>
      <c r="G1059">
        <v>3181.86</v>
      </c>
      <c r="H1059">
        <v>25</v>
      </c>
      <c r="I1059">
        <v>2386.395</v>
      </c>
      <c r="J1059">
        <v>2</v>
      </c>
      <c r="K1059">
        <v>4772.79</v>
      </c>
      <c r="L1059">
        <v>715.92</v>
      </c>
      <c r="M1059" s="2">
        <v>45367</v>
      </c>
      <c r="N1059" s="2">
        <v>45373</v>
      </c>
    </row>
    <row r="1060" spans="1:14" x14ac:dyDescent="0.3">
      <c r="A1060" t="s">
        <v>20</v>
      </c>
      <c r="B1060" t="s">
        <v>32</v>
      </c>
      <c r="C1060" t="s">
        <v>54</v>
      </c>
      <c r="D1060" t="s">
        <v>60</v>
      </c>
      <c r="E1060" t="s">
        <v>61</v>
      </c>
      <c r="F1060" t="s">
        <v>65</v>
      </c>
      <c r="G1060">
        <v>25719.33</v>
      </c>
      <c r="H1060">
        <v>30</v>
      </c>
      <c r="I1060">
        <v>18003.530999999999</v>
      </c>
      <c r="J1060">
        <v>5</v>
      </c>
      <c r="K1060">
        <v>90017.65</v>
      </c>
      <c r="L1060">
        <v>13502.65</v>
      </c>
      <c r="M1060" s="2">
        <v>45857</v>
      </c>
      <c r="N1060" s="2">
        <v>45867</v>
      </c>
    </row>
    <row r="1061" spans="1:14" x14ac:dyDescent="0.3">
      <c r="A1061" t="s">
        <v>27</v>
      </c>
      <c r="B1061" t="s">
        <v>35</v>
      </c>
      <c r="C1061" t="s">
        <v>46</v>
      </c>
      <c r="D1061" t="s">
        <v>59</v>
      </c>
      <c r="E1061" t="s">
        <v>61</v>
      </c>
      <c r="F1061" t="s">
        <v>71</v>
      </c>
      <c r="G1061">
        <v>9751.65</v>
      </c>
      <c r="H1061">
        <v>15</v>
      </c>
      <c r="I1061">
        <v>8288.9025000000001</v>
      </c>
      <c r="J1061">
        <v>4</v>
      </c>
      <c r="K1061">
        <v>33155.61</v>
      </c>
      <c r="L1061">
        <v>11604.46</v>
      </c>
      <c r="M1061" s="2">
        <v>45701</v>
      </c>
      <c r="N1061" s="2">
        <v>45705</v>
      </c>
    </row>
    <row r="1062" spans="1:14" x14ac:dyDescent="0.3">
      <c r="A1062" t="s">
        <v>23</v>
      </c>
      <c r="B1062" t="s">
        <v>35</v>
      </c>
      <c r="C1062" t="s">
        <v>46</v>
      </c>
      <c r="D1062" t="s">
        <v>59</v>
      </c>
      <c r="E1062" t="s">
        <v>62</v>
      </c>
      <c r="F1062" t="s">
        <v>69</v>
      </c>
      <c r="G1062">
        <v>31018.36</v>
      </c>
      <c r="H1062">
        <v>20</v>
      </c>
      <c r="I1062">
        <v>24814.687999999998</v>
      </c>
      <c r="J1062">
        <v>2</v>
      </c>
      <c r="K1062">
        <v>49629.38</v>
      </c>
      <c r="L1062">
        <v>17370.28</v>
      </c>
      <c r="M1062" s="2">
        <v>45591</v>
      </c>
      <c r="N1062" s="2">
        <v>45597</v>
      </c>
    </row>
    <row r="1063" spans="1:14" x14ac:dyDescent="0.3">
      <c r="A1063" t="s">
        <v>20</v>
      </c>
      <c r="B1063" t="s">
        <v>32</v>
      </c>
      <c r="C1063" t="s">
        <v>54</v>
      </c>
      <c r="D1063" t="s">
        <v>60</v>
      </c>
      <c r="E1063" t="s">
        <v>61</v>
      </c>
      <c r="F1063" t="s">
        <v>71</v>
      </c>
      <c r="G1063">
        <v>24324.959999999999</v>
      </c>
      <c r="H1063">
        <v>10</v>
      </c>
      <c r="I1063">
        <v>21892.464</v>
      </c>
      <c r="J1063">
        <v>2</v>
      </c>
      <c r="K1063">
        <v>43784.93</v>
      </c>
      <c r="L1063">
        <v>6567.74</v>
      </c>
      <c r="M1063" s="2">
        <v>45646</v>
      </c>
      <c r="N1063" s="2">
        <v>45656</v>
      </c>
    </row>
    <row r="1064" spans="1:14" x14ac:dyDescent="0.3">
      <c r="A1064" t="s">
        <v>19</v>
      </c>
      <c r="B1064" t="s">
        <v>33</v>
      </c>
      <c r="C1064" t="s">
        <v>57</v>
      </c>
      <c r="D1064" t="s">
        <v>60</v>
      </c>
      <c r="E1064" t="s">
        <v>61</v>
      </c>
      <c r="F1064" t="s">
        <v>71</v>
      </c>
      <c r="G1064">
        <v>1595.31</v>
      </c>
      <c r="H1064">
        <v>15</v>
      </c>
      <c r="I1064">
        <v>1356.0135</v>
      </c>
      <c r="J1064">
        <v>2</v>
      </c>
      <c r="K1064">
        <v>2712.03</v>
      </c>
      <c r="L1064">
        <v>406.8</v>
      </c>
      <c r="M1064" s="2">
        <v>45382</v>
      </c>
      <c r="N1064" s="2">
        <v>45384</v>
      </c>
    </row>
    <row r="1065" spans="1:14" x14ac:dyDescent="0.3">
      <c r="A1065" t="s">
        <v>17</v>
      </c>
      <c r="B1065" t="s">
        <v>32</v>
      </c>
      <c r="C1065" t="s">
        <v>54</v>
      </c>
      <c r="D1065" t="s">
        <v>60</v>
      </c>
      <c r="E1065" t="s">
        <v>64</v>
      </c>
      <c r="F1065" t="s">
        <v>72</v>
      </c>
      <c r="G1065">
        <v>7458.88</v>
      </c>
      <c r="H1065">
        <v>15</v>
      </c>
      <c r="I1065">
        <v>6340.0479999999998</v>
      </c>
      <c r="J1065">
        <v>3</v>
      </c>
      <c r="K1065">
        <v>19020.14</v>
      </c>
      <c r="L1065">
        <v>2853.02</v>
      </c>
      <c r="M1065" s="2">
        <v>45605</v>
      </c>
      <c r="N1065" s="2">
        <v>45608</v>
      </c>
    </row>
    <row r="1066" spans="1:14" x14ac:dyDescent="0.3">
      <c r="A1066" t="s">
        <v>29</v>
      </c>
      <c r="B1066" t="s">
        <v>35</v>
      </c>
      <c r="C1066" t="s">
        <v>46</v>
      </c>
      <c r="D1066" t="s">
        <v>59</v>
      </c>
      <c r="E1066" t="s">
        <v>62</v>
      </c>
      <c r="F1066" t="s">
        <v>69</v>
      </c>
      <c r="G1066">
        <v>21980.49</v>
      </c>
      <c r="H1066">
        <v>0</v>
      </c>
      <c r="I1066">
        <v>21980.49</v>
      </c>
      <c r="J1066">
        <v>2</v>
      </c>
      <c r="K1066">
        <v>43960.98</v>
      </c>
      <c r="L1066">
        <v>15386.34</v>
      </c>
      <c r="M1066" s="2">
        <v>45467</v>
      </c>
      <c r="N1066" s="2">
        <v>45473</v>
      </c>
    </row>
    <row r="1067" spans="1:14" x14ac:dyDescent="0.3">
      <c r="A1067" t="s">
        <v>25</v>
      </c>
      <c r="B1067" t="s">
        <v>34</v>
      </c>
      <c r="C1067" t="s">
        <v>52</v>
      </c>
      <c r="D1067" t="s">
        <v>60</v>
      </c>
      <c r="E1067" t="s">
        <v>63</v>
      </c>
      <c r="F1067" t="s">
        <v>75</v>
      </c>
      <c r="G1067">
        <v>616.08000000000004</v>
      </c>
      <c r="H1067">
        <v>15</v>
      </c>
      <c r="I1067">
        <v>523.66800000000001</v>
      </c>
      <c r="J1067">
        <v>1</v>
      </c>
      <c r="K1067">
        <v>523.66999999999996</v>
      </c>
      <c r="L1067">
        <v>78.55</v>
      </c>
      <c r="M1067" s="2">
        <v>45420</v>
      </c>
      <c r="N1067" s="2">
        <v>45430</v>
      </c>
    </row>
    <row r="1068" spans="1:14" x14ac:dyDescent="0.3">
      <c r="A1068" t="s">
        <v>22</v>
      </c>
      <c r="B1068" t="s">
        <v>31</v>
      </c>
      <c r="C1068" t="s">
        <v>47</v>
      </c>
      <c r="D1068" t="s">
        <v>59</v>
      </c>
      <c r="E1068" t="s">
        <v>62</v>
      </c>
      <c r="F1068" t="s">
        <v>67</v>
      </c>
      <c r="G1068">
        <v>4404.55</v>
      </c>
      <c r="H1068">
        <v>25</v>
      </c>
      <c r="I1068">
        <v>3303.4124999999999</v>
      </c>
      <c r="J1068">
        <v>1</v>
      </c>
      <c r="K1068">
        <v>3303.41</v>
      </c>
      <c r="L1068">
        <v>1156.19</v>
      </c>
      <c r="M1068" s="2">
        <v>45430</v>
      </c>
      <c r="N1068" s="2">
        <v>45436</v>
      </c>
    </row>
    <row r="1069" spans="1:14" x14ac:dyDescent="0.3">
      <c r="A1069" t="s">
        <v>18</v>
      </c>
      <c r="B1069" t="s">
        <v>33</v>
      </c>
      <c r="C1069" t="s">
        <v>39</v>
      </c>
      <c r="D1069" t="s">
        <v>58</v>
      </c>
      <c r="E1069" t="s">
        <v>63</v>
      </c>
      <c r="F1069" t="s">
        <v>73</v>
      </c>
      <c r="G1069">
        <v>47643.09</v>
      </c>
      <c r="H1069">
        <v>30</v>
      </c>
      <c r="I1069">
        <v>33350.162999999993</v>
      </c>
      <c r="J1069">
        <v>3</v>
      </c>
      <c r="K1069">
        <v>100050.49</v>
      </c>
      <c r="L1069">
        <v>25012.62</v>
      </c>
      <c r="M1069" s="2">
        <v>45465</v>
      </c>
      <c r="N1069" s="2">
        <v>45471</v>
      </c>
    </row>
    <row r="1070" spans="1:14" x14ac:dyDescent="0.3">
      <c r="A1070" t="s">
        <v>24</v>
      </c>
      <c r="B1070" t="s">
        <v>32</v>
      </c>
      <c r="C1070" t="s">
        <v>37</v>
      </c>
      <c r="D1070" t="s">
        <v>59</v>
      </c>
      <c r="E1070" t="s">
        <v>62</v>
      </c>
      <c r="F1070" t="s">
        <v>69</v>
      </c>
      <c r="G1070">
        <v>30682.03</v>
      </c>
      <c r="H1070">
        <v>0</v>
      </c>
      <c r="I1070">
        <v>30682.03</v>
      </c>
      <c r="J1070">
        <v>2</v>
      </c>
      <c r="K1070">
        <v>61364.06</v>
      </c>
      <c r="L1070">
        <v>21477.42</v>
      </c>
      <c r="M1070" s="2">
        <v>45831</v>
      </c>
      <c r="N1070" s="2">
        <v>45837</v>
      </c>
    </row>
    <row r="1071" spans="1:14" x14ac:dyDescent="0.3">
      <c r="A1071" t="s">
        <v>23</v>
      </c>
      <c r="B1071" t="s">
        <v>35</v>
      </c>
      <c r="C1071" t="s">
        <v>48</v>
      </c>
      <c r="D1071" t="s">
        <v>58</v>
      </c>
      <c r="E1071" t="s">
        <v>62</v>
      </c>
      <c r="F1071" t="s">
        <v>69</v>
      </c>
      <c r="G1071">
        <v>25400.63</v>
      </c>
      <c r="H1071">
        <v>25</v>
      </c>
      <c r="I1071">
        <v>19050.4725</v>
      </c>
      <c r="J1071">
        <v>5</v>
      </c>
      <c r="K1071">
        <v>95252.36</v>
      </c>
      <c r="L1071">
        <v>23813.09</v>
      </c>
      <c r="M1071" s="2">
        <v>45831</v>
      </c>
      <c r="N1071" s="2">
        <v>45833</v>
      </c>
    </row>
    <row r="1072" spans="1:14" x14ac:dyDescent="0.3">
      <c r="A1072" t="s">
        <v>21</v>
      </c>
      <c r="B1072" t="s">
        <v>34</v>
      </c>
      <c r="C1072" t="s">
        <v>49</v>
      </c>
      <c r="D1072" t="s">
        <v>59</v>
      </c>
      <c r="E1072" t="s">
        <v>63</v>
      </c>
      <c r="F1072" t="s">
        <v>73</v>
      </c>
      <c r="G1072">
        <v>3512.46</v>
      </c>
      <c r="H1072">
        <v>10</v>
      </c>
      <c r="I1072">
        <v>3161.2139999999999</v>
      </c>
      <c r="J1072">
        <v>4</v>
      </c>
      <c r="K1072">
        <v>12644.86</v>
      </c>
      <c r="L1072">
        <v>4425.7</v>
      </c>
      <c r="M1072" s="2">
        <v>45727</v>
      </c>
      <c r="N1072" s="2">
        <v>45734</v>
      </c>
    </row>
    <row r="1073" spans="1:14" x14ac:dyDescent="0.3">
      <c r="A1073" t="s">
        <v>22</v>
      </c>
      <c r="B1073" t="s">
        <v>31</v>
      </c>
      <c r="C1073" t="s">
        <v>47</v>
      </c>
      <c r="D1073" t="s">
        <v>59</v>
      </c>
      <c r="E1073" t="s">
        <v>64</v>
      </c>
      <c r="F1073" t="s">
        <v>74</v>
      </c>
      <c r="G1073">
        <v>4742.08</v>
      </c>
      <c r="H1073">
        <v>25</v>
      </c>
      <c r="I1073">
        <v>3556.56</v>
      </c>
      <c r="J1073">
        <v>1</v>
      </c>
      <c r="K1073">
        <v>3556.56</v>
      </c>
      <c r="L1073">
        <v>1244.8</v>
      </c>
      <c r="M1073" s="2">
        <v>45520</v>
      </c>
      <c r="N1073" s="2">
        <v>45529</v>
      </c>
    </row>
    <row r="1074" spans="1:14" x14ac:dyDescent="0.3">
      <c r="A1074" t="s">
        <v>30</v>
      </c>
      <c r="B1074" t="s">
        <v>33</v>
      </c>
      <c r="C1074" t="s">
        <v>53</v>
      </c>
      <c r="D1074" t="s">
        <v>58</v>
      </c>
      <c r="E1074" t="s">
        <v>64</v>
      </c>
      <c r="F1074" t="s">
        <v>74</v>
      </c>
      <c r="G1074">
        <v>16112.3</v>
      </c>
      <c r="H1074">
        <v>20</v>
      </c>
      <c r="I1074">
        <v>12889.84</v>
      </c>
      <c r="J1074">
        <v>2</v>
      </c>
      <c r="K1074">
        <v>25779.68</v>
      </c>
      <c r="L1074">
        <v>6444.92</v>
      </c>
      <c r="M1074" s="2">
        <v>45460</v>
      </c>
      <c r="N1074" s="2">
        <v>45470</v>
      </c>
    </row>
    <row r="1075" spans="1:14" x14ac:dyDescent="0.3">
      <c r="A1075" t="s">
        <v>27</v>
      </c>
      <c r="B1075" t="s">
        <v>35</v>
      </c>
      <c r="C1075" t="s">
        <v>44</v>
      </c>
      <c r="D1075" t="s">
        <v>60</v>
      </c>
      <c r="E1075" t="s">
        <v>64</v>
      </c>
      <c r="F1075" t="s">
        <v>74</v>
      </c>
      <c r="G1075">
        <v>7673.37</v>
      </c>
      <c r="H1075">
        <v>5</v>
      </c>
      <c r="I1075">
        <v>7289.7014999999992</v>
      </c>
      <c r="J1075">
        <v>5</v>
      </c>
      <c r="K1075">
        <v>36448.51</v>
      </c>
      <c r="L1075">
        <v>5467.28</v>
      </c>
      <c r="M1075" s="2">
        <v>45371</v>
      </c>
      <c r="N1075" s="2">
        <v>45374</v>
      </c>
    </row>
    <row r="1076" spans="1:14" x14ac:dyDescent="0.3">
      <c r="A1076" t="s">
        <v>16</v>
      </c>
      <c r="B1076" t="s">
        <v>31</v>
      </c>
      <c r="C1076" t="s">
        <v>47</v>
      </c>
      <c r="D1076" t="s">
        <v>59</v>
      </c>
      <c r="E1076" t="s">
        <v>62</v>
      </c>
      <c r="F1076" t="s">
        <v>67</v>
      </c>
      <c r="G1076">
        <v>2982.78</v>
      </c>
      <c r="H1076">
        <v>15</v>
      </c>
      <c r="I1076">
        <v>2535.3629999999998</v>
      </c>
      <c r="J1076">
        <v>5</v>
      </c>
      <c r="K1076">
        <v>12676.82</v>
      </c>
      <c r="L1076">
        <v>4436.8900000000003</v>
      </c>
      <c r="M1076" s="2">
        <v>45379</v>
      </c>
      <c r="N1076" s="2">
        <v>45386</v>
      </c>
    </row>
    <row r="1077" spans="1:14" x14ac:dyDescent="0.3">
      <c r="A1077" t="s">
        <v>29</v>
      </c>
      <c r="B1077" t="s">
        <v>35</v>
      </c>
      <c r="C1077" t="s">
        <v>48</v>
      </c>
      <c r="D1077" t="s">
        <v>58</v>
      </c>
      <c r="E1077" t="s">
        <v>64</v>
      </c>
      <c r="F1077" t="s">
        <v>74</v>
      </c>
      <c r="G1077">
        <v>19557.900000000001</v>
      </c>
      <c r="H1077">
        <v>0</v>
      </c>
      <c r="I1077">
        <v>19557.900000000001</v>
      </c>
      <c r="J1077">
        <v>3</v>
      </c>
      <c r="K1077">
        <v>58673.7</v>
      </c>
      <c r="L1077">
        <v>14668.42</v>
      </c>
      <c r="M1077" s="2">
        <v>45702</v>
      </c>
      <c r="N1077" s="2">
        <v>45709</v>
      </c>
    </row>
    <row r="1078" spans="1:14" x14ac:dyDescent="0.3">
      <c r="A1078" t="s">
        <v>29</v>
      </c>
      <c r="B1078" t="s">
        <v>35</v>
      </c>
      <c r="C1078" t="s">
        <v>44</v>
      </c>
      <c r="D1078" t="s">
        <v>60</v>
      </c>
      <c r="E1078" t="s">
        <v>61</v>
      </c>
      <c r="F1078" t="s">
        <v>70</v>
      </c>
      <c r="G1078">
        <v>14955.69</v>
      </c>
      <c r="H1078">
        <v>10</v>
      </c>
      <c r="I1078">
        <v>13460.120999999999</v>
      </c>
      <c r="J1078">
        <v>3</v>
      </c>
      <c r="K1078">
        <v>40380.36</v>
      </c>
      <c r="L1078">
        <v>6057.05</v>
      </c>
      <c r="M1078" s="2">
        <v>45595</v>
      </c>
      <c r="N1078" s="2">
        <v>45605</v>
      </c>
    </row>
    <row r="1079" spans="1:14" x14ac:dyDescent="0.3">
      <c r="A1079" t="s">
        <v>20</v>
      </c>
      <c r="B1079" t="s">
        <v>32</v>
      </c>
      <c r="C1079" t="s">
        <v>40</v>
      </c>
      <c r="D1079" t="s">
        <v>59</v>
      </c>
      <c r="E1079" t="s">
        <v>64</v>
      </c>
      <c r="F1079" t="s">
        <v>74</v>
      </c>
      <c r="G1079">
        <v>39961.64</v>
      </c>
      <c r="H1079">
        <v>10</v>
      </c>
      <c r="I1079">
        <v>35965.476000000002</v>
      </c>
      <c r="J1079">
        <v>3</v>
      </c>
      <c r="K1079">
        <v>107896.43</v>
      </c>
      <c r="L1079">
        <v>37763.75</v>
      </c>
      <c r="M1079" s="2">
        <v>45568</v>
      </c>
      <c r="N1079" s="2">
        <v>45571</v>
      </c>
    </row>
    <row r="1080" spans="1:14" x14ac:dyDescent="0.3">
      <c r="A1080" t="s">
        <v>22</v>
      </c>
      <c r="B1080" t="s">
        <v>31</v>
      </c>
      <c r="C1080" t="s">
        <v>42</v>
      </c>
      <c r="D1080" t="s">
        <v>60</v>
      </c>
      <c r="E1080" t="s">
        <v>62</v>
      </c>
      <c r="F1080" t="s">
        <v>69</v>
      </c>
      <c r="G1080">
        <v>3180.35</v>
      </c>
      <c r="H1080">
        <v>20</v>
      </c>
      <c r="I1080">
        <v>2544.2800000000002</v>
      </c>
      <c r="J1080">
        <v>2</v>
      </c>
      <c r="K1080">
        <v>5088.5600000000004</v>
      </c>
      <c r="L1080">
        <v>763.28</v>
      </c>
      <c r="M1080" s="2">
        <v>45345</v>
      </c>
      <c r="N1080" s="2">
        <v>45352</v>
      </c>
    </row>
    <row r="1081" spans="1:14" x14ac:dyDescent="0.3">
      <c r="A1081" t="s">
        <v>20</v>
      </c>
      <c r="B1081" t="s">
        <v>32</v>
      </c>
      <c r="C1081" t="s">
        <v>37</v>
      </c>
      <c r="D1081" t="s">
        <v>59</v>
      </c>
      <c r="E1081" t="s">
        <v>61</v>
      </c>
      <c r="F1081" t="s">
        <v>65</v>
      </c>
      <c r="G1081">
        <v>34923.839999999997</v>
      </c>
      <c r="H1081">
        <v>25</v>
      </c>
      <c r="I1081">
        <v>26192.880000000001</v>
      </c>
      <c r="J1081">
        <v>3</v>
      </c>
      <c r="K1081">
        <v>78578.64</v>
      </c>
      <c r="L1081">
        <v>27502.52</v>
      </c>
      <c r="M1081" s="2">
        <v>45622</v>
      </c>
      <c r="N1081" s="2">
        <v>45624</v>
      </c>
    </row>
    <row r="1082" spans="1:14" x14ac:dyDescent="0.3">
      <c r="A1082" t="s">
        <v>30</v>
      </c>
      <c r="B1082" t="s">
        <v>33</v>
      </c>
      <c r="C1082" t="s">
        <v>56</v>
      </c>
      <c r="D1082" t="s">
        <v>60</v>
      </c>
      <c r="E1082" t="s">
        <v>63</v>
      </c>
      <c r="F1082" t="s">
        <v>68</v>
      </c>
      <c r="G1082">
        <v>12109.14</v>
      </c>
      <c r="H1082">
        <v>10</v>
      </c>
      <c r="I1082">
        <v>10898.226000000001</v>
      </c>
      <c r="J1082">
        <v>4</v>
      </c>
      <c r="K1082">
        <v>43592.9</v>
      </c>
      <c r="L1082">
        <v>6538.94</v>
      </c>
      <c r="M1082" s="2">
        <v>45762</v>
      </c>
      <c r="N1082" s="2">
        <v>45765</v>
      </c>
    </row>
    <row r="1083" spans="1:14" x14ac:dyDescent="0.3">
      <c r="A1083" t="s">
        <v>16</v>
      </c>
      <c r="B1083" t="s">
        <v>31</v>
      </c>
      <c r="C1083" t="s">
        <v>47</v>
      </c>
      <c r="D1083" t="s">
        <v>59</v>
      </c>
      <c r="E1083" t="s">
        <v>62</v>
      </c>
      <c r="F1083" t="s">
        <v>69</v>
      </c>
      <c r="G1083">
        <v>3220.01</v>
      </c>
      <c r="H1083">
        <v>0</v>
      </c>
      <c r="I1083">
        <v>3220.01</v>
      </c>
      <c r="J1083">
        <v>4</v>
      </c>
      <c r="K1083">
        <v>12880.04</v>
      </c>
      <c r="L1083">
        <v>4508.01</v>
      </c>
      <c r="M1083" s="2">
        <v>45604</v>
      </c>
      <c r="N1083" s="2">
        <v>45614</v>
      </c>
    </row>
    <row r="1084" spans="1:14" x14ac:dyDescent="0.3">
      <c r="A1084" t="s">
        <v>19</v>
      </c>
      <c r="B1084" t="s">
        <v>33</v>
      </c>
      <c r="C1084" t="s">
        <v>38</v>
      </c>
      <c r="D1084" t="s">
        <v>59</v>
      </c>
      <c r="E1084" t="s">
        <v>62</v>
      </c>
      <c r="F1084" t="s">
        <v>69</v>
      </c>
      <c r="G1084">
        <v>2407.7399999999998</v>
      </c>
      <c r="H1084">
        <v>5</v>
      </c>
      <c r="I1084">
        <v>2287.3530000000001</v>
      </c>
      <c r="J1084">
        <v>5</v>
      </c>
      <c r="K1084">
        <v>11436.76</v>
      </c>
      <c r="L1084">
        <v>4002.87</v>
      </c>
      <c r="M1084" s="2">
        <v>45515</v>
      </c>
      <c r="N1084" s="2">
        <v>45524</v>
      </c>
    </row>
    <row r="1085" spans="1:14" x14ac:dyDescent="0.3">
      <c r="A1085" t="s">
        <v>24</v>
      </c>
      <c r="B1085" t="s">
        <v>32</v>
      </c>
      <c r="C1085" t="s">
        <v>40</v>
      </c>
      <c r="D1085" t="s">
        <v>59</v>
      </c>
      <c r="E1085" t="s">
        <v>61</v>
      </c>
      <c r="F1085" t="s">
        <v>71</v>
      </c>
      <c r="G1085">
        <v>28964.85</v>
      </c>
      <c r="H1085">
        <v>30</v>
      </c>
      <c r="I1085">
        <v>20275.395</v>
      </c>
      <c r="J1085">
        <v>1</v>
      </c>
      <c r="K1085">
        <v>20275.39</v>
      </c>
      <c r="L1085">
        <v>7096.39</v>
      </c>
      <c r="M1085" s="2">
        <v>45445</v>
      </c>
      <c r="N1085" s="2">
        <v>45452</v>
      </c>
    </row>
    <row r="1086" spans="1:14" x14ac:dyDescent="0.3">
      <c r="A1086" t="s">
        <v>20</v>
      </c>
      <c r="B1086" t="s">
        <v>32</v>
      </c>
      <c r="C1086" t="s">
        <v>37</v>
      </c>
      <c r="D1086" t="s">
        <v>59</v>
      </c>
      <c r="E1086" t="s">
        <v>62</v>
      </c>
      <c r="F1086" t="s">
        <v>67</v>
      </c>
      <c r="G1086">
        <v>37828.78</v>
      </c>
      <c r="H1086">
        <v>0</v>
      </c>
      <c r="I1086">
        <v>37828.78</v>
      </c>
      <c r="J1086">
        <v>3</v>
      </c>
      <c r="K1086">
        <v>113486.34</v>
      </c>
      <c r="L1086">
        <v>39720.22</v>
      </c>
      <c r="M1086" s="2">
        <v>45421</v>
      </c>
      <c r="N1086" s="2">
        <v>45427</v>
      </c>
    </row>
    <row r="1087" spans="1:14" x14ac:dyDescent="0.3">
      <c r="A1087" t="s">
        <v>24</v>
      </c>
      <c r="B1087" t="s">
        <v>32</v>
      </c>
      <c r="C1087" t="s">
        <v>40</v>
      </c>
      <c r="D1087" t="s">
        <v>59</v>
      </c>
      <c r="E1087" t="s">
        <v>64</v>
      </c>
      <c r="F1087" t="s">
        <v>76</v>
      </c>
      <c r="G1087">
        <v>32546.99</v>
      </c>
      <c r="H1087">
        <v>25</v>
      </c>
      <c r="I1087">
        <v>24410.2425</v>
      </c>
      <c r="J1087">
        <v>5</v>
      </c>
      <c r="K1087">
        <v>122051.21</v>
      </c>
      <c r="L1087">
        <v>42717.919999999998</v>
      </c>
      <c r="M1087" s="2">
        <v>45418</v>
      </c>
      <c r="N1087" s="2">
        <v>45427</v>
      </c>
    </row>
    <row r="1088" spans="1:14" x14ac:dyDescent="0.3">
      <c r="A1088" t="s">
        <v>24</v>
      </c>
      <c r="B1088" t="s">
        <v>32</v>
      </c>
      <c r="C1088" t="s">
        <v>54</v>
      </c>
      <c r="D1088" t="s">
        <v>60</v>
      </c>
      <c r="E1088" t="s">
        <v>61</v>
      </c>
      <c r="F1088" t="s">
        <v>71</v>
      </c>
      <c r="G1088">
        <v>21463.48</v>
      </c>
      <c r="H1088">
        <v>25</v>
      </c>
      <c r="I1088">
        <v>16097.61</v>
      </c>
      <c r="J1088">
        <v>2</v>
      </c>
      <c r="K1088">
        <v>32195.22</v>
      </c>
      <c r="L1088">
        <v>4829.28</v>
      </c>
      <c r="M1088" s="2">
        <v>45674</v>
      </c>
      <c r="N1088" s="2">
        <v>45678</v>
      </c>
    </row>
    <row r="1089" spans="1:14" x14ac:dyDescent="0.3">
      <c r="A1089" t="s">
        <v>23</v>
      </c>
      <c r="B1089" t="s">
        <v>35</v>
      </c>
      <c r="C1089" t="s">
        <v>44</v>
      </c>
      <c r="D1089" t="s">
        <v>60</v>
      </c>
      <c r="E1089" t="s">
        <v>61</v>
      </c>
      <c r="F1089" t="s">
        <v>70</v>
      </c>
      <c r="G1089">
        <v>20792.11</v>
      </c>
      <c r="H1089">
        <v>25</v>
      </c>
      <c r="I1089">
        <v>15594.0825</v>
      </c>
      <c r="J1089">
        <v>4</v>
      </c>
      <c r="K1089">
        <v>62376.33</v>
      </c>
      <c r="L1089">
        <v>9356.4500000000007</v>
      </c>
      <c r="M1089" s="2">
        <v>45357</v>
      </c>
      <c r="N1089" s="2">
        <v>45362</v>
      </c>
    </row>
    <row r="1090" spans="1:14" x14ac:dyDescent="0.3">
      <c r="A1090" t="s">
        <v>19</v>
      </c>
      <c r="B1090" t="s">
        <v>33</v>
      </c>
      <c r="C1090" t="s">
        <v>53</v>
      </c>
      <c r="D1090" t="s">
        <v>58</v>
      </c>
      <c r="E1090" t="s">
        <v>62</v>
      </c>
      <c r="F1090" t="s">
        <v>66</v>
      </c>
      <c r="G1090">
        <v>2168.63</v>
      </c>
      <c r="H1090">
        <v>25</v>
      </c>
      <c r="I1090">
        <v>1626.4725000000001</v>
      </c>
      <c r="J1090">
        <v>1</v>
      </c>
      <c r="K1090">
        <v>1626.47</v>
      </c>
      <c r="L1090">
        <v>406.62</v>
      </c>
      <c r="M1090" s="2">
        <v>45521</v>
      </c>
      <c r="N1090" s="2">
        <v>45529</v>
      </c>
    </row>
    <row r="1091" spans="1:14" x14ac:dyDescent="0.3">
      <c r="A1091" t="s">
        <v>22</v>
      </c>
      <c r="B1091" t="s">
        <v>31</v>
      </c>
      <c r="C1091" t="s">
        <v>47</v>
      </c>
      <c r="D1091" t="s">
        <v>59</v>
      </c>
      <c r="E1091" t="s">
        <v>62</v>
      </c>
      <c r="F1091" t="s">
        <v>69</v>
      </c>
      <c r="G1091">
        <v>4524.0200000000004</v>
      </c>
      <c r="H1091">
        <v>30</v>
      </c>
      <c r="I1091">
        <v>3166.8139999999999</v>
      </c>
      <c r="J1091">
        <v>2</v>
      </c>
      <c r="K1091">
        <v>6333.63</v>
      </c>
      <c r="L1091">
        <v>2216.77</v>
      </c>
      <c r="M1091" s="2">
        <v>45771</v>
      </c>
      <c r="N1091" s="2">
        <v>45773</v>
      </c>
    </row>
    <row r="1092" spans="1:14" x14ac:dyDescent="0.3">
      <c r="A1092" t="s">
        <v>19</v>
      </c>
      <c r="B1092" t="s">
        <v>33</v>
      </c>
      <c r="C1092" t="s">
        <v>53</v>
      </c>
      <c r="D1092" t="s">
        <v>58</v>
      </c>
      <c r="E1092" t="s">
        <v>62</v>
      </c>
      <c r="F1092" t="s">
        <v>67</v>
      </c>
      <c r="G1092">
        <v>2066.04</v>
      </c>
      <c r="H1092">
        <v>20</v>
      </c>
      <c r="I1092">
        <v>1652.8320000000001</v>
      </c>
      <c r="J1092">
        <v>3</v>
      </c>
      <c r="K1092">
        <v>4958.5</v>
      </c>
      <c r="L1092">
        <v>1239.6199999999999</v>
      </c>
      <c r="M1092" s="2">
        <v>45509</v>
      </c>
      <c r="N1092" s="2">
        <v>45516</v>
      </c>
    </row>
    <row r="1093" spans="1:14" x14ac:dyDescent="0.3">
      <c r="A1093" t="s">
        <v>19</v>
      </c>
      <c r="B1093" t="s">
        <v>33</v>
      </c>
      <c r="C1093" t="s">
        <v>53</v>
      </c>
      <c r="D1093" t="s">
        <v>58</v>
      </c>
      <c r="E1093" t="s">
        <v>64</v>
      </c>
      <c r="F1093" t="s">
        <v>74</v>
      </c>
      <c r="G1093">
        <v>2061.41</v>
      </c>
      <c r="H1093">
        <v>15</v>
      </c>
      <c r="I1093">
        <v>1752.1985</v>
      </c>
      <c r="J1093">
        <v>5</v>
      </c>
      <c r="K1093">
        <v>8760.99</v>
      </c>
      <c r="L1093">
        <v>2190.25</v>
      </c>
      <c r="M1093" s="2">
        <v>45385</v>
      </c>
      <c r="N1093" s="2">
        <v>45388</v>
      </c>
    </row>
    <row r="1094" spans="1:14" x14ac:dyDescent="0.3">
      <c r="A1094" t="s">
        <v>27</v>
      </c>
      <c r="B1094" t="s">
        <v>35</v>
      </c>
      <c r="C1094" t="s">
        <v>48</v>
      </c>
      <c r="D1094" t="s">
        <v>58</v>
      </c>
      <c r="E1094" t="s">
        <v>63</v>
      </c>
      <c r="F1094" t="s">
        <v>73</v>
      </c>
      <c r="G1094">
        <v>7958.01</v>
      </c>
      <c r="H1094">
        <v>20</v>
      </c>
      <c r="I1094">
        <v>6366.4080000000004</v>
      </c>
      <c r="J1094">
        <v>4</v>
      </c>
      <c r="K1094">
        <v>25465.63</v>
      </c>
      <c r="L1094">
        <v>6366.41</v>
      </c>
      <c r="M1094" s="2">
        <v>45846</v>
      </c>
      <c r="N1094" s="2">
        <v>45852</v>
      </c>
    </row>
    <row r="1095" spans="1:14" x14ac:dyDescent="0.3">
      <c r="A1095" t="s">
        <v>26</v>
      </c>
      <c r="B1095" t="s">
        <v>32</v>
      </c>
      <c r="C1095" t="s">
        <v>37</v>
      </c>
      <c r="D1095" t="s">
        <v>59</v>
      </c>
      <c r="E1095" t="s">
        <v>61</v>
      </c>
      <c r="F1095" t="s">
        <v>71</v>
      </c>
      <c r="G1095">
        <v>39685.480000000003</v>
      </c>
      <c r="H1095">
        <v>5</v>
      </c>
      <c r="I1095">
        <v>37701.205999999998</v>
      </c>
      <c r="J1095">
        <v>5</v>
      </c>
      <c r="K1095">
        <v>188506.03</v>
      </c>
      <c r="L1095">
        <v>65977.11</v>
      </c>
      <c r="M1095" s="2">
        <v>45708</v>
      </c>
      <c r="N1095" s="2">
        <v>45713</v>
      </c>
    </row>
    <row r="1096" spans="1:14" x14ac:dyDescent="0.3">
      <c r="A1096" t="s">
        <v>29</v>
      </c>
      <c r="B1096" t="s">
        <v>35</v>
      </c>
      <c r="C1096" t="s">
        <v>46</v>
      </c>
      <c r="D1096" t="s">
        <v>59</v>
      </c>
      <c r="E1096" t="s">
        <v>62</v>
      </c>
      <c r="F1096" t="s">
        <v>69</v>
      </c>
      <c r="G1096">
        <v>22134.87</v>
      </c>
      <c r="H1096">
        <v>0</v>
      </c>
      <c r="I1096">
        <v>22134.87</v>
      </c>
      <c r="J1096">
        <v>4</v>
      </c>
      <c r="K1096">
        <v>88539.48</v>
      </c>
      <c r="L1096">
        <v>30988.82</v>
      </c>
      <c r="M1096" s="2">
        <v>45717</v>
      </c>
      <c r="N1096" s="2">
        <v>45720</v>
      </c>
    </row>
    <row r="1097" spans="1:14" x14ac:dyDescent="0.3">
      <c r="A1097" t="s">
        <v>30</v>
      </c>
      <c r="B1097" t="s">
        <v>33</v>
      </c>
      <c r="C1097" t="s">
        <v>53</v>
      </c>
      <c r="D1097" t="s">
        <v>58</v>
      </c>
      <c r="E1097" t="s">
        <v>64</v>
      </c>
      <c r="F1097" t="s">
        <v>74</v>
      </c>
      <c r="G1097">
        <v>15877.32</v>
      </c>
      <c r="H1097">
        <v>0</v>
      </c>
      <c r="I1097">
        <v>15877.32</v>
      </c>
      <c r="J1097">
        <v>4</v>
      </c>
      <c r="K1097">
        <v>63509.279999999999</v>
      </c>
      <c r="L1097">
        <v>15877.32</v>
      </c>
      <c r="M1097" s="2">
        <v>45803</v>
      </c>
      <c r="N1097" s="2">
        <v>45805</v>
      </c>
    </row>
    <row r="1098" spans="1:14" x14ac:dyDescent="0.3">
      <c r="A1098" t="s">
        <v>29</v>
      </c>
      <c r="B1098" t="s">
        <v>35</v>
      </c>
      <c r="C1098" t="s">
        <v>44</v>
      </c>
      <c r="D1098" t="s">
        <v>60</v>
      </c>
      <c r="E1098" t="s">
        <v>64</v>
      </c>
      <c r="F1098" t="s">
        <v>74</v>
      </c>
      <c r="G1098">
        <v>15935.55</v>
      </c>
      <c r="H1098">
        <v>15</v>
      </c>
      <c r="I1098">
        <v>13545.217500000001</v>
      </c>
      <c r="J1098">
        <v>1</v>
      </c>
      <c r="K1098">
        <v>13545.22</v>
      </c>
      <c r="L1098">
        <v>2031.78</v>
      </c>
      <c r="M1098" s="2">
        <v>45433</v>
      </c>
      <c r="N1098" s="2">
        <v>45436</v>
      </c>
    </row>
    <row r="1099" spans="1:14" x14ac:dyDescent="0.3">
      <c r="A1099" t="s">
        <v>30</v>
      </c>
      <c r="B1099" t="s">
        <v>33</v>
      </c>
      <c r="C1099" t="s">
        <v>56</v>
      </c>
      <c r="D1099" t="s">
        <v>60</v>
      </c>
      <c r="E1099" t="s">
        <v>64</v>
      </c>
      <c r="F1099" t="s">
        <v>76</v>
      </c>
      <c r="G1099">
        <v>14143.54</v>
      </c>
      <c r="H1099">
        <v>10</v>
      </c>
      <c r="I1099">
        <v>12729.186</v>
      </c>
      <c r="J1099">
        <v>3</v>
      </c>
      <c r="K1099">
        <v>38187.56</v>
      </c>
      <c r="L1099">
        <v>5728.13</v>
      </c>
      <c r="M1099" s="2">
        <v>45835</v>
      </c>
      <c r="N1099" s="2">
        <v>45840</v>
      </c>
    </row>
    <row r="1100" spans="1:14" x14ac:dyDescent="0.3">
      <c r="A1100" t="s">
        <v>18</v>
      </c>
      <c r="B1100" t="s">
        <v>33</v>
      </c>
      <c r="C1100" t="s">
        <v>57</v>
      </c>
      <c r="D1100" t="s">
        <v>60</v>
      </c>
      <c r="E1100" t="s">
        <v>63</v>
      </c>
      <c r="F1100" t="s">
        <v>68</v>
      </c>
      <c r="G1100">
        <v>41092.699999999997</v>
      </c>
      <c r="H1100">
        <v>15</v>
      </c>
      <c r="I1100">
        <v>34928.794999999998</v>
      </c>
      <c r="J1100">
        <v>3</v>
      </c>
      <c r="K1100">
        <v>104786.38</v>
      </c>
      <c r="L1100">
        <v>15717.96</v>
      </c>
      <c r="M1100" s="2">
        <v>45568</v>
      </c>
      <c r="N1100" s="2">
        <v>45571</v>
      </c>
    </row>
    <row r="1101" spans="1:14" x14ac:dyDescent="0.3">
      <c r="A1101" t="s">
        <v>25</v>
      </c>
      <c r="B1101" t="s">
        <v>34</v>
      </c>
      <c r="C1101" t="s">
        <v>41</v>
      </c>
      <c r="D1101" t="s">
        <v>60</v>
      </c>
      <c r="E1101" t="s">
        <v>63</v>
      </c>
      <c r="F1101" t="s">
        <v>73</v>
      </c>
      <c r="G1101">
        <v>636.46</v>
      </c>
      <c r="H1101">
        <v>15</v>
      </c>
      <c r="I1101">
        <v>540.99099999999999</v>
      </c>
      <c r="J1101">
        <v>3</v>
      </c>
      <c r="K1101">
        <v>1622.97</v>
      </c>
      <c r="L1101">
        <v>243.45</v>
      </c>
      <c r="M1101" s="2">
        <v>45642</v>
      </c>
      <c r="N1101" s="2">
        <v>45647</v>
      </c>
    </row>
    <row r="1102" spans="1:14" x14ac:dyDescent="0.3">
      <c r="A1102" t="s">
        <v>29</v>
      </c>
      <c r="B1102" t="s">
        <v>35</v>
      </c>
      <c r="C1102" t="s">
        <v>48</v>
      </c>
      <c r="D1102" t="s">
        <v>58</v>
      </c>
      <c r="E1102" t="s">
        <v>62</v>
      </c>
      <c r="F1102" t="s">
        <v>66</v>
      </c>
      <c r="G1102">
        <v>18382.73</v>
      </c>
      <c r="H1102">
        <v>5</v>
      </c>
      <c r="I1102">
        <v>17463.593499999999</v>
      </c>
      <c r="J1102">
        <v>1</v>
      </c>
      <c r="K1102">
        <v>17463.59</v>
      </c>
      <c r="L1102">
        <v>4365.8999999999996</v>
      </c>
      <c r="M1102" s="2">
        <v>45816</v>
      </c>
      <c r="N1102" s="2">
        <v>45823</v>
      </c>
    </row>
    <row r="1103" spans="1:14" x14ac:dyDescent="0.3">
      <c r="A1103" t="s">
        <v>24</v>
      </c>
      <c r="B1103" t="s">
        <v>32</v>
      </c>
      <c r="C1103" t="s">
        <v>43</v>
      </c>
      <c r="D1103" t="s">
        <v>58</v>
      </c>
      <c r="E1103" t="s">
        <v>61</v>
      </c>
      <c r="F1103" t="s">
        <v>71</v>
      </c>
      <c r="G1103">
        <v>24380.04</v>
      </c>
      <c r="H1103">
        <v>5</v>
      </c>
      <c r="I1103">
        <v>23161.038</v>
      </c>
      <c r="J1103">
        <v>1</v>
      </c>
      <c r="K1103">
        <v>23161.040000000001</v>
      </c>
      <c r="L1103">
        <v>5790.26</v>
      </c>
      <c r="M1103" s="2">
        <v>45596</v>
      </c>
      <c r="N1103" s="2">
        <v>45601</v>
      </c>
    </row>
    <row r="1104" spans="1:14" x14ac:dyDescent="0.3">
      <c r="A1104" t="s">
        <v>21</v>
      </c>
      <c r="B1104" t="s">
        <v>34</v>
      </c>
      <c r="C1104" t="s">
        <v>52</v>
      </c>
      <c r="D1104" t="s">
        <v>60</v>
      </c>
      <c r="E1104" t="s">
        <v>63</v>
      </c>
      <c r="F1104" t="s">
        <v>73</v>
      </c>
      <c r="G1104">
        <v>2381.81</v>
      </c>
      <c r="H1104">
        <v>25</v>
      </c>
      <c r="I1104">
        <v>1786.3575000000001</v>
      </c>
      <c r="J1104">
        <v>3</v>
      </c>
      <c r="K1104">
        <v>5359.07</v>
      </c>
      <c r="L1104">
        <v>803.86</v>
      </c>
      <c r="M1104" s="2">
        <v>45449</v>
      </c>
      <c r="N1104" s="2">
        <v>45451</v>
      </c>
    </row>
    <row r="1105" spans="1:14" x14ac:dyDescent="0.3">
      <c r="A1105" t="s">
        <v>18</v>
      </c>
      <c r="B1105" t="s">
        <v>33</v>
      </c>
      <c r="C1105" t="s">
        <v>38</v>
      </c>
      <c r="D1105" t="s">
        <v>59</v>
      </c>
      <c r="E1105" t="s">
        <v>61</v>
      </c>
      <c r="F1105" t="s">
        <v>71</v>
      </c>
      <c r="G1105">
        <v>56217.39</v>
      </c>
      <c r="H1105">
        <v>10</v>
      </c>
      <c r="I1105">
        <v>50595.650999999998</v>
      </c>
      <c r="J1105">
        <v>1</v>
      </c>
      <c r="K1105">
        <v>50595.65</v>
      </c>
      <c r="L1105">
        <v>17708.48</v>
      </c>
      <c r="M1105" s="2">
        <v>45561</v>
      </c>
      <c r="N1105" s="2">
        <v>45570</v>
      </c>
    </row>
    <row r="1106" spans="1:14" x14ac:dyDescent="0.3">
      <c r="A1106" t="s">
        <v>30</v>
      </c>
      <c r="B1106" t="s">
        <v>33</v>
      </c>
      <c r="C1106" t="s">
        <v>38</v>
      </c>
      <c r="D1106" t="s">
        <v>59</v>
      </c>
      <c r="E1106" t="s">
        <v>64</v>
      </c>
      <c r="F1106" t="s">
        <v>72</v>
      </c>
      <c r="G1106">
        <v>18721.5</v>
      </c>
      <c r="H1106">
        <v>25</v>
      </c>
      <c r="I1106">
        <v>14041.125</v>
      </c>
      <c r="J1106">
        <v>1</v>
      </c>
      <c r="K1106">
        <v>14041.12</v>
      </c>
      <c r="L1106">
        <v>4914.3900000000003</v>
      </c>
      <c r="M1106" s="2">
        <v>45582</v>
      </c>
      <c r="N1106" s="2">
        <v>45587</v>
      </c>
    </row>
    <row r="1107" spans="1:14" x14ac:dyDescent="0.3">
      <c r="A1107" t="s">
        <v>27</v>
      </c>
      <c r="B1107" t="s">
        <v>35</v>
      </c>
      <c r="C1107" t="s">
        <v>48</v>
      </c>
      <c r="D1107" t="s">
        <v>58</v>
      </c>
      <c r="E1107" t="s">
        <v>62</v>
      </c>
      <c r="F1107" t="s">
        <v>66</v>
      </c>
      <c r="G1107">
        <v>8607.89</v>
      </c>
      <c r="H1107">
        <v>30</v>
      </c>
      <c r="I1107">
        <v>6025.5229999999992</v>
      </c>
      <c r="J1107">
        <v>1</v>
      </c>
      <c r="K1107">
        <v>6025.52</v>
      </c>
      <c r="L1107">
        <v>1506.38</v>
      </c>
      <c r="M1107" s="2">
        <v>45595</v>
      </c>
      <c r="N1107" s="2">
        <v>45597</v>
      </c>
    </row>
    <row r="1108" spans="1:14" x14ac:dyDescent="0.3">
      <c r="A1108" t="s">
        <v>30</v>
      </c>
      <c r="B1108" t="s">
        <v>33</v>
      </c>
      <c r="C1108" t="s">
        <v>56</v>
      </c>
      <c r="D1108" t="s">
        <v>60</v>
      </c>
      <c r="E1108" t="s">
        <v>62</v>
      </c>
      <c r="F1108" t="s">
        <v>66</v>
      </c>
      <c r="G1108">
        <v>13445.68</v>
      </c>
      <c r="H1108">
        <v>0</v>
      </c>
      <c r="I1108">
        <v>13445.68</v>
      </c>
      <c r="J1108">
        <v>1</v>
      </c>
      <c r="K1108">
        <v>13445.68</v>
      </c>
      <c r="L1108">
        <v>2016.85</v>
      </c>
      <c r="M1108" s="2">
        <v>45781</v>
      </c>
      <c r="N1108" s="2">
        <v>45788</v>
      </c>
    </row>
    <row r="1109" spans="1:14" x14ac:dyDescent="0.3">
      <c r="A1109" t="s">
        <v>29</v>
      </c>
      <c r="B1109" t="s">
        <v>35</v>
      </c>
      <c r="C1109" t="s">
        <v>38</v>
      </c>
      <c r="D1109" t="s">
        <v>59</v>
      </c>
      <c r="E1109" t="s">
        <v>63</v>
      </c>
      <c r="F1109" t="s">
        <v>73</v>
      </c>
      <c r="G1109">
        <v>20829.37</v>
      </c>
      <c r="H1109">
        <v>10</v>
      </c>
      <c r="I1109">
        <v>18746.433000000001</v>
      </c>
      <c r="J1109">
        <v>5</v>
      </c>
      <c r="K1109">
        <v>93732.17</v>
      </c>
      <c r="L1109">
        <v>32806.26</v>
      </c>
      <c r="M1109" s="2">
        <v>45310</v>
      </c>
      <c r="N1109" s="2">
        <v>45319</v>
      </c>
    </row>
    <row r="1110" spans="1:14" x14ac:dyDescent="0.3">
      <c r="A1110" t="s">
        <v>28</v>
      </c>
      <c r="B1110" t="s">
        <v>34</v>
      </c>
      <c r="C1110" t="s">
        <v>45</v>
      </c>
      <c r="D1110" t="s">
        <v>59</v>
      </c>
      <c r="E1110" t="s">
        <v>64</v>
      </c>
      <c r="F1110" t="s">
        <v>72</v>
      </c>
      <c r="G1110">
        <v>1851.03</v>
      </c>
      <c r="H1110">
        <v>15</v>
      </c>
      <c r="I1110">
        <v>1573.3755000000001</v>
      </c>
      <c r="J1110">
        <v>5</v>
      </c>
      <c r="K1110">
        <v>7866.88</v>
      </c>
      <c r="L1110">
        <v>2753.41</v>
      </c>
      <c r="M1110" s="2">
        <v>45788</v>
      </c>
      <c r="N1110" s="2">
        <v>45797</v>
      </c>
    </row>
    <row r="1111" spans="1:14" x14ac:dyDescent="0.3">
      <c r="A1111" t="s">
        <v>26</v>
      </c>
      <c r="B1111" t="s">
        <v>32</v>
      </c>
      <c r="C1111" t="s">
        <v>37</v>
      </c>
      <c r="D1111" t="s">
        <v>59</v>
      </c>
      <c r="E1111" t="s">
        <v>61</v>
      </c>
      <c r="F1111" t="s">
        <v>70</v>
      </c>
      <c r="G1111">
        <v>39672.26</v>
      </c>
      <c r="H1111">
        <v>15</v>
      </c>
      <c r="I1111">
        <v>33721.421000000002</v>
      </c>
      <c r="J1111">
        <v>3</v>
      </c>
      <c r="K1111">
        <v>101164.26</v>
      </c>
      <c r="L1111">
        <v>35407.49</v>
      </c>
      <c r="M1111" s="2">
        <v>45570</v>
      </c>
      <c r="N1111" s="2">
        <v>45574</v>
      </c>
    </row>
    <row r="1112" spans="1:14" x14ac:dyDescent="0.3">
      <c r="A1112" t="s">
        <v>21</v>
      </c>
      <c r="B1112" t="s">
        <v>34</v>
      </c>
      <c r="C1112" t="s">
        <v>49</v>
      </c>
      <c r="D1112" t="s">
        <v>59</v>
      </c>
      <c r="E1112" t="s">
        <v>61</v>
      </c>
      <c r="F1112" t="s">
        <v>71</v>
      </c>
      <c r="G1112">
        <v>3381.89</v>
      </c>
      <c r="H1112">
        <v>15</v>
      </c>
      <c r="I1112">
        <v>2874.6064999999999</v>
      </c>
      <c r="J1112">
        <v>3</v>
      </c>
      <c r="K1112">
        <v>8623.82</v>
      </c>
      <c r="L1112">
        <v>3018.34</v>
      </c>
      <c r="M1112" s="2">
        <v>45751</v>
      </c>
      <c r="N1112" s="2">
        <v>45756</v>
      </c>
    </row>
    <row r="1113" spans="1:14" x14ac:dyDescent="0.3">
      <c r="A1113" t="s">
        <v>29</v>
      </c>
      <c r="B1113" t="s">
        <v>35</v>
      </c>
      <c r="C1113" t="s">
        <v>44</v>
      </c>
      <c r="D1113" t="s">
        <v>60</v>
      </c>
      <c r="E1113" t="s">
        <v>63</v>
      </c>
      <c r="F1113" t="s">
        <v>75</v>
      </c>
      <c r="G1113">
        <v>13972.89</v>
      </c>
      <c r="H1113">
        <v>30</v>
      </c>
      <c r="I1113">
        <v>9781.0229999999992</v>
      </c>
      <c r="J1113">
        <v>3</v>
      </c>
      <c r="K1113">
        <v>29343.07</v>
      </c>
      <c r="L1113">
        <v>4401.46</v>
      </c>
      <c r="M1113" s="2">
        <v>45614</v>
      </c>
      <c r="N1113" s="2">
        <v>45623</v>
      </c>
    </row>
    <row r="1114" spans="1:14" x14ac:dyDescent="0.3">
      <c r="A1114" t="s">
        <v>20</v>
      </c>
      <c r="B1114" t="s">
        <v>32</v>
      </c>
      <c r="C1114" t="s">
        <v>43</v>
      </c>
      <c r="D1114" t="s">
        <v>58</v>
      </c>
      <c r="E1114" t="s">
        <v>61</v>
      </c>
      <c r="F1114" t="s">
        <v>65</v>
      </c>
      <c r="G1114">
        <v>30469.040000000001</v>
      </c>
      <c r="H1114">
        <v>20</v>
      </c>
      <c r="I1114">
        <v>24375.232</v>
      </c>
      <c r="J1114">
        <v>1</v>
      </c>
      <c r="K1114">
        <v>24375.23</v>
      </c>
      <c r="L1114">
        <v>6093.81</v>
      </c>
      <c r="M1114" s="2">
        <v>45558</v>
      </c>
      <c r="N1114" s="2">
        <v>45563</v>
      </c>
    </row>
    <row r="1115" spans="1:14" x14ac:dyDescent="0.3">
      <c r="A1115" t="s">
        <v>24</v>
      </c>
      <c r="B1115" t="s">
        <v>32</v>
      </c>
      <c r="C1115" t="s">
        <v>43</v>
      </c>
      <c r="D1115" t="s">
        <v>58</v>
      </c>
      <c r="E1115" t="s">
        <v>61</v>
      </c>
      <c r="F1115" t="s">
        <v>70</v>
      </c>
      <c r="G1115">
        <v>23837.13</v>
      </c>
      <c r="H1115">
        <v>20</v>
      </c>
      <c r="I1115">
        <v>19069.704000000002</v>
      </c>
      <c r="J1115">
        <v>5</v>
      </c>
      <c r="K1115">
        <v>95348.52</v>
      </c>
      <c r="L1115">
        <v>23837.13</v>
      </c>
      <c r="M1115" s="2">
        <v>45598</v>
      </c>
      <c r="N1115" s="2">
        <v>45607</v>
      </c>
    </row>
    <row r="1116" spans="1:14" x14ac:dyDescent="0.3">
      <c r="A1116" t="s">
        <v>30</v>
      </c>
      <c r="B1116" t="s">
        <v>33</v>
      </c>
      <c r="C1116" t="s">
        <v>57</v>
      </c>
      <c r="D1116" t="s">
        <v>60</v>
      </c>
      <c r="E1116" t="s">
        <v>61</v>
      </c>
      <c r="F1116" t="s">
        <v>70</v>
      </c>
      <c r="G1116">
        <v>11912.68</v>
      </c>
      <c r="H1116">
        <v>0</v>
      </c>
      <c r="I1116">
        <v>11912.68</v>
      </c>
      <c r="J1116">
        <v>3</v>
      </c>
      <c r="K1116">
        <v>35738.04</v>
      </c>
      <c r="L1116">
        <v>5360.71</v>
      </c>
      <c r="M1116" s="2">
        <v>45643</v>
      </c>
      <c r="N1116" s="2">
        <v>45648</v>
      </c>
    </row>
    <row r="1117" spans="1:14" x14ac:dyDescent="0.3">
      <c r="A1117" t="s">
        <v>19</v>
      </c>
      <c r="B1117" t="s">
        <v>33</v>
      </c>
      <c r="C1117" t="s">
        <v>53</v>
      </c>
      <c r="D1117" t="s">
        <v>58</v>
      </c>
      <c r="E1117" t="s">
        <v>63</v>
      </c>
      <c r="F1117" t="s">
        <v>73</v>
      </c>
      <c r="G1117">
        <v>1954.68</v>
      </c>
      <c r="H1117">
        <v>10</v>
      </c>
      <c r="I1117">
        <v>1759.212</v>
      </c>
      <c r="J1117">
        <v>5</v>
      </c>
      <c r="K1117">
        <v>8796.06</v>
      </c>
      <c r="L1117">
        <v>2199.0100000000002</v>
      </c>
      <c r="M1117" s="2">
        <v>45540</v>
      </c>
      <c r="N1117" s="2">
        <v>45543</v>
      </c>
    </row>
    <row r="1118" spans="1:14" x14ac:dyDescent="0.3">
      <c r="A1118" t="s">
        <v>18</v>
      </c>
      <c r="B1118" t="s">
        <v>33</v>
      </c>
      <c r="C1118" t="s">
        <v>53</v>
      </c>
      <c r="D1118" t="s">
        <v>58</v>
      </c>
      <c r="E1118" t="s">
        <v>63</v>
      </c>
      <c r="F1118" t="s">
        <v>73</v>
      </c>
      <c r="G1118">
        <v>48996.75</v>
      </c>
      <c r="H1118">
        <v>20</v>
      </c>
      <c r="I1118">
        <v>39197.4</v>
      </c>
      <c r="J1118">
        <v>4</v>
      </c>
      <c r="K1118">
        <v>156789.6</v>
      </c>
      <c r="L1118">
        <v>39197.4</v>
      </c>
      <c r="M1118" s="2">
        <v>45338</v>
      </c>
      <c r="N1118" s="2">
        <v>45341</v>
      </c>
    </row>
    <row r="1119" spans="1:14" x14ac:dyDescent="0.3">
      <c r="A1119" t="s">
        <v>25</v>
      </c>
      <c r="B1119" t="s">
        <v>34</v>
      </c>
      <c r="C1119" t="s">
        <v>51</v>
      </c>
      <c r="D1119" t="s">
        <v>59</v>
      </c>
      <c r="E1119" t="s">
        <v>64</v>
      </c>
      <c r="F1119" t="s">
        <v>74</v>
      </c>
      <c r="G1119">
        <v>1002.94</v>
      </c>
      <c r="H1119">
        <v>20</v>
      </c>
      <c r="I1119">
        <v>802.35200000000009</v>
      </c>
      <c r="J1119">
        <v>1</v>
      </c>
      <c r="K1119">
        <v>802.35</v>
      </c>
      <c r="L1119">
        <v>280.82</v>
      </c>
      <c r="M1119" s="2">
        <v>45820</v>
      </c>
      <c r="N1119" s="2">
        <v>45824</v>
      </c>
    </row>
    <row r="1120" spans="1:14" x14ac:dyDescent="0.3">
      <c r="A1120" t="s">
        <v>19</v>
      </c>
      <c r="B1120" t="s">
        <v>33</v>
      </c>
      <c r="C1120" t="s">
        <v>56</v>
      </c>
      <c r="D1120" t="s">
        <v>60</v>
      </c>
      <c r="E1120" t="s">
        <v>64</v>
      </c>
      <c r="F1120" t="s">
        <v>76</v>
      </c>
      <c r="G1120">
        <v>1752.61</v>
      </c>
      <c r="H1120">
        <v>30</v>
      </c>
      <c r="I1120">
        <v>1226.827</v>
      </c>
      <c r="J1120">
        <v>5</v>
      </c>
      <c r="K1120">
        <v>6134.13</v>
      </c>
      <c r="L1120">
        <v>920.12</v>
      </c>
      <c r="M1120" s="2">
        <v>45505</v>
      </c>
      <c r="N1120" s="2">
        <v>45509</v>
      </c>
    </row>
    <row r="1121" spans="1:14" x14ac:dyDescent="0.3">
      <c r="A1121" t="s">
        <v>17</v>
      </c>
      <c r="B1121" t="s">
        <v>32</v>
      </c>
      <c r="C1121" t="s">
        <v>40</v>
      </c>
      <c r="D1121" t="s">
        <v>59</v>
      </c>
      <c r="E1121" t="s">
        <v>62</v>
      </c>
      <c r="F1121" t="s">
        <v>66</v>
      </c>
      <c r="G1121">
        <v>10169.02</v>
      </c>
      <c r="H1121">
        <v>10</v>
      </c>
      <c r="I1121">
        <v>9152.1180000000004</v>
      </c>
      <c r="J1121">
        <v>5</v>
      </c>
      <c r="K1121">
        <v>45760.59</v>
      </c>
      <c r="L1121">
        <v>16016.21</v>
      </c>
      <c r="M1121" s="2">
        <v>45557</v>
      </c>
      <c r="N1121" s="2">
        <v>45564</v>
      </c>
    </row>
    <row r="1122" spans="1:14" x14ac:dyDescent="0.3">
      <c r="A1122" t="s">
        <v>25</v>
      </c>
      <c r="B1122" t="s">
        <v>34</v>
      </c>
      <c r="C1122" t="s">
        <v>52</v>
      </c>
      <c r="D1122" t="s">
        <v>60</v>
      </c>
      <c r="E1122" t="s">
        <v>61</v>
      </c>
      <c r="F1122" t="s">
        <v>65</v>
      </c>
      <c r="G1122">
        <v>661.89</v>
      </c>
      <c r="H1122">
        <v>20</v>
      </c>
      <c r="I1122">
        <v>529.51200000000006</v>
      </c>
      <c r="J1122">
        <v>3</v>
      </c>
      <c r="K1122">
        <v>1588.54</v>
      </c>
      <c r="L1122">
        <v>238.28</v>
      </c>
      <c r="M1122" s="2">
        <v>45647</v>
      </c>
      <c r="N1122" s="2">
        <v>45655</v>
      </c>
    </row>
    <row r="1123" spans="1:14" x14ac:dyDescent="0.3">
      <c r="A1123" t="s">
        <v>30</v>
      </c>
      <c r="B1123" t="s">
        <v>33</v>
      </c>
      <c r="C1123" t="s">
        <v>38</v>
      </c>
      <c r="D1123" t="s">
        <v>59</v>
      </c>
      <c r="E1123" t="s">
        <v>62</v>
      </c>
      <c r="F1123" t="s">
        <v>66</v>
      </c>
      <c r="G1123">
        <v>18953.05</v>
      </c>
      <c r="H1123">
        <v>10</v>
      </c>
      <c r="I1123">
        <v>17057.744999999999</v>
      </c>
      <c r="J1123">
        <v>4</v>
      </c>
      <c r="K1123">
        <v>68230.98</v>
      </c>
      <c r="L1123">
        <v>23880.84</v>
      </c>
      <c r="M1123" s="2">
        <v>45621</v>
      </c>
      <c r="N1123" s="2">
        <v>45629</v>
      </c>
    </row>
    <row r="1124" spans="1:14" x14ac:dyDescent="0.3">
      <c r="A1124" t="s">
        <v>30</v>
      </c>
      <c r="B1124" t="s">
        <v>33</v>
      </c>
      <c r="C1124" t="s">
        <v>38</v>
      </c>
      <c r="D1124" t="s">
        <v>59</v>
      </c>
      <c r="E1124" t="s">
        <v>62</v>
      </c>
      <c r="F1124" t="s">
        <v>66</v>
      </c>
      <c r="G1124">
        <v>19058.490000000002</v>
      </c>
      <c r="H1124">
        <v>15</v>
      </c>
      <c r="I1124">
        <v>16199.7165</v>
      </c>
      <c r="J1124">
        <v>4</v>
      </c>
      <c r="K1124">
        <v>64798.87</v>
      </c>
      <c r="L1124">
        <v>22679.599999999999</v>
      </c>
      <c r="M1124" s="2">
        <v>45447</v>
      </c>
      <c r="N1124" s="2">
        <v>45449</v>
      </c>
    </row>
    <row r="1125" spans="1:14" x14ac:dyDescent="0.3">
      <c r="A1125" t="s">
        <v>21</v>
      </c>
      <c r="B1125" t="s">
        <v>34</v>
      </c>
      <c r="C1125" t="s">
        <v>51</v>
      </c>
      <c r="D1125" t="s">
        <v>59</v>
      </c>
      <c r="E1125" t="s">
        <v>62</v>
      </c>
      <c r="F1125" t="s">
        <v>66</v>
      </c>
      <c r="G1125">
        <v>3577.78</v>
      </c>
      <c r="H1125">
        <v>5</v>
      </c>
      <c r="I1125">
        <v>3398.8910000000001</v>
      </c>
      <c r="J1125">
        <v>1</v>
      </c>
      <c r="K1125">
        <v>3398.89</v>
      </c>
      <c r="L1125">
        <v>1189.6099999999999</v>
      </c>
      <c r="M1125" s="2">
        <v>45608</v>
      </c>
      <c r="N1125" s="2">
        <v>45615</v>
      </c>
    </row>
    <row r="1126" spans="1:14" x14ac:dyDescent="0.3">
      <c r="A1126" t="s">
        <v>27</v>
      </c>
      <c r="B1126" t="s">
        <v>35</v>
      </c>
      <c r="C1126" t="s">
        <v>44</v>
      </c>
      <c r="D1126" t="s">
        <v>60</v>
      </c>
      <c r="E1126" t="s">
        <v>62</v>
      </c>
      <c r="F1126" t="s">
        <v>69</v>
      </c>
      <c r="G1126">
        <v>6782.28</v>
      </c>
      <c r="H1126">
        <v>5</v>
      </c>
      <c r="I1126">
        <v>6443.1659999999993</v>
      </c>
      <c r="J1126">
        <v>5</v>
      </c>
      <c r="K1126">
        <v>32215.83</v>
      </c>
      <c r="L1126">
        <v>4832.37</v>
      </c>
      <c r="M1126" s="2">
        <v>45471</v>
      </c>
      <c r="N1126" s="2">
        <v>45480</v>
      </c>
    </row>
    <row r="1127" spans="1:14" x14ac:dyDescent="0.3">
      <c r="A1127" t="s">
        <v>25</v>
      </c>
      <c r="B1127" t="s">
        <v>34</v>
      </c>
      <c r="C1127" t="s">
        <v>51</v>
      </c>
      <c r="D1127" t="s">
        <v>59</v>
      </c>
      <c r="E1127" t="s">
        <v>61</v>
      </c>
      <c r="F1127" t="s">
        <v>65</v>
      </c>
      <c r="G1127">
        <v>980.52</v>
      </c>
      <c r="H1127">
        <v>0</v>
      </c>
      <c r="I1127">
        <v>980.52</v>
      </c>
      <c r="J1127">
        <v>3</v>
      </c>
      <c r="K1127">
        <v>2941.56</v>
      </c>
      <c r="L1127">
        <v>1029.55</v>
      </c>
      <c r="M1127" s="2">
        <v>45480</v>
      </c>
      <c r="N1127" s="2">
        <v>45482</v>
      </c>
    </row>
    <row r="1128" spans="1:14" x14ac:dyDescent="0.3">
      <c r="A1128" t="s">
        <v>25</v>
      </c>
      <c r="B1128" t="s">
        <v>34</v>
      </c>
      <c r="C1128" t="s">
        <v>49</v>
      </c>
      <c r="D1128" t="s">
        <v>59</v>
      </c>
      <c r="E1128" t="s">
        <v>61</v>
      </c>
      <c r="F1128" t="s">
        <v>70</v>
      </c>
      <c r="G1128">
        <v>934.48</v>
      </c>
      <c r="H1128">
        <v>0</v>
      </c>
      <c r="I1128">
        <v>934.48</v>
      </c>
      <c r="J1128">
        <v>3</v>
      </c>
      <c r="K1128">
        <v>2803.44</v>
      </c>
      <c r="L1128">
        <v>981.2</v>
      </c>
      <c r="M1128" s="2">
        <v>45593</v>
      </c>
      <c r="N1128" s="2">
        <v>45595</v>
      </c>
    </row>
    <row r="1129" spans="1:14" x14ac:dyDescent="0.3">
      <c r="A1129" t="s">
        <v>21</v>
      </c>
      <c r="B1129" t="s">
        <v>34</v>
      </c>
      <c r="C1129" t="s">
        <v>52</v>
      </c>
      <c r="D1129" t="s">
        <v>60</v>
      </c>
      <c r="E1129" t="s">
        <v>62</v>
      </c>
      <c r="F1129" t="s">
        <v>66</v>
      </c>
      <c r="G1129">
        <v>2546.87</v>
      </c>
      <c r="H1129">
        <v>20</v>
      </c>
      <c r="I1129">
        <v>2037.4960000000001</v>
      </c>
      <c r="J1129">
        <v>1</v>
      </c>
      <c r="K1129">
        <v>2037.5</v>
      </c>
      <c r="L1129">
        <v>305.62</v>
      </c>
      <c r="M1129" s="2">
        <v>45597</v>
      </c>
      <c r="N1129" s="2">
        <v>45606</v>
      </c>
    </row>
    <row r="1130" spans="1:14" x14ac:dyDescent="0.3">
      <c r="A1130" t="s">
        <v>17</v>
      </c>
      <c r="B1130" t="s">
        <v>32</v>
      </c>
      <c r="C1130" t="s">
        <v>37</v>
      </c>
      <c r="D1130" t="s">
        <v>59</v>
      </c>
      <c r="E1130" t="s">
        <v>63</v>
      </c>
      <c r="F1130" t="s">
        <v>73</v>
      </c>
      <c r="G1130">
        <v>9213.06</v>
      </c>
      <c r="H1130">
        <v>20</v>
      </c>
      <c r="I1130">
        <v>7370.4480000000003</v>
      </c>
      <c r="J1130">
        <v>1</v>
      </c>
      <c r="K1130">
        <v>7370.45</v>
      </c>
      <c r="L1130">
        <v>2579.66</v>
      </c>
      <c r="M1130" s="2">
        <v>45336</v>
      </c>
      <c r="N1130" s="2">
        <v>45342</v>
      </c>
    </row>
    <row r="1131" spans="1:14" x14ac:dyDescent="0.3">
      <c r="A1131" t="s">
        <v>30</v>
      </c>
      <c r="B1131" t="s">
        <v>33</v>
      </c>
      <c r="C1131" t="s">
        <v>57</v>
      </c>
      <c r="D1131" t="s">
        <v>60</v>
      </c>
      <c r="E1131" t="s">
        <v>61</v>
      </c>
      <c r="F1131" t="s">
        <v>71</v>
      </c>
      <c r="G1131">
        <v>12299.52</v>
      </c>
      <c r="H1131">
        <v>10</v>
      </c>
      <c r="I1131">
        <v>11069.567999999999</v>
      </c>
      <c r="J1131">
        <v>5</v>
      </c>
      <c r="K1131">
        <v>55347.839999999997</v>
      </c>
      <c r="L1131">
        <v>8302.18</v>
      </c>
      <c r="M1131" s="2">
        <v>45443</v>
      </c>
      <c r="N1131" s="2">
        <v>45452</v>
      </c>
    </row>
    <row r="1132" spans="1:14" x14ac:dyDescent="0.3">
      <c r="A1132" t="s">
        <v>23</v>
      </c>
      <c r="B1132" t="s">
        <v>35</v>
      </c>
      <c r="C1132" t="s">
        <v>38</v>
      </c>
      <c r="D1132" t="s">
        <v>59</v>
      </c>
      <c r="E1132" t="s">
        <v>62</v>
      </c>
      <c r="F1132" t="s">
        <v>67</v>
      </c>
      <c r="G1132">
        <v>31393.23</v>
      </c>
      <c r="H1132">
        <v>30</v>
      </c>
      <c r="I1132">
        <v>21975.260999999999</v>
      </c>
      <c r="J1132">
        <v>2</v>
      </c>
      <c r="K1132">
        <v>43950.52</v>
      </c>
      <c r="L1132">
        <v>15382.68</v>
      </c>
      <c r="M1132" s="2">
        <v>45434</v>
      </c>
      <c r="N1132" s="2">
        <v>45441</v>
      </c>
    </row>
    <row r="1133" spans="1:14" x14ac:dyDescent="0.3">
      <c r="A1133" t="s">
        <v>25</v>
      </c>
      <c r="B1133" t="s">
        <v>34</v>
      </c>
      <c r="C1133" t="s">
        <v>52</v>
      </c>
      <c r="D1133" t="s">
        <v>60</v>
      </c>
      <c r="E1133" t="s">
        <v>64</v>
      </c>
      <c r="F1133" t="s">
        <v>72</v>
      </c>
      <c r="G1133">
        <v>699.6</v>
      </c>
      <c r="H1133">
        <v>15</v>
      </c>
      <c r="I1133">
        <v>594.66</v>
      </c>
      <c r="J1133">
        <v>3</v>
      </c>
      <c r="K1133">
        <v>1783.98</v>
      </c>
      <c r="L1133">
        <v>267.60000000000002</v>
      </c>
      <c r="M1133" s="2">
        <v>45683</v>
      </c>
      <c r="N1133" s="2">
        <v>45691</v>
      </c>
    </row>
    <row r="1134" spans="1:14" x14ac:dyDescent="0.3">
      <c r="A1134" t="s">
        <v>29</v>
      </c>
      <c r="B1134" t="s">
        <v>35</v>
      </c>
      <c r="C1134" t="s">
        <v>46</v>
      </c>
      <c r="D1134" t="s">
        <v>59</v>
      </c>
      <c r="E1134" t="s">
        <v>62</v>
      </c>
      <c r="F1134" t="s">
        <v>69</v>
      </c>
      <c r="G1134">
        <v>22125.599999999999</v>
      </c>
      <c r="H1134">
        <v>30</v>
      </c>
      <c r="I1134">
        <v>15487.92</v>
      </c>
      <c r="J1134">
        <v>1</v>
      </c>
      <c r="K1134">
        <v>15487.92</v>
      </c>
      <c r="L1134">
        <v>5420.77</v>
      </c>
      <c r="M1134" s="2">
        <v>45817</v>
      </c>
      <c r="N1134" s="2">
        <v>45823</v>
      </c>
    </row>
    <row r="1135" spans="1:14" x14ac:dyDescent="0.3">
      <c r="A1135" t="s">
        <v>27</v>
      </c>
      <c r="B1135" t="s">
        <v>35</v>
      </c>
      <c r="C1135" t="s">
        <v>46</v>
      </c>
      <c r="D1135" t="s">
        <v>59</v>
      </c>
      <c r="E1135" t="s">
        <v>62</v>
      </c>
      <c r="F1135" t="s">
        <v>67</v>
      </c>
      <c r="G1135">
        <v>9957.09</v>
      </c>
      <c r="H1135">
        <v>0</v>
      </c>
      <c r="I1135">
        <v>9957.09</v>
      </c>
      <c r="J1135">
        <v>1</v>
      </c>
      <c r="K1135">
        <v>9957.09</v>
      </c>
      <c r="L1135">
        <v>3484.98</v>
      </c>
      <c r="M1135" s="2">
        <v>45378</v>
      </c>
      <c r="N1135" s="2">
        <v>45380</v>
      </c>
    </row>
    <row r="1136" spans="1:14" x14ac:dyDescent="0.3">
      <c r="A1136" t="s">
        <v>29</v>
      </c>
      <c r="B1136" t="s">
        <v>35</v>
      </c>
      <c r="C1136" t="s">
        <v>48</v>
      </c>
      <c r="D1136" t="s">
        <v>58</v>
      </c>
      <c r="E1136" t="s">
        <v>61</v>
      </c>
      <c r="F1136" t="s">
        <v>65</v>
      </c>
      <c r="G1136">
        <v>18316.259999999998</v>
      </c>
      <c r="H1136">
        <v>10</v>
      </c>
      <c r="I1136">
        <v>16484.633999999998</v>
      </c>
      <c r="J1136">
        <v>5</v>
      </c>
      <c r="K1136">
        <v>82423.17</v>
      </c>
      <c r="L1136">
        <v>20605.79</v>
      </c>
      <c r="M1136" s="2">
        <v>45309</v>
      </c>
      <c r="N1136" s="2">
        <v>45317</v>
      </c>
    </row>
    <row r="1137" spans="1:14" x14ac:dyDescent="0.3">
      <c r="A1137" t="s">
        <v>25</v>
      </c>
      <c r="B1137" t="s">
        <v>34</v>
      </c>
      <c r="C1137" t="s">
        <v>41</v>
      </c>
      <c r="D1137" t="s">
        <v>60</v>
      </c>
      <c r="E1137" t="s">
        <v>61</v>
      </c>
      <c r="F1137" t="s">
        <v>71</v>
      </c>
      <c r="G1137">
        <v>661.85</v>
      </c>
      <c r="H1137">
        <v>0</v>
      </c>
      <c r="I1137">
        <v>661.85</v>
      </c>
      <c r="J1137">
        <v>5</v>
      </c>
      <c r="K1137">
        <v>3309.25</v>
      </c>
      <c r="L1137">
        <v>496.39</v>
      </c>
      <c r="M1137" s="2">
        <v>45842</v>
      </c>
      <c r="N1137" s="2">
        <v>45845</v>
      </c>
    </row>
    <row r="1138" spans="1:14" x14ac:dyDescent="0.3">
      <c r="A1138" t="s">
        <v>24</v>
      </c>
      <c r="B1138" t="s">
        <v>32</v>
      </c>
      <c r="C1138" t="s">
        <v>43</v>
      </c>
      <c r="D1138" t="s">
        <v>58</v>
      </c>
      <c r="E1138" t="s">
        <v>63</v>
      </c>
      <c r="F1138" t="s">
        <v>75</v>
      </c>
      <c r="G1138">
        <v>23471.75</v>
      </c>
      <c r="H1138">
        <v>25</v>
      </c>
      <c r="I1138">
        <v>17603.8125</v>
      </c>
      <c r="J1138">
        <v>4</v>
      </c>
      <c r="K1138">
        <v>70415.25</v>
      </c>
      <c r="L1138">
        <v>17603.810000000001</v>
      </c>
      <c r="M1138" s="2">
        <v>45766</v>
      </c>
      <c r="N1138" s="2">
        <v>45771</v>
      </c>
    </row>
    <row r="1139" spans="1:14" x14ac:dyDescent="0.3">
      <c r="A1139" t="s">
        <v>21</v>
      </c>
      <c r="B1139" t="s">
        <v>34</v>
      </c>
      <c r="C1139" t="s">
        <v>55</v>
      </c>
      <c r="D1139" t="s">
        <v>58</v>
      </c>
      <c r="E1139" t="s">
        <v>64</v>
      </c>
      <c r="F1139" t="s">
        <v>74</v>
      </c>
      <c r="G1139">
        <v>3250.91</v>
      </c>
      <c r="H1139">
        <v>5</v>
      </c>
      <c r="I1139">
        <v>3088.3645000000001</v>
      </c>
      <c r="J1139">
        <v>3</v>
      </c>
      <c r="K1139">
        <v>9265.09</v>
      </c>
      <c r="L1139">
        <v>2316.27</v>
      </c>
      <c r="M1139" s="2">
        <v>45659</v>
      </c>
      <c r="N1139" s="2">
        <v>45661</v>
      </c>
    </row>
    <row r="1140" spans="1:14" x14ac:dyDescent="0.3">
      <c r="A1140" t="s">
        <v>27</v>
      </c>
      <c r="B1140" t="s">
        <v>35</v>
      </c>
      <c r="C1140" t="s">
        <v>48</v>
      </c>
      <c r="D1140" t="s">
        <v>58</v>
      </c>
      <c r="E1140" t="s">
        <v>61</v>
      </c>
      <c r="F1140" t="s">
        <v>65</v>
      </c>
      <c r="G1140">
        <v>7626.39</v>
      </c>
      <c r="H1140">
        <v>10</v>
      </c>
      <c r="I1140">
        <v>6863.7510000000002</v>
      </c>
      <c r="J1140">
        <v>2</v>
      </c>
      <c r="K1140">
        <v>13727.5</v>
      </c>
      <c r="L1140">
        <v>3431.88</v>
      </c>
      <c r="M1140" s="2">
        <v>45341</v>
      </c>
      <c r="N1140" s="2">
        <v>45344</v>
      </c>
    </row>
    <row r="1141" spans="1:14" x14ac:dyDescent="0.3">
      <c r="A1141" t="s">
        <v>18</v>
      </c>
      <c r="B1141" t="s">
        <v>33</v>
      </c>
      <c r="C1141" t="s">
        <v>38</v>
      </c>
      <c r="D1141" t="s">
        <v>59</v>
      </c>
      <c r="E1141" t="s">
        <v>62</v>
      </c>
      <c r="F1141" t="s">
        <v>66</v>
      </c>
      <c r="G1141">
        <v>63806.71</v>
      </c>
      <c r="H1141">
        <v>5</v>
      </c>
      <c r="I1141">
        <v>60616.374499999998</v>
      </c>
      <c r="J1141">
        <v>1</v>
      </c>
      <c r="K1141">
        <v>60616.37</v>
      </c>
      <c r="L1141">
        <v>21215.73</v>
      </c>
      <c r="M1141" s="2">
        <v>45443</v>
      </c>
      <c r="N1141" s="2">
        <v>45449</v>
      </c>
    </row>
    <row r="1142" spans="1:14" x14ac:dyDescent="0.3">
      <c r="A1142" t="s">
        <v>20</v>
      </c>
      <c r="B1142" t="s">
        <v>32</v>
      </c>
      <c r="C1142" t="s">
        <v>54</v>
      </c>
      <c r="D1142" t="s">
        <v>60</v>
      </c>
      <c r="E1142" t="s">
        <v>63</v>
      </c>
      <c r="F1142" t="s">
        <v>73</v>
      </c>
      <c r="G1142">
        <v>24547.26</v>
      </c>
      <c r="H1142">
        <v>30</v>
      </c>
      <c r="I1142">
        <v>17183.081999999999</v>
      </c>
      <c r="J1142">
        <v>2</v>
      </c>
      <c r="K1142">
        <v>34366.160000000003</v>
      </c>
      <c r="L1142">
        <v>5154.92</v>
      </c>
      <c r="M1142" s="2">
        <v>45336</v>
      </c>
      <c r="N1142" s="2">
        <v>45343</v>
      </c>
    </row>
    <row r="1143" spans="1:14" x14ac:dyDescent="0.3">
      <c r="A1143" t="s">
        <v>16</v>
      </c>
      <c r="B1143" t="s">
        <v>31</v>
      </c>
      <c r="C1143" t="s">
        <v>47</v>
      </c>
      <c r="D1143" t="s">
        <v>59</v>
      </c>
      <c r="E1143" t="s">
        <v>62</v>
      </c>
      <c r="F1143" t="s">
        <v>66</v>
      </c>
      <c r="G1143">
        <v>3141.77</v>
      </c>
      <c r="H1143">
        <v>5</v>
      </c>
      <c r="I1143">
        <v>2984.6815000000001</v>
      </c>
      <c r="J1143">
        <v>4</v>
      </c>
      <c r="K1143">
        <v>11938.73</v>
      </c>
      <c r="L1143">
        <v>4178.5600000000004</v>
      </c>
      <c r="M1143" s="2">
        <v>45343</v>
      </c>
      <c r="N1143" s="2">
        <v>45353</v>
      </c>
    </row>
    <row r="1144" spans="1:14" x14ac:dyDescent="0.3">
      <c r="A1144" t="s">
        <v>21</v>
      </c>
      <c r="B1144" t="s">
        <v>34</v>
      </c>
      <c r="C1144" t="s">
        <v>41</v>
      </c>
      <c r="D1144" t="s">
        <v>60</v>
      </c>
      <c r="E1144" t="s">
        <v>62</v>
      </c>
      <c r="F1144" t="s">
        <v>69</v>
      </c>
      <c r="G1144">
        <v>2782.19</v>
      </c>
      <c r="H1144">
        <v>0</v>
      </c>
      <c r="I1144">
        <v>2782.19</v>
      </c>
      <c r="J1144">
        <v>5</v>
      </c>
      <c r="K1144">
        <v>13910.95</v>
      </c>
      <c r="L1144">
        <v>2086.64</v>
      </c>
      <c r="M1144" s="2">
        <v>45696</v>
      </c>
      <c r="N1144" s="2">
        <v>45701</v>
      </c>
    </row>
    <row r="1145" spans="1:14" x14ac:dyDescent="0.3">
      <c r="A1145" t="s">
        <v>21</v>
      </c>
      <c r="B1145" t="s">
        <v>34</v>
      </c>
      <c r="C1145" t="s">
        <v>52</v>
      </c>
      <c r="D1145" t="s">
        <v>60</v>
      </c>
      <c r="E1145" t="s">
        <v>63</v>
      </c>
      <c r="F1145" t="s">
        <v>75</v>
      </c>
      <c r="G1145">
        <v>2512.7800000000002</v>
      </c>
      <c r="H1145">
        <v>15</v>
      </c>
      <c r="I1145">
        <v>2135.8629999999998</v>
      </c>
      <c r="J1145">
        <v>2</v>
      </c>
      <c r="K1145">
        <v>4271.7299999999996</v>
      </c>
      <c r="L1145">
        <v>640.76</v>
      </c>
      <c r="M1145" s="2">
        <v>45731</v>
      </c>
      <c r="N1145" s="2">
        <v>45740</v>
      </c>
    </row>
    <row r="1146" spans="1:14" x14ac:dyDescent="0.3">
      <c r="A1146" t="s">
        <v>18</v>
      </c>
      <c r="B1146" t="s">
        <v>33</v>
      </c>
      <c r="C1146" t="s">
        <v>57</v>
      </c>
      <c r="D1146" t="s">
        <v>60</v>
      </c>
      <c r="E1146" t="s">
        <v>63</v>
      </c>
      <c r="F1146" t="s">
        <v>73</v>
      </c>
      <c r="G1146">
        <v>38674.239999999998</v>
      </c>
      <c r="H1146">
        <v>25</v>
      </c>
      <c r="I1146">
        <v>29005.68</v>
      </c>
      <c r="J1146">
        <v>4</v>
      </c>
      <c r="K1146">
        <v>116022.72</v>
      </c>
      <c r="L1146">
        <v>17403.41</v>
      </c>
      <c r="M1146" s="2">
        <v>45397</v>
      </c>
      <c r="N1146" s="2">
        <v>45404</v>
      </c>
    </row>
    <row r="1147" spans="1:14" x14ac:dyDescent="0.3">
      <c r="A1147" t="s">
        <v>30</v>
      </c>
      <c r="B1147" t="s">
        <v>33</v>
      </c>
      <c r="C1147" t="s">
        <v>57</v>
      </c>
      <c r="D1147" t="s">
        <v>60</v>
      </c>
      <c r="E1147" t="s">
        <v>63</v>
      </c>
      <c r="F1147" t="s">
        <v>68</v>
      </c>
      <c r="G1147">
        <v>11913.2</v>
      </c>
      <c r="H1147">
        <v>0</v>
      </c>
      <c r="I1147">
        <v>11913.2</v>
      </c>
      <c r="J1147">
        <v>3</v>
      </c>
      <c r="K1147">
        <v>35739.599999999999</v>
      </c>
      <c r="L1147">
        <v>5360.94</v>
      </c>
      <c r="M1147" s="2">
        <v>45312</v>
      </c>
      <c r="N1147" s="2">
        <v>45319</v>
      </c>
    </row>
    <row r="1148" spans="1:14" x14ac:dyDescent="0.3">
      <c r="A1148" t="s">
        <v>18</v>
      </c>
      <c r="B1148" t="s">
        <v>33</v>
      </c>
      <c r="C1148" t="s">
        <v>56</v>
      </c>
      <c r="D1148" t="s">
        <v>60</v>
      </c>
      <c r="E1148" t="s">
        <v>62</v>
      </c>
      <c r="F1148" t="s">
        <v>69</v>
      </c>
      <c r="G1148">
        <v>43356.14</v>
      </c>
      <c r="H1148">
        <v>15</v>
      </c>
      <c r="I1148">
        <v>36852.718999999997</v>
      </c>
      <c r="J1148">
        <v>3</v>
      </c>
      <c r="K1148">
        <v>110558.16</v>
      </c>
      <c r="L1148">
        <v>16583.72</v>
      </c>
      <c r="M1148" s="2">
        <v>45581</v>
      </c>
      <c r="N1148" s="2">
        <v>45584</v>
      </c>
    </row>
    <row r="1149" spans="1:14" x14ac:dyDescent="0.3">
      <c r="A1149" t="s">
        <v>23</v>
      </c>
      <c r="B1149" t="s">
        <v>35</v>
      </c>
      <c r="C1149" t="s">
        <v>46</v>
      </c>
      <c r="D1149" t="s">
        <v>59</v>
      </c>
      <c r="E1149" t="s">
        <v>64</v>
      </c>
      <c r="F1149" t="s">
        <v>76</v>
      </c>
      <c r="G1149">
        <v>33873.589999999997</v>
      </c>
      <c r="H1149">
        <v>30</v>
      </c>
      <c r="I1149">
        <v>23711.512999999999</v>
      </c>
      <c r="J1149">
        <v>3</v>
      </c>
      <c r="K1149">
        <v>71134.539999999994</v>
      </c>
      <c r="L1149">
        <v>24897.09</v>
      </c>
      <c r="M1149" s="2">
        <v>45439</v>
      </c>
      <c r="N1149" s="2">
        <v>45448</v>
      </c>
    </row>
    <row r="1150" spans="1:14" x14ac:dyDescent="0.3">
      <c r="A1150" t="s">
        <v>25</v>
      </c>
      <c r="B1150" t="s">
        <v>34</v>
      </c>
      <c r="C1150" t="s">
        <v>41</v>
      </c>
      <c r="D1150" t="s">
        <v>60</v>
      </c>
      <c r="E1150" t="s">
        <v>63</v>
      </c>
      <c r="F1150" t="s">
        <v>68</v>
      </c>
      <c r="G1150">
        <v>674.09</v>
      </c>
      <c r="H1150">
        <v>20</v>
      </c>
      <c r="I1150">
        <v>539.27200000000005</v>
      </c>
      <c r="J1150">
        <v>1</v>
      </c>
      <c r="K1150">
        <v>539.27</v>
      </c>
      <c r="L1150">
        <v>80.89</v>
      </c>
      <c r="M1150" s="2">
        <v>45658</v>
      </c>
      <c r="N1150" s="2">
        <v>45668</v>
      </c>
    </row>
    <row r="1151" spans="1:14" x14ac:dyDescent="0.3">
      <c r="A1151" t="s">
        <v>30</v>
      </c>
      <c r="B1151" t="s">
        <v>33</v>
      </c>
      <c r="C1151" t="s">
        <v>50</v>
      </c>
      <c r="D1151" t="s">
        <v>59</v>
      </c>
      <c r="E1151" t="s">
        <v>61</v>
      </c>
      <c r="F1151" t="s">
        <v>65</v>
      </c>
      <c r="G1151">
        <v>18276.27</v>
      </c>
      <c r="H1151">
        <v>10</v>
      </c>
      <c r="I1151">
        <v>16448.643</v>
      </c>
      <c r="J1151">
        <v>2</v>
      </c>
      <c r="K1151">
        <v>32897.29</v>
      </c>
      <c r="L1151">
        <v>11514.05</v>
      </c>
      <c r="M1151" s="2">
        <v>45563</v>
      </c>
      <c r="N1151" s="2">
        <v>45566</v>
      </c>
    </row>
    <row r="1152" spans="1:14" x14ac:dyDescent="0.3">
      <c r="A1152" t="s">
        <v>17</v>
      </c>
      <c r="B1152" t="s">
        <v>32</v>
      </c>
      <c r="C1152" t="s">
        <v>40</v>
      </c>
      <c r="D1152" t="s">
        <v>59</v>
      </c>
      <c r="E1152" t="s">
        <v>63</v>
      </c>
      <c r="F1152" t="s">
        <v>75</v>
      </c>
      <c r="G1152">
        <v>8729.69</v>
      </c>
      <c r="H1152">
        <v>0</v>
      </c>
      <c r="I1152">
        <v>8729.69</v>
      </c>
      <c r="J1152">
        <v>2</v>
      </c>
      <c r="K1152">
        <v>17459.38</v>
      </c>
      <c r="L1152">
        <v>6110.78</v>
      </c>
      <c r="M1152" s="2">
        <v>45397</v>
      </c>
      <c r="N1152" s="2">
        <v>45399</v>
      </c>
    </row>
    <row r="1153" spans="1:14" x14ac:dyDescent="0.3">
      <c r="A1153" t="s">
        <v>25</v>
      </c>
      <c r="B1153" t="s">
        <v>34</v>
      </c>
      <c r="C1153" t="s">
        <v>55</v>
      </c>
      <c r="D1153" t="s">
        <v>58</v>
      </c>
      <c r="E1153" t="s">
        <v>63</v>
      </c>
      <c r="F1153" t="s">
        <v>73</v>
      </c>
      <c r="G1153">
        <v>736.57</v>
      </c>
      <c r="H1153">
        <v>25</v>
      </c>
      <c r="I1153">
        <v>552.42750000000001</v>
      </c>
      <c r="J1153">
        <v>3</v>
      </c>
      <c r="K1153">
        <v>1657.28</v>
      </c>
      <c r="L1153">
        <v>414.32</v>
      </c>
      <c r="M1153" s="2">
        <v>45566</v>
      </c>
      <c r="N1153" s="2">
        <v>45575</v>
      </c>
    </row>
    <row r="1154" spans="1:14" x14ac:dyDescent="0.3">
      <c r="A1154" t="s">
        <v>17</v>
      </c>
      <c r="B1154" t="s">
        <v>32</v>
      </c>
      <c r="C1154" t="s">
        <v>54</v>
      </c>
      <c r="D1154" t="s">
        <v>60</v>
      </c>
      <c r="E1154" t="s">
        <v>62</v>
      </c>
      <c r="F1154" t="s">
        <v>69</v>
      </c>
      <c r="G1154">
        <v>6751.45</v>
      </c>
      <c r="H1154">
        <v>0</v>
      </c>
      <c r="I1154">
        <v>6751.45</v>
      </c>
      <c r="J1154">
        <v>4</v>
      </c>
      <c r="K1154">
        <v>27005.8</v>
      </c>
      <c r="L1154">
        <v>4050.87</v>
      </c>
      <c r="M1154" s="2">
        <v>45857</v>
      </c>
      <c r="N1154" s="2">
        <v>45863</v>
      </c>
    </row>
    <row r="1155" spans="1:14" x14ac:dyDescent="0.3">
      <c r="A1155" t="s">
        <v>18</v>
      </c>
      <c r="B1155" t="s">
        <v>33</v>
      </c>
      <c r="C1155" t="s">
        <v>57</v>
      </c>
      <c r="D1155" t="s">
        <v>60</v>
      </c>
      <c r="E1155" t="s">
        <v>63</v>
      </c>
      <c r="F1155" t="s">
        <v>73</v>
      </c>
      <c r="G1155">
        <v>41412.19</v>
      </c>
      <c r="H1155">
        <v>15</v>
      </c>
      <c r="I1155">
        <v>35200.361499999999</v>
      </c>
      <c r="J1155">
        <v>4</v>
      </c>
      <c r="K1155">
        <v>140801.45000000001</v>
      </c>
      <c r="L1155">
        <v>21120.22</v>
      </c>
      <c r="M1155" s="2">
        <v>45330</v>
      </c>
      <c r="N1155" s="2">
        <v>45337</v>
      </c>
    </row>
    <row r="1156" spans="1:14" x14ac:dyDescent="0.3">
      <c r="A1156" t="s">
        <v>30</v>
      </c>
      <c r="B1156" t="s">
        <v>33</v>
      </c>
      <c r="C1156" t="s">
        <v>56</v>
      </c>
      <c r="D1156" t="s">
        <v>60</v>
      </c>
      <c r="E1156" t="s">
        <v>61</v>
      </c>
      <c r="F1156" t="s">
        <v>71</v>
      </c>
      <c r="G1156">
        <v>12538.44</v>
      </c>
      <c r="H1156">
        <v>10</v>
      </c>
      <c r="I1156">
        <v>11284.596</v>
      </c>
      <c r="J1156">
        <v>4</v>
      </c>
      <c r="K1156">
        <v>45138.38</v>
      </c>
      <c r="L1156">
        <v>6770.76</v>
      </c>
      <c r="M1156" s="2">
        <v>45425</v>
      </c>
      <c r="N1156" s="2">
        <v>45434</v>
      </c>
    </row>
    <row r="1157" spans="1:14" x14ac:dyDescent="0.3">
      <c r="A1157" t="s">
        <v>27</v>
      </c>
      <c r="B1157" t="s">
        <v>35</v>
      </c>
      <c r="C1157" t="s">
        <v>44</v>
      </c>
      <c r="D1157" t="s">
        <v>60</v>
      </c>
      <c r="E1157" t="s">
        <v>61</v>
      </c>
      <c r="F1157" t="s">
        <v>65</v>
      </c>
      <c r="G1157">
        <v>6763.01</v>
      </c>
      <c r="H1157">
        <v>10</v>
      </c>
      <c r="I1157">
        <v>6086.7090000000007</v>
      </c>
      <c r="J1157">
        <v>1</v>
      </c>
      <c r="K1157">
        <v>6086.71</v>
      </c>
      <c r="L1157">
        <v>913.01</v>
      </c>
      <c r="M1157" s="2">
        <v>45384</v>
      </c>
      <c r="N1157" s="2">
        <v>45387</v>
      </c>
    </row>
    <row r="1158" spans="1:14" x14ac:dyDescent="0.3">
      <c r="A1158" t="s">
        <v>25</v>
      </c>
      <c r="B1158" t="s">
        <v>34</v>
      </c>
      <c r="C1158" t="s">
        <v>51</v>
      </c>
      <c r="D1158" t="s">
        <v>59</v>
      </c>
      <c r="E1158" t="s">
        <v>64</v>
      </c>
      <c r="F1158" t="s">
        <v>72</v>
      </c>
      <c r="G1158">
        <v>1023.36</v>
      </c>
      <c r="H1158">
        <v>15</v>
      </c>
      <c r="I1158">
        <v>869.85599999999999</v>
      </c>
      <c r="J1158">
        <v>3</v>
      </c>
      <c r="K1158">
        <v>2609.5700000000002</v>
      </c>
      <c r="L1158">
        <v>913.35</v>
      </c>
      <c r="M1158" s="2">
        <v>45601</v>
      </c>
      <c r="N1158" s="2">
        <v>45610</v>
      </c>
    </row>
    <row r="1159" spans="1:14" x14ac:dyDescent="0.3">
      <c r="A1159" t="s">
        <v>28</v>
      </c>
      <c r="B1159" t="s">
        <v>34</v>
      </c>
      <c r="C1159" t="s">
        <v>55</v>
      </c>
      <c r="D1159" t="s">
        <v>58</v>
      </c>
      <c r="E1159" t="s">
        <v>61</v>
      </c>
      <c r="F1159" t="s">
        <v>71</v>
      </c>
      <c r="G1159">
        <v>1495.29</v>
      </c>
      <c r="H1159">
        <v>30</v>
      </c>
      <c r="I1159">
        <v>1046.703</v>
      </c>
      <c r="J1159">
        <v>3</v>
      </c>
      <c r="K1159">
        <v>3140.11</v>
      </c>
      <c r="L1159">
        <v>785.03</v>
      </c>
      <c r="M1159" s="2">
        <v>45560</v>
      </c>
      <c r="N1159" s="2">
        <v>45566</v>
      </c>
    </row>
    <row r="1160" spans="1:14" x14ac:dyDescent="0.3">
      <c r="A1160" t="s">
        <v>29</v>
      </c>
      <c r="B1160" t="s">
        <v>35</v>
      </c>
      <c r="C1160" t="s">
        <v>44</v>
      </c>
      <c r="D1160" t="s">
        <v>60</v>
      </c>
      <c r="E1160" t="s">
        <v>62</v>
      </c>
      <c r="F1160" t="s">
        <v>69</v>
      </c>
      <c r="G1160">
        <v>15227.88</v>
      </c>
      <c r="H1160">
        <v>0</v>
      </c>
      <c r="I1160">
        <v>15227.88</v>
      </c>
      <c r="J1160">
        <v>5</v>
      </c>
      <c r="K1160">
        <v>76139.399999999994</v>
      </c>
      <c r="L1160">
        <v>11420.91</v>
      </c>
      <c r="M1160" s="2">
        <v>45419</v>
      </c>
      <c r="N1160" s="2">
        <v>45423</v>
      </c>
    </row>
    <row r="1161" spans="1:14" x14ac:dyDescent="0.3">
      <c r="A1161" t="s">
        <v>18</v>
      </c>
      <c r="B1161" t="s">
        <v>33</v>
      </c>
      <c r="C1161" t="s">
        <v>38</v>
      </c>
      <c r="D1161" t="s">
        <v>59</v>
      </c>
      <c r="E1161" t="s">
        <v>63</v>
      </c>
      <c r="F1161" t="s">
        <v>73</v>
      </c>
      <c r="G1161">
        <v>59766.13</v>
      </c>
      <c r="H1161">
        <v>20</v>
      </c>
      <c r="I1161">
        <v>47812.904000000002</v>
      </c>
      <c r="J1161">
        <v>2</v>
      </c>
      <c r="K1161">
        <v>95625.81</v>
      </c>
      <c r="L1161">
        <v>33469.03</v>
      </c>
      <c r="M1161" s="2">
        <v>45454</v>
      </c>
      <c r="N1161" s="2">
        <v>45459</v>
      </c>
    </row>
    <row r="1162" spans="1:14" x14ac:dyDescent="0.3">
      <c r="A1162" t="s">
        <v>16</v>
      </c>
      <c r="B1162" t="s">
        <v>31</v>
      </c>
      <c r="C1162" t="s">
        <v>42</v>
      </c>
      <c r="D1162" t="s">
        <v>60</v>
      </c>
      <c r="E1162" t="s">
        <v>61</v>
      </c>
      <c r="F1162" t="s">
        <v>70</v>
      </c>
      <c r="G1162">
        <v>2068.0700000000002</v>
      </c>
      <c r="H1162">
        <v>15</v>
      </c>
      <c r="I1162">
        <v>1757.8595</v>
      </c>
      <c r="J1162">
        <v>1</v>
      </c>
      <c r="K1162">
        <v>1757.86</v>
      </c>
      <c r="L1162">
        <v>263.68</v>
      </c>
      <c r="M1162" s="2">
        <v>45494</v>
      </c>
      <c r="N1162" s="2">
        <v>45501</v>
      </c>
    </row>
    <row r="1163" spans="1:14" x14ac:dyDescent="0.3">
      <c r="A1163" t="s">
        <v>30</v>
      </c>
      <c r="B1163" t="s">
        <v>33</v>
      </c>
      <c r="C1163" t="s">
        <v>56</v>
      </c>
      <c r="D1163" t="s">
        <v>60</v>
      </c>
      <c r="E1163" t="s">
        <v>63</v>
      </c>
      <c r="F1163" t="s">
        <v>68</v>
      </c>
      <c r="G1163">
        <v>12327.23</v>
      </c>
      <c r="H1163">
        <v>30</v>
      </c>
      <c r="I1163">
        <v>8629.0609999999997</v>
      </c>
      <c r="J1163">
        <v>5</v>
      </c>
      <c r="K1163">
        <v>43145.31</v>
      </c>
      <c r="L1163">
        <v>6471.8</v>
      </c>
      <c r="M1163" s="2">
        <v>45548</v>
      </c>
      <c r="N1163" s="2">
        <v>45551</v>
      </c>
    </row>
    <row r="1164" spans="1:14" x14ac:dyDescent="0.3">
      <c r="A1164" t="s">
        <v>16</v>
      </c>
      <c r="B1164" t="s">
        <v>31</v>
      </c>
      <c r="C1164" t="s">
        <v>47</v>
      </c>
      <c r="D1164" t="s">
        <v>59</v>
      </c>
      <c r="E1164" t="s">
        <v>62</v>
      </c>
      <c r="F1164" t="s">
        <v>67</v>
      </c>
      <c r="G1164">
        <v>3270.78</v>
      </c>
      <c r="H1164">
        <v>0</v>
      </c>
      <c r="I1164">
        <v>3270.78</v>
      </c>
      <c r="J1164">
        <v>3</v>
      </c>
      <c r="K1164">
        <v>9812.34</v>
      </c>
      <c r="L1164">
        <v>3434.32</v>
      </c>
      <c r="M1164" s="2">
        <v>45861</v>
      </c>
      <c r="N1164" s="2">
        <v>45865</v>
      </c>
    </row>
    <row r="1165" spans="1:14" x14ac:dyDescent="0.3">
      <c r="A1165" t="s">
        <v>30</v>
      </c>
      <c r="B1165" t="s">
        <v>33</v>
      </c>
      <c r="C1165" t="s">
        <v>50</v>
      </c>
      <c r="D1165" t="s">
        <v>59</v>
      </c>
      <c r="E1165" t="s">
        <v>63</v>
      </c>
      <c r="F1165" t="s">
        <v>73</v>
      </c>
      <c r="G1165">
        <v>16847.2</v>
      </c>
      <c r="H1165">
        <v>25</v>
      </c>
      <c r="I1165">
        <v>12635.4</v>
      </c>
      <c r="J1165">
        <v>3</v>
      </c>
      <c r="K1165">
        <v>37906.199999999997</v>
      </c>
      <c r="L1165">
        <v>13267.17</v>
      </c>
      <c r="M1165" s="2">
        <v>45353</v>
      </c>
      <c r="N1165" s="2">
        <v>45361</v>
      </c>
    </row>
    <row r="1166" spans="1:14" x14ac:dyDescent="0.3">
      <c r="A1166" t="s">
        <v>20</v>
      </c>
      <c r="B1166" t="s">
        <v>32</v>
      </c>
      <c r="C1166" t="s">
        <v>43</v>
      </c>
      <c r="D1166" t="s">
        <v>58</v>
      </c>
      <c r="E1166" t="s">
        <v>62</v>
      </c>
      <c r="F1166" t="s">
        <v>67</v>
      </c>
      <c r="G1166">
        <v>31111.24</v>
      </c>
      <c r="H1166">
        <v>20</v>
      </c>
      <c r="I1166">
        <v>24888.991999999998</v>
      </c>
      <c r="J1166">
        <v>5</v>
      </c>
      <c r="K1166">
        <v>124444.96</v>
      </c>
      <c r="L1166">
        <v>31111.24</v>
      </c>
      <c r="M1166" s="2">
        <v>45766</v>
      </c>
      <c r="N1166" s="2">
        <v>45771</v>
      </c>
    </row>
    <row r="1167" spans="1:14" x14ac:dyDescent="0.3">
      <c r="A1167" t="s">
        <v>26</v>
      </c>
      <c r="B1167" t="s">
        <v>32</v>
      </c>
      <c r="C1167" t="s">
        <v>43</v>
      </c>
      <c r="D1167" t="s">
        <v>58</v>
      </c>
      <c r="E1167" t="s">
        <v>61</v>
      </c>
      <c r="F1167" t="s">
        <v>71</v>
      </c>
      <c r="G1167">
        <v>35070.92</v>
      </c>
      <c r="H1167">
        <v>10</v>
      </c>
      <c r="I1167">
        <v>31563.828000000001</v>
      </c>
      <c r="J1167">
        <v>3</v>
      </c>
      <c r="K1167">
        <v>94691.48</v>
      </c>
      <c r="L1167">
        <v>23672.87</v>
      </c>
      <c r="M1167" s="2">
        <v>45800</v>
      </c>
      <c r="N1167" s="2">
        <v>45809</v>
      </c>
    </row>
    <row r="1168" spans="1:14" x14ac:dyDescent="0.3">
      <c r="A1168" t="s">
        <v>29</v>
      </c>
      <c r="B1168" t="s">
        <v>35</v>
      </c>
      <c r="C1168" t="s">
        <v>48</v>
      </c>
      <c r="D1168" t="s">
        <v>58</v>
      </c>
      <c r="E1168" t="s">
        <v>61</v>
      </c>
      <c r="F1168" t="s">
        <v>71</v>
      </c>
      <c r="G1168">
        <v>17367.490000000002</v>
      </c>
      <c r="H1168">
        <v>0</v>
      </c>
      <c r="I1168">
        <v>17367.490000000002</v>
      </c>
      <c r="J1168">
        <v>3</v>
      </c>
      <c r="K1168">
        <v>52102.47</v>
      </c>
      <c r="L1168">
        <v>13025.62</v>
      </c>
      <c r="M1168" s="2">
        <v>45670</v>
      </c>
      <c r="N1168" s="2">
        <v>45678</v>
      </c>
    </row>
    <row r="1169" spans="1:14" x14ac:dyDescent="0.3">
      <c r="A1169" t="s">
        <v>30</v>
      </c>
      <c r="B1169" t="s">
        <v>33</v>
      </c>
      <c r="C1169" t="s">
        <v>50</v>
      </c>
      <c r="D1169" t="s">
        <v>59</v>
      </c>
      <c r="E1169" t="s">
        <v>63</v>
      </c>
      <c r="F1169" t="s">
        <v>73</v>
      </c>
      <c r="G1169">
        <v>16586.05</v>
      </c>
      <c r="H1169">
        <v>20</v>
      </c>
      <c r="I1169">
        <v>13268.84</v>
      </c>
      <c r="J1169">
        <v>1</v>
      </c>
      <c r="K1169">
        <v>13268.84</v>
      </c>
      <c r="L1169">
        <v>4644.09</v>
      </c>
      <c r="M1169" s="2">
        <v>45675</v>
      </c>
      <c r="N1169" s="2">
        <v>45684</v>
      </c>
    </row>
    <row r="1170" spans="1:14" x14ac:dyDescent="0.3">
      <c r="A1170" t="s">
        <v>28</v>
      </c>
      <c r="B1170" t="s">
        <v>34</v>
      </c>
      <c r="C1170" t="s">
        <v>41</v>
      </c>
      <c r="D1170" t="s">
        <v>60</v>
      </c>
      <c r="E1170" t="s">
        <v>64</v>
      </c>
      <c r="F1170" t="s">
        <v>76</v>
      </c>
      <c r="G1170">
        <v>1311.11</v>
      </c>
      <c r="H1170">
        <v>25</v>
      </c>
      <c r="I1170">
        <v>983.33249999999998</v>
      </c>
      <c r="J1170">
        <v>3</v>
      </c>
      <c r="K1170">
        <v>2950</v>
      </c>
      <c r="L1170">
        <v>442.5</v>
      </c>
      <c r="M1170" s="2">
        <v>45649</v>
      </c>
      <c r="N1170" s="2">
        <v>45653</v>
      </c>
    </row>
    <row r="1171" spans="1:14" x14ac:dyDescent="0.3">
      <c r="A1171" t="s">
        <v>18</v>
      </c>
      <c r="B1171" t="s">
        <v>33</v>
      </c>
      <c r="C1171" t="s">
        <v>57</v>
      </c>
      <c r="D1171" t="s">
        <v>60</v>
      </c>
      <c r="E1171" t="s">
        <v>64</v>
      </c>
      <c r="F1171" t="s">
        <v>72</v>
      </c>
      <c r="G1171">
        <v>45141.04</v>
      </c>
      <c r="H1171">
        <v>15</v>
      </c>
      <c r="I1171">
        <v>38369.883999999998</v>
      </c>
      <c r="J1171">
        <v>3</v>
      </c>
      <c r="K1171">
        <v>115109.65</v>
      </c>
      <c r="L1171">
        <v>17266.45</v>
      </c>
      <c r="M1171" s="2">
        <v>45739</v>
      </c>
      <c r="N1171" s="2">
        <v>45744</v>
      </c>
    </row>
    <row r="1172" spans="1:14" x14ac:dyDescent="0.3">
      <c r="A1172" t="s">
        <v>20</v>
      </c>
      <c r="B1172" t="s">
        <v>32</v>
      </c>
      <c r="C1172" t="s">
        <v>43</v>
      </c>
      <c r="D1172" t="s">
        <v>58</v>
      </c>
      <c r="E1172" t="s">
        <v>62</v>
      </c>
      <c r="F1172" t="s">
        <v>66</v>
      </c>
      <c r="G1172">
        <v>32655.95</v>
      </c>
      <c r="H1172">
        <v>5</v>
      </c>
      <c r="I1172">
        <v>31023.1525</v>
      </c>
      <c r="J1172">
        <v>4</v>
      </c>
      <c r="K1172">
        <v>124092.61</v>
      </c>
      <c r="L1172">
        <v>31023.15</v>
      </c>
      <c r="M1172" s="2">
        <v>45767</v>
      </c>
      <c r="N1172" s="2">
        <v>45769</v>
      </c>
    </row>
    <row r="1173" spans="1:14" x14ac:dyDescent="0.3">
      <c r="A1173" t="s">
        <v>29</v>
      </c>
      <c r="B1173" t="s">
        <v>35</v>
      </c>
      <c r="C1173" t="s">
        <v>38</v>
      </c>
      <c r="D1173" t="s">
        <v>59</v>
      </c>
      <c r="E1173" t="s">
        <v>62</v>
      </c>
      <c r="F1173" t="s">
        <v>66</v>
      </c>
      <c r="G1173">
        <v>23515.77</v>
      </c>
      <c r="H1173">
        <v>5</v>
      </c>
      <c r="I1173">
        <v>22339.981500000002</v>
      </c>
      <c r="J1173">
        <v>4</v>
      </c>
      <c r="K1173">
        <v>89359.93</v>
      </c>
      <c r="L1173">
        <v>31275.98</v>
      </c>
      <c r="M1173" s="2">
        <v>45642</v>
      </c>
      <c r="N1173" s="2">
        <v>45651</v>
      </c>
    </row>
    <row r="1174" spans="1:14" x14ac:dyDescent="0.3">
      <c r="A1174" t="s">
        <v>25</v>
      </c>
      <c r="B1174" t="s">
        <v>34</v>
      </c>
      <c r="C1174" t="s">
        <v>51</v>
      </c>
      <c r="D1174" t="s">
        <v>59</v>
      </c>
      <c r="E1174" t="s">
        <v>61</v>
      </c>
      <c r="F1174" t="s">
        <v>65</v>
      </c>
      <c r="G1174">
        <v>896.74</v>
      </c>
      <c r="H1174">
        <v>30</v>
      </c>
      <c r="I1174">
        <v>627.71799999999996</v>
      </c>
      <c r="J1174">
        <v>4</v>
      </c>
      <c r="K1174">
        <v>2510.87</v>
      </c>
      <c r="L1174">
        <v>878.8</v>
      </c>
      <c r="M1174" s="2">
        <v>45323</v>
      </c>
      <c r="N1174" s="2">
        <v>45326</v>
      </c>
    </row>
    <row r="1175" spans="1:14" x14ac:dyDescent="0.3">
      <c r="A1175" t="s">
        <v>27</v>
      </c>
      <c r="B1175" t="s">
        <v>35</v>
      </c>
      <c r="C1175" t="s">
        <v>44</v>
      </c>
      <c r="D1175" t="s">
        <v>60</v>
      </c>
      <c r="E1175" t="s">
        <v>62</v>
      </c>
      <c r="F1175" t="s">
        <v>67</v>
      </c>
      <c r="G1175">
        <v>7318.79</v>
      </c>
      <c r="H1175">
        <v>30</v>
      </c>
      <c r="I1175">
        <v>5123.1529999999993</v>
      </c>
      <c r="J1175">
        <v>3</v>
      </c>
      <c r="K1175">
        <v>15369.46</v>
      </c>
      <c r="L1175">
        <v>2305.42</v>
      </c>
      <c r="M1175" s="2">
        <v>45740</v>
      </c>
      <c r="N1175" s="2">
        <v>45742</v>
      </c>
    </row>
    <row r="1176" spans="1:14" x14ac:dyDescent="0.3">
      <c r="A1176" t="s">
        <v>27</v>
      </c>
      <c r="B1176" t="s">
        <v>35</v>
      </c>
      <c r="C1176" t="s">
        <v>46</v>
      </c>
      <c r="D1176" t="s">
        <v>59</v>
      </c>
      <c r="E1176" t="s">
        <v>61</v>
      </c>
      <c r="F1176" t="s">
        <v>70</v>
      </c>
      <c r="G1176">
        <v>9829.91</v>
      </c>
      <c r="H1176">
        <v>5</v>
      </c>
      <c r="I1176">
        <v>9338.414499999999</v>
      </c>
      <c r="J1176">
        <v>3</v>
      </c>
      <c r="K1176">
        <v>28015.24</v>
      </c>
      <c r="L1176">
        <v>9805.33</v>
      </c>
      <c r="M1176" s="2">
        <v>45782</v>
      </c>
      <c r="N1176" s="2">
        <v>45785</v>
      </c>
    </row>
    <row r="1177" spans="1:14" x14ac:dyDescent="0.3">
      <c r="A1177" t="s">
        <v>18</v>
      </c>
      <c r="B1177" t="s">
        <v>33</v>
      </c>
      <c r="C1177" t="s">
        <v>57</v>
      </c>
      <c r="D1177" t="s">
        <v>60</v>
      </c>
      <c r="E1177" t="s">
        <v>64</v>
      </c>
      <c r="F1177" t="s">
        <v>76</v>
      </c>
      <c r="G1177">
        <v>45841.86</v>
      </c>
      <c r="H1177">
        <v>5</v>
      </c>
      <c r="I1177">
        <v>43549.767</v>
      </c>
      <c r="J1177">
        <v>2</v>
      </c>
      <c r="K1177">
        <v>87099.53</v>
      </c>
      <c r="L1177">
        <v>13064.93</v>
      </c>
      <c r="M1177" s="2">
        <v>45372</v>
      </c>
      <c r="N1177" s="2">
        <v>45376</v>
      </c>
    </row>
    <row r="1178" spans="1:14" x14ac:dyDescent="0.3">
      <c r="A1178" t="s">
        <v>17</v>
      </c>
      <c r="B1178" t="s">
        <v>32</v>
      </c>
      <c r="C1178" t="s">
        <v>40</v>
      </c>
      <c r="D1178" t="s">
        <v>59</v>
      </c>
      <c r="E1178" t="s">
        <v>64</v>
      </c>
      <c r="F1178" t="s">
        <v>74</v>
      </c>
      <c r="G1178">
        <v>10735.75</v>
      </c>
      <c r="H1178">
        <v>0</v>
      </c>
      <c r="I1178">
        <v>10735.75</v>
      </c>
      <c r="J1178">
        <v>2</v>
      </c>
      <c r="K1178">
        <v>21471.5</v>
      </c>
      <c r="L1178">
        <v>7515.02</v>
      </c>
      <c r="M1178" s="2">
        <v>45429</v>
      </c>
      <c r="N1178" s="2">
        <v>45436</v>
      </c>
    </row>
    <row r="1179" spans="1:14" x14ac:dyDescent="0.3">
      <c r="A1179" t="s">
        <v>21</v>
      </c>
      <c r="B1179" t="s">
        <v>34</v>
      </c>
      <c r="C1179" t="s">
        <v>45</v>
      </c>
      <c r="D1179" t="s">
        <v>59</v>
      </c>
      <c r="E1179" t="s">
        <v>64</v>
      </c>
      <c r="F1179" t="s">
        <v>74</v>
      </c>
      <c r="G1179">
        <v>3708.02</v>
      </c>
      <c r="H1179">
        <v>0</v>
      </c>
      <c r="I1179">
        <v>3708.02</v>
      </c>
      <c r="J1179">
        <v>3</v>
      </c>
      <c r="K1179">
        <v>11124.06</v>
      </c>
      <c r="L1179">
        <v>3893.42</v>
      </c>
      <c r="M1179" s="2">
        <v>45833</v>
      </c>
      <c r="N1179" s="2">
        <v>45841</v>
      </c>
    </row>
    <row r="1180" spans="1:14" x14ac:dyDescent="0.3">
      <c r="A1180" t="s">
        <v>24</v>
      </c>
      <c r="B1180" t="s">
        <v>32</v>
      </c>
      <c r="C1180" t="s">
        <v>40</v>
      </c>
      <c r="D1180" t="s">
        <v>59</v>
      </c>
      <c r="E1180" t="s">
        <v>63</v>
      </c>
      <c r="F1180" t="s">
        <v>68</v>
      </c>
      <c r="G1180">
        <v>28487.33</v>
      </c>
      <c r="H1180">
        <v>20</v>
      </c>
      <c r="I1180">
        <v>22789.864000000001</v>
      </c>
      <c r="J1180">
        <v>4</v>
      </c>
      <c r="K1180">
        <v>91159.46</v>
      </c>
      <c r="L1180">
        <v>31905.81</v>
      </c>
      <c r="M1180" s="2">
        <v>45772</v>
      </c>
      <c r="N1180" s="2">
        <v>45782</v>
      </c>
    </row>
    <row r="1181" spans="1:14" x14ac:dyDescent="0.3">
      <c r="A1181" t="s">
        <v>28</v>
      </c>
      <c r="B1181" t="s">
        <v>34</v>
      </c>
      <c r="C1181" t="s">
        <v>45</v>
      </c>
      <c r="D1181" t="s">
        <v>59</v>
      </c>
      <c r="E1181" t="s">
        <v>64</v>
      </c>
      <c r="F1181" t="s">
        <v>74</v>
      </c>
      <c r="G1181">
        <v>2008.06</v>
      </c>
      <c r="H1181">
        <v>10</v>
      </c>
      <c r="I1181">
        <v>1807.2539999999999</v>
      </c>
      <c r="J1181">
        <v>2</v>
      </c>
      <c r="K1181">
        <v>3614.51</v>
      </c>
      <c r="L1181">
        <v>1265.08</v>
      </c>
      <c r="M1181" s="2">
        <v>45351</v>
      </c>
      <c r="N1181" s="2">
        <v>45361</v>
      </c>
    </row>
    <row r="1182" spans="1:14" x14ac:dyDescent="0.3">
      <c r="A1182" t="s">
        <v>19</v>
      </c>
      <c r="B1182" t="s">
        <v>33</v>
      </c>
      <c r="C1182" t="s">
        <v>56</v>
      </c>
      <c r="D1182" t="s">
        <v>60</v>
      </c>
      <c r="E1182" t="s">
        <v>62</v>
      </c>
      <c r="F1182" t="s">
        <v>67</v>
      </c>
      <c r="G1182">
        <v>1730.57</v>
      </c>
      <c r="H1182">
        <v>5</v>
      </c>
      <c r="I1182">
        <v>1644.0415</v>
      </c>
      <c r="J1182">
        <v>3</v>
      </c>
      <c r="K1182">
        <v>4932.12</v>
      </c>
      <c r="L1182">
        <v>739.82</v>
      </c>
      <c r="M1182" s="2">
        <v>45415</v>
      </c>
      <c r="N1182" s="2">
        <v>45425</v>
      </c>
    </row>
    <row r="1183" spans="1:14" x14ac:dyDescent="0.3">
      <c r="A1183" t="s">
        <v>22</v>
      </c>
      <c r="B1183" t="s">
        <v>31</v>
      </c>
      <c r="C1183" t="s">
        <v>36</v>
      </c>
      <c r="D1183" t="s">
        <v>58</v>
      </c>
      <c r="E1183" t="s">
        <v>61</v>
      </c>
      <c r="F1183" t="s">
        <v>65</v>
      </c>
      <c r="G1183">
        <v>3402.44</v>
      </c>
      <c r="H1183">
        <v>30</v>
      </c>
      <c r="I1183">
        <v>2381.7080000000001</v>
      </c>
      <c r="J1183">
        <v>3</v>
      </c>
      <c r="K1183">
        <v>7145.12</v>
      </c>
      <c r="L1183">
        <v>1786.28</v>
      </c>
      <c r="M1183" s="2">
        <v>45574</v>
      </c>
      <c r="N1183" s="2">
        <v>45583</v>
      </c>
    </row>
    <row r="1184" spans="1:14" x14ac:dyDescent="0.3">
      <c r="A1184" t="s">
        <v>30</v>
      </c>
      <c r="B1184" t="s">
        <v>33</v>
      </c>
      <c r="C1184" t="s">
        <v>39</v>
      </c>
      <c r="D1184" t="s">
        <v>58</v>
      </c>
      <c r="E1184" t="s">
        <v>61</v>
      </c>
      <c r="F1184" t="s">
        <v>70</v>
      </c>
      <c r="G1184">
        <v>14314.31</v>
      </c>
      <c r="H1184">
        <v>15</v>
      </c>
      <c r="I1184">
        <v>12167.163500000001</v>
      </c>
      <c r="J1184">
        <v>3</v>
      </c>
      <c r="K1184">
        <v>36501.49</v>
      </c>
      <c r="L1184">
        <v>9125.3700000000008</v>
      </c>
      <c r="M1184" s="2">
        <v>45406</v>
      </c>
      <c r="N1184" s="2">
        <v>45414</v>
      </c>
    </row>
    <row r="1185" spans="1:14" x14ac:dyDescent="0.3">
      <c r="A1185" t="s">
        <v>26</v>
      </c>
      <c r="B1185" t="s">
        <v>32</v>
      </c>
      <c r="C1185" t="s">
        <v>54</v>
      </c>
      <c r="D1185" t="s">
        <v>60</v>
      </c>
      <c r="E1185" t="s">
        <v>64</v>
      </c>
      <c r="F1185" t="s">
        <v>74</v>
      </c>
      <c r="G1185">
        <v>31034.75</v>
      </c>
      <c r="H1185">
        <v>30</v>
      </c>
      <c r="I1185">
        <v>21724.325000000001</v>
      </c>
      <c r="J1185">
        <v>1</v>
      </c>
      <c r="K1185">
        <v>21724.32</v>
      </c>
      <c r="L1185">
        <v>3258.65</v>
      </c>
      <c r="M1185" s="2">
        <v>45354</v>
      </c>
      <c r="N1185" s="2">
        <v>45358</v>
      </c>
    </row>
    <row r="1186" spans="1:14" x14ac:dyDescent="0.3">
      <c r="A1186" t="s">
        <v>17</v>
      </c>
      <c r="B1186" t="s">
        <v>32</v>
      </c>
      <c r="C1186" t="s">
        <v>37</v>
      </c>
      <c r="D1186" t="s">
        <v>59</v>
      </c>
      <c r="E1186" t="s">
        <v>63</v>
      </c>
      <c r="F1186" t="s">
        <v>73</v>
      </c>
      <c r="G1186">
        <v>9512.07</v>
      </c>
      <c r="H1186">
        <v>15</v>
      </c>
      <c r="I1186">
        <v>8085.2594999999992</v>
      </c>
      <c r="J1186">
        <v>5</v>
      </c>
      <c r="K1186">
        <v>40426.300000000003</v>
      </c>
      <c r="L1186">
        <v>14149.2</v>
      </c>
      <c r="M1186" s="2">
        <v>45545</v>
      </c>
      <c r="N1186" s="2">
        <v>45547</v>
      </c>
    </row>
    <row r="1187" spans="1:14" x14ac:dyDescent="0.3">
      <c r="A1187" t="s">
        <v>18</v>
      </c>
      <c r="B1187" t="s">
        <v>33</v>
      </c>
      <c r="C1187" t="s">
        <v>38</v>
      </c>
      <c r="D1187" t="s">
        <v>59</v>
      </c>
      <c r="E1187" t="s">
        <v>61</v>
      </c>
      <c r="F1187" t="s">
        <v>70</v>
      </c>
      <c r="G1187">
        <v>60486.69</v>
      </c>
      <c r="H1187">
        <v>10</v>
      </c>
      <c r="I1187">
        <v>54438.021000000001</v>
      </c>
      <c r="J1187">
        <v>2</v>
      </c>
      <c r="K1187">
        <v>108876.04</v>
      </c>
      <c r="L1187">
        <v>38106.61</v>
      </c>
      <c r="M1187" s="2">
        <v>45454</v>
      </c>
      <c r="N1187" s="2">
        <v>45458</v>
      </c>
    </row>
    <row r="1188" spans="1:14" x14ac:dyDescent="0.3">
      <c r="A1188" t="s">
        <v>18</v>
      </c>
      <c r="B1188" t="s">
        <v>33</v>
      </c>
      <c r="C1188" t="s">
        <v>50</v>
      </c>
      <c r="D1188" t="s">
        <v>59</v>
      </c>
      <c r="E1188" t="s">
        <v>63</v>
      </c>
      <c r="F1188" t="s">
        <v>73</v>
      </c>
      <c r="G1188">
        <v>58921.3</v>
      </c>
      <c r="H1188">
        <v>5</v>
      </c>
      <c r="I1188">
        <v>55975.235000000001</v>
      </c>
      <c r="J1188">
        <v>2</v>
      </c>
      <c r="K1188">
        <v>111950.47</v>
      </c>
      <c r="L1188">
        <v>39182.660000000003</v>
      </c>
      <c r="M1188" s="2">
        <v>45765</v>
      </c>
      <c r="N1188" s="2">
        <v>45774</v>
      </c>
    </row>
    <row r="1189" spans="1:14" x14ac:dyDescent="0.3">
      <c r="A1189" t="s">
        <v>17</v>
      </c>
      <c r="B1189" t="s">
        <v>32</v>
      </c>
      <c r="C1189" t="s">
        <v>54</v>
      </c>
      <c r="D1189" t="s">
        <v>60</v>
      </c>
      <c r="E1189" t="s">
        <v>64</v>
      </c>
      <c r="F1189" t="s">
        <v>76</v>
      </c>
      <c r="G1189">
        <v>7048.09</v>
      </c>
      <c r="H1189">
        <v>20</v>
      </c>
      <c r="I1189">
        <v>5638.4720000000007</v>
      </c>
      <c r="J1189">
        <v>4</v>
      </c>
      <c r="K1189">
        <v>22553.89</v>
      </c>
      <c r="L1189">
        <v>3383.08</v>
      </c>
      <c r="M1189" s="2">
        <v>45680</v>
      </c>
      <c r="N1189" s="2">
        <v>45684</v>
      </c>
    </row>
    <row r="1190" spans="1:14" x14ac:dyDescent="0.3">
      <c r="A1190" t="s">
        <v>20</v>
      </c>
      <c r="B1190" t="s">
        <v>32</v>
      </c>
      <c r="C1190" t="s">
        <v>37</v>
      </c>
      <c r="D1190" t="s">
        <v>59</v>
      </c>
      <c r="E1190" t="s">
        <v>62</v>
      </c>
      <c r="F1190" t="s">
        <v>69</v>
      </c>
      <c r="G1190">
        <v>36118.46</v>
      </c>
      <c r="H1190">
        <v>0</v>
      </c>
      <c r="I1190">
        <v>36118.46</v>
      </c>
      <c r="J1190">
        <v>5</v>
      </c>
      <c r="K1190">
        <v>180592.3</v>
      </c>
      <c r="L1190">
        <v>63207.3</v>
      </c>
      <c r="M1190" s="2">
        <v>45428</v>
      </c>
      <c r="N1190" s="2">
        <v>45434</v>
      </c>
    </row>
    <row r="1191" spans="1:14" x14ac:dyDescent="0.3">
      <c r="A1191" t="s">
        <v>27</v>
      </c>
      <c r="B1191" t="s">
        <v>35</v>
      </c>
      <c r="C1191" t="s">
        <v>48</v>
      </c>
      <c r="D1191" t="s">
        <v>58</v>
      </c>
      <c r="E1191" t="s">
        <v>61</v>
      </c>
      <c r="F1191" t="s">
        <v>65</v>
      </c>
      <c r="G1191">
        <v>7580.6</v>
      </c>
      <c r="H1191">
        <v>20</v>
      </c>
      <c r="I1191">
        <v>6064.48</v>
      </c>
      <c r="J1191">
        <v>3</v>
      </c>
      <c r="K1191">
        <v>18193.439999999999</v>
      </c>
      <c r="L1191">
        <v>4548.3599999999997</v>
      </c>
      <c r="M1191" s="2">
        <v>45778</v>
      </c>
      <c r="N1191" s="2">
        <v>45786</v>
      </c>
    </row>
    <row r="1192" spans="1:14" x14ac:dyDescent="0.3">
      <c r="A1192" t="s">
        <v>22</v>
      </c>
      <c r="B1192" t="s">
        <v>31</v>
      </c>
      <c r="C1192" t="s">
        <v>47</v>
      </c>
      <c r="D1192" t="s">
        <v>59</v>
      </c>
      <c r="E1192" t="s">
        <v>62</v>
      </c>
      <c r="F1192" t="s">
        <v>66</v>
      </c>
      <c r="G1192">
        <v>4414.79</v>
      </c>
      <c r="H1192">
        <v>10</v>
      </c>
      <c r="I1192">
        <v>3973.3110000000001</v>
      </c>
      <c r="J1192">
        <v>5</v>
      </c>
      <c r="K1192">
        <v>19866.560000000001</v>
      </c>
      <c r="L1192">
        <v>6953.3</v>
      </c>
      <c r="M1192" s="2">
        <v>45467</v>
      </c>
      <c r="N1192" s="2">
        <v>45476</v>
      </c>
    </row>
    <row r="1193" spans="1:14" x14ac:dyDescent="0.3">
      <c r="A1193" t="s">
        <v>23</v>
      </c>
      <c r="B1193" t="s">
        <v>35</v>
      </c>
      <c r="C1193" t="s">
        <v>44</v>
      </c>
      <c r="D1193" t="s">
        <v>60</v>
      </c>
      <c r="E1193" t="s">
        <v>64</v>
      </c>
      <c r="F1193" t="s">
        <v>74</v>
      </c>
      <c r="G1193">
        <v>22524.14</v>
      </c>
      <c r="H1193">
        <v>20</v>
      </c>
      <c r="I1193">
        <v>18019.312000000002</v>
      </c>
      <c r="J1193">
        <v>2</v>
      </c>
      <c r="K1193">
        <v>36038.620000000003</v>
      </c>
      <c r="L1193">
        <v>5405.79</v>
      </c>
      <c r="M1193" s="2">
        <v>45680</v>
      </c>
      <c r="N1193" s="2">
        <v>45688</v>
      </c>
    </row>
    <row r="1194" spans="1:14" x14ac:dyDescent="0.3">
      <c r="A1194" t="s">
        <v>19</v>
      </c>
      <c r="B1194" t="s">
        <v>33</v>
      </c>
      <c r="C1194" t="s">
        <v>38</v>
      </c>
      <c r="D1194" t="s">
        <v>59</v>
      </c>
      <c r="E1194" t="s">
        <v>64</v>
      </c>
      <c r="F1194" t="s">
        <v>76</v>
      </c>
      <c r="G1194">
        <v>2482.9699999999998</v>
      </c>
      <c r="H1194">
        <v>5</v>
      </c>
      <c r="I1194">
        <v>2358.8215</v>
      </c>
      <c r="J1194">
        <v>1</v>
      </c>
      <c r="K1194">
        <v>2358.8200000000002</v>
      </c>
      <c r="L1194">
        <v>825.59</v>
      </c>
      <c r="M1194" s="2">
        <v>45672</v>
      </c>
      <c r="N1194" s="2">
        <v>45682</v>
      </c>
    </row>
    <row r="1195" spans="1:14" x14ac:dyDescent="0.3">
      <c r="A1195" t="s">
        <v>19</v>
      </c>
      <c r="B1195" t="s">
        <v>33</v>
      </c>
      <c r="C1195" t="s">
        <v>56</v>
      </c>
      <c r="D1195" t="s">
        <v>60</v>
      </c>
      <c r="E1195" t="s">
        <v>62</v>
      </c>
      <c r="F1195" t="s">
        <v>66</v>
      </c>
      <c r="G1195">
        <v>1810.76</v>
      </c>
      <c r="H1195">
        <v>5</v>
      </c>
      <c r="I1195">
        <v>1720.222</v>
      </c>
      <c r="J1195">
        <v>1</v>
      </c>
      <c r="K1195">
        <v>1720.22</v>
      </c>
      <c r="L1195">
        <v>258.02999999999997</v>
      </c>
      <c r="M1195" s="2">
        <v>45608</v>
      </c>
      <c r="N1195" s="2">
        <v>45618</v>
      </c>
    </row>
    <row r="1196" spans="1:14" x14ac:dyDescent="0.3">
      <c r="A1196" t="s">
        <v>18</v>
      </c>
      <c r="B1196" t="s">
        <v>33</v>
      </c>
      <c r="C1196" t="s">
        <v>57</v>
      </c>
      <c r="D1196" t="s">
        <v>60</v>
      </c>
      <c r="E1196" t="s">
        <v>64</v>
      </c>
      <c r="F1196" t="s">
        <v>72</v>
      </c>
      <c r="G1196">
        <v>44044.98</v>
      </c>
      <c r="H1196">
        <v>20</v>
      </c>
      <c r="I1196">
        <v>35235.983999999997</v>
      </c>
      <c r="J1196">
        <v>1</v>
      </c>
      <c r="K1196">
        <v>35235.980000000003</v>
      </c>
      <c r="L1196">
        <v>5285.4</v>
      </c>
      <c r="M1196" s="2">
        <v>45462</v>
      </c>
      <c r="N1196" s="2">
        <v>45470</v>
      </c>
    </row>
    <row r="1197" spans="1:14" x14ac:dyDescent="0.3">
      <c r="A1197" t="s">
        <v>18</v>
      </c>
      <c r="B1197" t="s">
        <v>33</v>
      </c>
      <c r="C1197" t="s">
        <v>53</v>
      </c>
      <c r="D1197" t="s">
        <v>58</v>
      </c>
      <c r="E1197" t="s">
        <v>64</v>
      </c>
      <c r="F1197" t="s">
        <v>72</v>
      </c>
      <c r="G1197">
        <v>54612.22</v>
      </c>
      <c r="H1197">
        <v>20</v>
      </c>
      <c r="I1197">
        <v>43689.776000000013</v>
      </c>
      <c r="J1197">
        <v>2</v>
      </c>
      <c r="K1197">
        <v>87379.55</v>
      </c>
      <c r="L1197">
        <v>21844.89</v>
      </c>
      <c r="M1197" s="2">
        <v>45469</v>
      </c>
      <c r="N1197" s="2">
        <v>45473</v>
      </c>
    </row>
    <row r="1198" spans="1:14" x14ac:dyDescent="0.3">
      <c r="A1198" t="s">
        <v>28</v>
      </c>
      <c r="B1198" t="s">
        <v>34</v>
      </c>
      <c r="C1198" t="s">
        <v>55</v>
      </c>
      <c r="D1198" t="s">
        <v>58</v>
      </c>
      <c r="E1198" t="s">
        <v>63</v>
      </c>
      <c r="F1198" t="s">
        <v>68</v>
      </c>
      <c r="G1198">
        <v>1389.71</v>
      </c>
      <c r="H1198">
        <v>0</v>
      </c>
      <c r="I1198">
        <v>1389.71</v>
      </c>
      <c r="J1198">
        <v>2</v>
      </c>
      <c r="K1198">
        <v>2779.42</v>
      </c>
      <c r="L1198">
        <v>694.86</v>
      </c>
      <c r="M1198" s="2">
        <v>45790</v>
      </c>
      <c r="N1198" s="2">
        <v>45795</v>
      </c>
    </row>
    <row r="1199" spans="1:14" x14ac:dyDescent="0.3">
      <c r="A1199" t="s">
        <v>17</v>
      </c>
      <c r="B1199" t="s">
        <v>32</v>
      </c>
      <c r="C1199" t="s">
        <v>43</v>
      </c>
      <c r="D1199" t="s">
        <v>58</v>
      </c>
      <c r="E1199" t="s">
        <v>63</v>
      </c>
      <c r="F1199" t="s">
        <v>73</v>
      </c>
      <c r="G1199">
        <v>7533.25</v>
      </c>
      <c r="H1199">
        <v>25</v>
      </c>
      <c r="I1199">
        <v>5649.9375</v>
      </c>
      <c r="J1199">
        <v>5</v>
      </c>
      <c r="K1199">
        <v>28249.69</v>
      </c>
      <c r="L1199">
        <v>7062.42</v>
      </c>
      <c r="M1199" s="2">
        <v>45348</v>
      </c>
      <c r="N1199" s="2">
        <v>45353</v>
      </c>
    </row>
    <row r="1200" spans="1:14" x14ac:dyDescent="0.3">
      <c r="A1200" t="s">
        <v>22</v>
      </c>
      <c r="B1200" t="s">
        <v>31</v>
      </c>
      <c r="C1200" t="s">
        <v>47</v>
      </c>
      <c r="D1200" t="s">
        <v>59</v>
      </c>
      <c r="E1200" t="s">
        <v>61</v>
      </c>
      <c r="F1200" t="s">
        <v>70</v>
      </c>
      <c r="G1200">
        <v>4295.24</v>
      </c>
      <c r="H1200">
        <v>5</v>
      </c>
      <c r="I1200">
        <v>4080.4780000000001</v>
      </c>
      <c r="J1200">
        <v>4</v>
      </c>
      <c r="K1200">
        <v>16321.91</v>
      </c>
      <c r="L1200">
        <v>5712.67</v>
      </c>
      <c r="M1200" s="2">
        <v>45431</v>
      </c>
      <c r="N1200" s="2">
        <v>45441</v>
      </c>
    </row>
    <row r="1201" spans="1:14" x14ac:dyDescent="0.3">
      <c r="A1201" t="s">
        <v>23</v>
      </c>
      <c r="B1201" t="s">
        <v>35</v>
      </c>
      <c r="C1201" t="s">
        <v>44</v>
      </c>
      <c r="D1201" t="s">
        <v>60</v>
      </c>
      <c r="E1201" t="s">
        <v>62</v>
      </c>
      <c r="F1201" t="s">
        <v>66</v>
      </c>
      <c r="G1201">
        <v>22650.2</v>
      </c>
      <c r="H1201">
        <v>15</v>
      </c>
      <c r="I1201">
        <v>19252.669999999998</v>
      </c>
      <c r="J1201">
        <v>1</v>
      </c>
      <c r="K1201">
        <v>19252.669999999998</v>
      </c>
      <c r="L1201">
        <v>2887.9</v>
      </c>
      <c r="M1201" s="2">
        <v>45853</v>
      </c>
      <c r="N1201" s="2">
        <v>45863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08375-FB0C-4AD1-86AC-84E19E8D373C}">
  <dimension ref="A3:H21"/>
  <sheetViews>
    <sheetView workbookViewId="0">
      <selection activeCell="E5" sqref="E5:F21"/>
    </sheetView>
  </sheetViews>
  <sheetFormatPr defaultRowHeight="14.4" x14ac:dyDescent="0.3"/>
  <cols>
    <col min="1" max="1" width="15.44140625" bestFit="1" customWidth="1"/>
    <col min="2" max="2" width="17.44140625" bestFit="1" customWidth="1"/>
    <col min="3" max="4" width="8.6640625" bestFit="1" customWidth="1"/>
    <col min="5" max="5" width="10.77734375" bestFit="1" customWidth="1"/>
  </cols>
  <sheetData>
    <row r="3" spans="1:8" x14ac:dyDescent="0.3">
      <c r="A3" s="29" t="s">
        <v>1395</v>
      </c>
      <c r="B3" t="s">
        <v>1397</v>
      </c>
    </row>
    <row r="4" spans="1:8" x14ac:dyDescent="0.3">
      <c r="A4" s="99" t="s">
        <v>20</v>
      </c>
      <c r="B4" s="15">
        <v>4</v>
      </c>
    </row>
    <row r="5" spans="1:8" x14ac:dyDescent="0.3">
      <c r="A5" s="99" t="s">
        <v>17</v>
      </c>
      <c r="B5" s="15">
        <v>4</v>
      </c>
      <c r="E5" s="29" t="s">
        <v>1395</v>
      </c>
      <c r="F5" t="s">
        <v>1397</v>
      </c>
    </row>
    <row r="6" spans="1:8" x14ac:dyDescent="0.3">
      <c r="A6" s="99" t="s">
        <v>24</v>
      </c>
      <c r="B6" s="15">
        <v>4</v>
      </c>
      <c r="E6" s="99" t="s">
        <v>20</v>
      </c>
      <c r="F6" s="15">
        <v>4</v>
      </c>
      <c r="G6" s="99"/>
      <c r="H6" s="15"/>
    </row>
    <row r="7" spans="1:8" x14ac:dyDescent="0.3">
      <c r="A7" s="99" t="s">
        <v>22</v>
      </c>
      <c r="B7" s="15">
        <v>3</v>
      </c>
      <c r="E7" s="99" t="s">
        <v>17</v>
      </c>
      <c r="F7" s="15">
        <v>4</v>
      </c>
      <c r="G7" s="99"/>
      <c r="H7" s="15"/>
    </row>
    <row r="8" spans="1:8" x14ac:dyDescent="0.3">
      <c r="A8" s="99" t="s">
        <v>19</v>
      </c>
      <c r="B8" s="15">
        <v>6</v>
      </c>
      <c r="E8" s="99" t="s">
        <v>24</v>
      </c>
      <c r="F8" s="15">
        <v>4</v>
      </c>
      <c r="G8" s="99"/>
      <c r="H8" s="15"/>
    </row>
    <row r="9" spans="1:8" x14ac:dyDescent="0.3">
      <c r="A9" s="99" t="s">
        <v>21</v>
      </c>
      <c r="B9" s="15">
        <v>6</v>
      </c>
      <c r="E9" s="99" t="s">
        <v>22</v>
      </c>
      <c r="F9" s="15">
        <v>3</v>
      </c>
      <c r="G9" s="99"/>
      <c r="H9" s="15"/>
    </row>
    <row r="10" spans="1:8" x14ac:dyDescent="0.3">
      <c r="A10" s="99" t="s">
        <v>28</v>
      </c>
      <c r="B10" s="15">
        <v>6</v>
      </c>
      <c r="E10" s="99" t="s">
        <v>19</v>
      </c>
      <c r="F10" s="15">
        <v>6</v>
      </c>
      <c r="G10" s="99"/>
      <c r="H10" s="15"/>
    </row>
    <row r="11" spans="1:8" x14ac:dyDescent="0.3">
      <c r="A11" s="99" t="s">
        <v>18</v>
      </c>
      <c r="B11" s="15">
        <v>6</v>
      </c>
      <c r="E11" s="99" t="s">
        <v>21</v>
      </c>
      <c r="F11" s="15">
        <v>6</v>
      </c>
      <c r="G11" s="99"/>
      <c r="H11" s="15"/>
    </row>
    <row r="12" spans="1:8" x14ac:dyDescent="0.3">
      <c r="A12" s="99" t="s">
        <v>27</v>
      </c>
      <c r="B12" s="15">
        <v>4</v>
      </c>
      <c r="E12" s="99" t="s">
        <v>28</v>
      </c>
      <c r="F12" s="15">
        <v>6</v>
      </c>
      <c r="G12" s="99"/>
      <c r="H12" s="15"/>
    </row>
    <row r="13" spans="1:8" x14ac:dyDescent="0.3">
      <c r="A13" s="99" t="s">
        <v>23</v>
      </c>
      <c r="B13" s="15">
        <v>4</v>
      </c>
      <c r="E13" s="99" t="s">
        <v>18</v>
      </c>
      <c r="F13" s="15">
        <v>6</v>
      </c>
      <c r="G13" s="99"/>
      <c r="H13" s="15"/>
    </row>
    <row r="14" spans="1:8" x14ac:dyDescent="0.3">
      <c r="A14" s="99" t="s">
        <v>30</v>
      </c>
      <c r="B14" s="15">
        <v>6</v>
      </c>
      <c r="E14" s="99" t="s">
        <v>27</v>
      </c>
      <c r="F14" s="15">
        <v>4</v>
      </c>
      <c r="G14" s="99"/>
      <c r="H14" s="15"/>
    </row>
    <row r="15" spans="1:8" x14ac:dyDescent="0.3">
      <c r="A15" s="99" t="s">
        <v>16</v>
      </c>
      <c r="B15" s="15">
        <v>3</v>
      </c>
      <c r="E15" s="99" t="s">
        <v>23</v>
      </c>
      <c r="F15" s="15">
        <v>4</v>
      </c>
      <c r="G15" s="99"/>
      <c r="H15" s="15"/>
    </row>
    <row r="16" spans="1:8" x14ac:dyDescent="0.3">
      <c r="A16" s="99" t="s">
        <v>26</v>
      </c>
      <c r="B16" s="15">
        <v>4</v>
      </c>
      <c r="E16" s="99" t="s">
        <v>30</v>
      </c>
      <c r="F16" s="15">
        <v>6</v>
      </c>
      <c r="G16" s="99"/>
      <c r="H16" s="15"/>
    </row>
    <row r="17" spans="1:8" x14ac:dyDescent="0.3">
      <c r="A17" s="99" t="s">
        <v>25</v>
      </c>
      <c r="B17" s="15">
        <v>6</v>
      </c>
      <c r="E17" s="99" t="s">
        <v>16</v>
      </c>
      <c r="F17" s="15">
        <v>3</v>
      </c>
      <c r="G17" s="99"/>
      <c r="H17" s="15"/>
    </row>
    <row r="18" spans="1:8" x14ac:dyDescent="0.3">
      <c r="A18" s="99" t="s">
        <v>29</v>
      </c>
      <c r="B18" s="15">
        <v>4</v>
      </c>
      <c r="E18" s="99" t="s">
        <v>26</v>
      </c>
      <c r="F18" s="15">
        <v>4</v>
      </c>
      <c r="G18" s="99"/>
      <c r="H18" s="15"/>
    </row>
    <row r="19" spans="1:8" x14ac:dyDescent="0.3">
      <c r="A19" s="99" t="s">
        <v>1396</v>
      </c>
      <c r="B19" s="15">
        <v>70</v>
      </c>
      <c r="E19" s="99" t="s">
        <v>25</v>
      </c>
      <c r="F19" s="15">
        <v>6</v>
      </c>
      <c r="G19" s="99"/>
      <c r="H19" s="15"/>
    </row>
    <row r="20" spans="1:8" x14ac:dyDescent="0.3">
      <c r="E20" s="99" t="s">
        <v>29</v>
      </c>
      <c r="F20" s="15">
        <v>4</v>
      </c>
      <c r="G20" s="99"/>
      <c r="H20" s="15"/>
    </row>
    <row r="21" spans="1:8" x14ac:dyDescent="0.3">
      <c r="E21" s="99" t="s">
        <v>1396</v>
      </c>
      <c r="F21" s="15">
        <v>70</v>
      </c>
      <c r="G21" s="99"/>
      <c r="H21"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1"/>
  <sheetViews>
    <sheetView workbookViewId="0">
      <selection activeCell="A2" sqref="A1:E71"/>
    </sheetView>
  </sheetViews>
  <sheetFormatPr defaultRowHeight="14.4" x14ac:dyDescent="0.3"/>
  <cols>
    <col min="1" max="1" width="9.6640625" bestFit="1" customWidth="1"/>
    <col min="2" max="2" width="15.6640625" bestFit="1" customWidth="1"/>
    <col min="3" max="3" width="16.6640625" bestFit="1" customWidth="1"/>
    <col min="4" max="4" width="13.5546875" bestFit="1" customWidth="1"/>
    <col min="5" max="5" width="10.5546875" bestFit="1" customWidth="1"/>
    <col min="7" max="7" width="9.6640625" customWidth="1"/>
    <col min="8" max="8" width="13.109375" bestFit="1" customWidth="1"/>
    <col min="9" max="9" width="13.5546875" bestFit="1" customWidth="1"/>
    <col min="10" max="11" width="10.88671875" bestFit="1" customWidth="1"/>
  </cols>
  <sheetData>
    <row r="1" spans="1:11" x14ac:dyDescent="0.3">
      <c r="A1" s="32" t="s">
        <v>79</v>
      </c>
      <c r="B1" s="32" t="s">
        <v>1</v>
      </c>
      <c r="C1" s="32" t="s">
        <v>77</v>
      </c>
      <c r="D1" s="32" t="s">
        <v>2</v>
      </c>
      <c r="E1" s="32" t="s">
        <v>78</v>
      </c>
    </row>
    <row r="2" spans="1:11" x14ac:dyDescent="0.3">
      <c r="A2" s="31" t="s">
        <v>80</v>
      </c>
      <c r="B2" s="34" t="s">
        <v>34</v>
      </c>
      <c r="C2" s="31" t="s">
        <v>28</v>
      </c>
      <c r="D2" s="31" t="s">
        <v>41</v>
      </c>
      <c r="E2" s="31" t="s">
        <v>60</v>
      </c>
      <c r="H2" s="77" t="s">
        <v>4</v>
      </c>
      <c r="I2" s="77"/>
      <c r="J2" s="77"/>
      <c r="K2" s="77"/>
    </row>
    <row r="3" spans="1:11" x14ac:dyDescent="0.3">
      <c r="A3" s="31" t="s">
        <v>81</v>
      </c>
      <c r="B3" s="34" t="s">
        <v>34</v>
      </c>
      <c r="C3" s="31" t="s">
        <v>28</v>
      </c>
      <c r="D3" s="31" t="s">
        <v>52</v>
      </c>
      <c r="E3" s="31" t="s">
        <v>60</v>
      </c>
      <c r="H3" s="32" t="s">
        <v>63</v>
      </c>
      <c r="I3" s="32" t="s">
        <v>64</v>
      </c>
      <c r="J3" s="32" t="s">
        <v>62</v>
      </c>
      <c r="K3" s="32" t="s">
        <v>61</v>
      </c>
    </row>
    <row r="4" spans="1:11" x14ac:dyDescent="0.3">
      <c r="A4" s="31" t="s">
        <v>82</v>
      </c>
      <c r="B4" s="34" t="s">
        <v>34</v>
      </c>
      <c r="C4" s="31" t="s">
        <v>28</v>
      </c>
      <c r="D4" s="31" t="s">
        <v>55</v>
      </c>
      <c r="E4" s="31" t="s">
        <v>58</v>
      </c>
      <c r="G4" s="78" t="s">
        <v>150</v>
      </c>
      <c r="H4" s="31" t="s">
        <v>75</v>
      </c>
      <c r="I4" s="31" t="s">
        <v>72</v>
      </c>
      <c r="J4" s="31" t="s">
        <v>66</v>
      </c>
      <c r="K4" s="31" t="s">
        <v>65</v>
      </c>
    </row>
    <row r="5" spans="1:11" x14ac:dyDescent="0.3">
      <c r="A5" s="31" t="s">
        <v>83</v>
      </c>
      <c r="B5" s="34" t="s">
        <v>34</v>
      </c>
      <c r="C5" s="31" t="s">
        <v>28</v>
      </c>
      <c r="D5" s="31" t="s">
        <v>45</v>
      </c>
      <c r="E5" s="31" t="s">
        <v>59</v>
      </c>
      <c r="G5" s="79"/>
      <c r="H5" s="31" t="s">
        <v>68</v>
      </c>
      <c r="I5" s="31" t="s">
        <v>76</v>
      </c>
      <c r="J5" s="31" t="s">
        <v>67</v>
      </c>
      <c r="K5" s="31" t="s">
        <v>71</v>
      </c>
    </row>
    <row r="6" spans="1:11" x14ac:dyDescent="0.3">
      <c r="A6" s="31" t="s">
        <v>84</v>
      </c>
      <c r="B6" s="34" t="s">
        <v>34</v>
      </c>
      <c r="C6" s="31" t="s">
        <v>28</v>
      </c>
      <c r="D6" s="31" t="s">
        <v>49</v>
      </c>
      <c r="E6" s="31" t="s">
        <v>59</v>
      </c>
      <c r="G6" s="80"/>
      <c r="H6" s="31" t="s">
        <v>73</v>
      </c>
      <c r="I6" s="31" t="s">
        <v>74</v>
      </c>
      <c r="J6" s="31" t="s">
        <v>69</v>
      </c>
      <c r="K6" s="31" t="s">
        <v>70</v>
      </c>
    </row>
    <row r="7" spans="1:11" x14ac:dyDescent="0.3">
      <c r="A7" s="31" t="s">
        <v>85</v>
      </c>
      <c r="B7" s="34" t="s">
        <v>34</v>
      </c>
      <c r="C7" s="31" t="s">
        <v>28</v>
      </c>
      <c r="D7" s="31" t="s">
        <v>51</v>
      </c>
      <c r="E7" s="31" t="s">
        <v>59</v>
      </c>
    </row>
    <row r="8" spans="1:11" x14ac:dyDescent="0.3">
      <c r="A8" s="31" t="s">
        <v>86</v>
      </c>
      <c r="B8" s="34" t="s">
        <v>34</v>
      </c>
      <c r="C8" s="31" t="s">
        <v>21</v>
      </c>
      <c r="D8" s="31" t="s">
        <v>41</v>
      </c>
      <c r="E8" s="31" t="s">
        <v>60</v>
      </c>
    </row>
    <row r="9" spans="1:11" x14ac:dyDescent="0.3">
      <c r="A9" s="31" t="s">
        <v>87</v>
      </c>
      <c r="B9" s="34" t="s">
        <v>34</v>
      </c>
      <c r="C9" s="31" t="s">
        <v>21</v>
      </c>
      <c r="D9" s="31" t="s">
        <v>52</v>
      </c>
      <c r="E9" s="31" t="s">
        <v>60</v>
      </c>
    </row>
    <row r="10" spans="1:11" x14ac:dyDescent="0.3">
      <c r="A10" s="31" t="s">
        <v>88</v>
      </c>
      <c r="B10" s="34" t="s">
        <v>34</v>
      </c>
      <c r="C10" s="31" t="s">
        <v>21</v>
      </c>
      <c r="D10" s="31" t="s">
        <v>55</v>
      </c>
      <c r="E10" s="31" t="s">
        <v>58</v>
      </c>
    </row>
    <row r="11" spans="1:11" x14ac:dyDescent="0.3">
      <c r="A11" s="31" t="s">
        <v>89</v>
      </c>
      <c r="B11" s="34" t="s">
        <v>34</v>
      </c>
      <c r="C11" s="31" t="s">
        <v>21</v>
      </c>
      <c r="D11" s="31" t="s">
        <v>45</v>
      </c>
      <c r="E11" s="31" t="s">
        <v>59</v>
      </c>
    </row>
    <row r="12" spans="1:11" x14ac:dyDescent="0.3">
      <c r="A12" s="31" t="s">
        <v>90</v>
      </c>
      <c r="B12" s="34" t="s">
        <v>34</v>
      </c>
      <c r="C12" s="31" t="s">
        <v>21</v>
      </c>
      <c r="D12" s="31" t="s">
        <v>49</v>
      </c>
      <c r="E12" s="31" t="s">
        <v>59</v>
      </c>
    </row>
    <row r="13" spans="1:11" x14ac:dyDescent="0.3">
      <c r="A13" s="31" t="s">
        <v>91</v>
      </c>
      <c r="B13" s="34" t="s">
        <v>34</v>
      </c>
      <c r="C13" s="31" t="s">
        <v>21</v>
      </c>
      <c r="D13" s="31" t="s">
        <v>51</v>
      </c>
      <c r="E13" s="31" t="s">
        <v>59</v>
      </c>
    </row>
    <row r="14" spans="1:11" x14ac:dyDescent="0.3">
      <c r="A14" s="31" t="s">
        <v>92</v>
      </c>
      <c r="B14" s="34" t="s">
        <v>34</v>
      </c>
      <c r="C14" s="31" t="s">
        <v>25</v>
      </c>
      <c r="D14" s="31" t="s">
        <v>41</v>
      </c>
      <c r="E14" s="31" t="s">
        <v>60</v>
      </c>
    </row>
    <row r="15" spans="1:11" x14ac:dyDescent="0.3">
      <c r="A15" s="31" t="s">
        <v>93</v>
      </c>
      <c r="B15" s="34" t="s">
        <v>34</v>
      </c>
      <c r="C15" s="31" t="s">
        <v>25</v>
      </c>
      <c r="D15" s="31" t="s">
        <v>52</v>
      </c>
      <c r="E15" s="31" t="s">
        <v>60</v>
      </c>
    </row>
    <row r="16" spans="1:11" x14ac:dyDescent="0.3">
      <c r="A16" s="31" t="s">
        <v>94</v>
      </c>
      <c r="B16" s="34" t="s">
        <v>34</v>
      </c>
      <c r="C16" s="31" t="s">
        <v>25</v>
      </c>
      <c r="D16" s="31" t="s">
        <v>55</v>
      </c>
      <c r="E16" s="31" t="s">
        <v>58</v>
      </c>
    </row>
    <row r="17" spans="1:5" x14ac:dyDescent="0.3">
      <c r="A17" s="31" t="s">
        <v>95</v>
      </c>
      <c r="B17" s="34" t="s">
        <v>34</v>
      </c>
      <c r="C17" s="31" t="s">
        <v>25</v>
      </c>
      <c r="D17" s="31" t="s">
        <v>45</v>
      </c>
      <c r="E17" s="31" t="s">
        <v>59</v>
      </c>
    </row>
    <row r="18" spans="1:5" x14ac:dyDescent="0.3">
      <c r="A18" s="31" t="s">
        <v>96</v>
      </c>
      <c r="B18" s="34" t="s">
        <v>34</v>
      </c>
      <c r="C18" s="31" t="s">
        <v>25</v>
      </c>
      <c r="D18" s="31" t="s">
        <v>49</v>
      </c>
      <c r="E18" s="31" t="s">
        <v>59</v>
      </c>
    </row>
    <row r="19" spans="1:5" x14ac:dyDescent="0.3">
      <c r="A19" s="31" t="s">
        <v>97</v>
      </c>
      <c r="B19" s="34" t="s">
        <v>34</v>
      </c>
      <c r="C19" s="31" t="s">
        <v>25</v>
      </c>
      <c r="D19" s="31" t="s">
        <v>51</v>
      </c>
      <c r="E19" s="31" t="s">
        <v>59</v>
      </c>
    </row>
    <row r="20" spans="1:5" x14ac:dyDescent="0.3">
      <c r="A20" s="31" t="s">
        <v>98</v>
      </c>
      <c r="B20" s="31" t="s">
        <v>33</v>
      </c>
      <c r="C20" s="31" t="s">
        <v>18</v>
      </c>
      <c r="D20" s="31" t="s">
        <v>56</v>
      </c>
      <c r="E20" s="31" t="s">
        <v>60</v>
      </c>
    </row>
    <row r="21" spans="1:5" x14ac:dyDescent="0.3">
      <c r="A21" s="31" t="s">
        <v>99</v>
      </c>
      <c r="B21" s="31" t="s">
        <v>33</v>
      </c>
      <c r="C21" s="31" t="s">
        <v>18</v>
      </c>
      <c r="D21" s="31" t="s">
        <v>57</v>
      </c>
      <c r="E21" s="31" t="s">
        <v>60</v>
      </c>
    </row>
    <row r="22" spans="1:5" x14ac:dyDescent="0.3">
      <c r="A22" s="31" t="s">
        <v>100</v>
      </c>
      <c r="B22" s="31" t="s">
        <v>33</v>
      </c>
      <c r="C22" s="31" t="s">
        <v>18</v>
      </c>
      <c r="D22" s="31" t="s">
        <v>39</v>
      </c>
      <c r="E22" s="31" t="s">
        <v>58</v>
      </c>
    </row>
    <row r="23" spans="1:5" x14ac:dyDescent="0.3">
      <c r="A23" s="31" t="s">
        <v>101</v>
      </c>
      <c r="B23" s="31" t="s">
        <v>33</v>
      </c>
      <c r="C23" s="31" t="s">
        <v>18</v>
      </c>
      <c r="D23" s="31" t="s">
        <v>53</v>
      </c>
      <c r="E23" s="31" t="s">
        <v>58</v>
      </c>
    </row>
    <row r="24" spans="1:5" x14ac:dyDescent="0.3">
      <c r="A24" s="31" t="s">
        <v>102</v>
      </c>
      <c r="B24" s="31" t="s">
        <v>33</v>
      </c>
      <c r="C24" s="31" t="s">
        <v>18</v>
      </c>
      <c r="D24" s="31" t="s">
        <v>38</v>
      </c>
      <c r="E24" s="31" t="s">
        <v>59</v>
      </c>
    </row>
    <row r="25" spans="1:5" x14ac:dyDescent="0.3">
      <c r="A25" s="31" t="s">
        <v>103</v>
      </c>
      <c r="B25" s="31" t="s">
        <v>33</v>
      </c>
      <c r="C25" s="31" t="s">
        <v>18</v>
      </c>
      <c r="D25" s="31" t="s">
        <v>50</v>
      </c>
      <c r="E25" s="31" t="s">
        <v>59</v>
      </c>
    </row>
    <row r="26" spans="1:5" x14ac:dyDescent="0.3">
      <c r="A26" s="31" t="s">
        <v>104</v>
      </c>
      <c r="B26" s="31" t="s">
        <v>33</v>
      </c>
      <c r="C26" s="31" t="s">
        <v>19</v>
      </c>
      <c r="D26" s="31" t="s">
        <v>56</v>
      </c>
      <c r="E26" s="31" t="s">
        <v>60</v>
      </c>
    </row>
    <row r="27" spans="1:5" x14ac:dyDescent="0.3">
      <c r="A27" s="31" t="s">
        <v>105</v>
      </c>
      <c r="B27" s="31" t="s">
        <v>33</v>
      </c>
      <c r="C27" s="31" t="s">
        <v>19</v>
      </c>
      <c r="D27" s="31" t="s">
        <v>57</v>
      </c>
      <c r="E27" s="31" t="s">
        <v>60</v>
      </c>
    </row>
    <row r="28" spans="1:5" x14ac:dyDescent="0.3">
      <c r="A28" s="31" t="s">
        <v>106</v>
      </c>
      <c r="B28" s="31" t="s">
        <v>33</v>
      </c>
      <c r="C28" s="31" t="s">
        <v>19</v>
      </c>
      <c r="D28" s="31" t="s">
        <v>39</v>
      </c>
      <c r="E28" s="31" t="s">
        <v>58</v>
      </c>
    </row>
    <row r="29" spans="1:5" x14ac:dyDescent="0.3">
      <c r="A29" s="31" t="s">
        <v>107</v>
      </c>
      <c r="B29" s="31" t="s">
        <v>33</v>
      </c>
      <c r="C29" s="31" t="s">
        <v>19</v>
      </c>
      <c r="D29" s="31" t="s">
        <v>53</v>
      </c>
      <c r="E29" s="31" t="s">
        <v>58</v>
      </c>
    </row>
    <row r="30" spans="1:5" x14ac:dyDescent="0.3">
      <c r="A30" s="31" t="s">
        <v>108</v>
      </c>
      <c r="B30" s="31" t="s">
        <v>33</v>
      </c>
      <c r="C30" s="31" t="s">
        <v>19</v>
      </c>
      <c r="D30" s="31" t="s">
        <v>38</v>
      </c>
      <c r="E30" s="31" t="s">
        <v>59</v>
      </c>
    </row>
    <row r="31" spans="1:5" x14ac:dyDescent="0.3">
      <c r="A31" s="31" t="s">
        <v>109</v>
      </c>
      <c r="B31" s="31" t="s">
        <v>33</v>
      </c>
      <c r="C31" s="31" t="s">
        <v>19</v>
      </c>
      <c r="D31" s="31" t="s">
        <v>50</v>
      </c>
      <c r="E31" s="31" t="s">
        <v>59</v>
      </c>
    </row>
    <row r="32" spans="1:5" x14ac:dyDescent="0.3">
      <c r="A32" s="31" t="s">
        <v>110</v>
      </c>
      <c r="B32" s="31" t="s">
        <v>33</v>
      </c>
      <c r="C32" s="31" t="s">
        <v>30</v>
      </c>
      <c r="D32" s="31" t="s">
        <v>56</v>
      </c>
      <c r="E32" s="31" t="s">
        <v>60</v>
      </c>
    </row>
    <row r="33" spans="1:5" x14ac:dyDescent="0.3">
      <c r="A33" s="31" t="s">
        <v>111</v>
      </c>
      <c r="B33" s="31" t="s">
        <v>33</v>
      </c>
      <c r="C33" s="31" t="s">
        <v>30</v>
      </c>
      <c r="D33" s="31" t="s">
        <v>57</v>
      </c>
      <c r="E33" s="31" t="s">
        <v>60</v>
      </c>
    </row>
    <row r="34" spans="1:5" x14ac:dyDescent="0.3">
      <c r="A34" s="31" t="s">
        <v>112</v>
      </c>
      <c r="B34" s="31" t="s">
        <v>33</v>
      </c>
      <c r="C34" s="31" t="s">
        <v>30</v>
      </c>
      <c r="D34" s="31" t="s">
        <v>39</v>
      </c>
      <c r="E34" s="31" t="s">
        <v>58</v>
      </c>
    </row>
    <row r="35" spans="1:5" x14ac:dyDescent="0.3">
      <c r="A35" s="31" t="s">
        <v>113</v>
      </c>
      <c r="B35" s="31" t="s">
        <v>33</v>
      </c>
      <c r="C35" s="31" t="s">
        <v>30</v>
      </c>
      <c r="D35" s="31" t="s">
        <v>53</v>
      </c>
      <c r="E35" s="31" t="s">
        <v>58</v>
      </c>
    </row>
    <row r="36" spans="1:5" x14ac:dyDescent="0.3">
      <c r="A36" s="31" t="s">
        <v>114</v>
      </c>
      <c r="B36" s="31" t="s">
        <v>33</v>
      </c>
      <c r="C36" s="31" t="s">
        <v>30</v>
      </c>
      <c r="D36" s="31" t="s">
        <v>38</v>
      </c>
      <c r="E36" s="31" t="s">
        <v>59</v>
      </c>
    </row>
    <row r="37" spans="1:5" x14ac:dyDescent="0.3">
      <c r="A37" s="31" t="s">
        <v>115</v>
      </c>
      <c r="B37" s="31" t="s">
        <v>33</v>
      </c>
      <c r="C37" s="31" t="s">
        <v>30</v>
      </c>
      <c r="D37" s="31" t="s">
        <v>50</v>
      </c>
      <c r="E37" s="31" t="s">
        <v>59</v>
      </c>
    </row>
    <row r="38" spans="1:5" x14ac:dyDescent="0.3">
      <c r="A38" s="31" t="s">
        <v>116</v>
      </c>
      <c r="B38" s="31" t="s">
        <v>31</v>
      </c>
      <c r="C38" s="31" t="s">
        <v>16</v>
      </c>
      <c r="D38" s="31" t="s">
        <v>42</v>
      </c>
      <c r="E38" s="31" t="s">
        <v>60</v>
      </c>
    </row>
    <row r="39" spans="1:5" x14ac:dyDescent="0.3">
      <c r="A39" s="31" t="s">
        <v>117</v>
      </c>
      <c r="B39" s="31" t="s">
        <v>31</v>
      </c>
      <c r="C39" s="31" t="s">
        <v>16</v>
      </c>
      <c r="D39" s="31" t="s">
        <v>36</v>
      </c>
      <c r="E39" s="31" t="s">
        <v>58</v>
      </c>
    </row>
    <row r="40" spans="1:5" x14ac:dyDescent="0.3">
      <c r="A40" s="31" t="s">
        <v>118</v>
      </c>
      <c r="B40" s="31" t="s">
        <v>31</v>
      </c>
      <c r="C40" s="31" t="s">
        <v>16</v>
      </c>
      <c r="D40" s="31" t="s">
        <v>47</v>
      </c>
      <c r="E40" s="31" t="s">
        <v>59</v>
      </c>
    </row>
    <row r="41" spans="1:5" x14ac:dyDescent="0.3">
      <c r="A41" s="31" t="s">
        <v>119</v>
      </c>
      <c r="B41" s="31" t="s">
        <v>31</v>
      </c>
      <c r="C41" s="31" t="s">
        <v>22</v>
      </c>
      <c r="D41" s="31" t="s">
        <v>42</v>
      </c>
      <c r="E41" s="31" t="s">
        <v>60</v>
      </c>
    </row>
    <row r="42" spans="1:5" x14ac:dyDescent="0.3">
      <c r="A42" s="31" t="s">
        <v>120</v>
      </c>
      <c r="B42" s="31" t="s">
        <v>31</v>
      </c>
      <c r="C42" s="31" t="s">
        <v>22</v>
      </c>
      <c r="D42" s="31" t="s">
        <v>36</v>
      </c>
      <c r="E42" s="31" t="s">
        <v>58</v>
      </c>
    </row>
    <row r="43" spans="1:5" x14ac:dyDescent="0.3">
      <c r="A43" s="31" t="s">
        <v>121</v>
      </c>
      <c r="B43" s="31" t="s">
        <v>31</v>
      </c>
      <c r="C43" s="31" t="s">
        <v>22</v>
      </c>
      <c r="D43" s="31" t="s">
        <v>47</v>
      </c>
      <c r="E43" s="31" t="s">
        <v>59</v>
      </c>
    </row>
    <row r="44" spans="1:5" x14ac:dyDescent="0.3">
      <c r="A44" s="31" t="s">
        <v>122</v>
      </c>
      <c r="B44" s="31" t="s">
        <v>32</v>
      </c>
      <c r="C44" s="31" t="s">
        <v>20</v>
      </c>
      <c r="D44" s="31" t="s">
        <v>54</v>
      </c>
      <c r="E44" s="31" t="s">
        <v>60</v>
      </c>
    </row>
    <row r="45" spans="1:5" x14ac:dyDescent="0.3">
      <c r="A45" s="31" t="s">
        <v>123</v>
      </c>
      <c r="B45" s="31" t="s">
        <v>32</v>
      </c>
      <c r="C45" s="31" t="s">
        <v>20</v>
      </c>
      <c r="D45" s="31" t="s">
        <v>43</v>
      </c>
      <c r="E45" s="31" t="s">
        <v>58</v>
      </c>
    </row>
    <row r="46" spans="1:5" x14ac:dyDescent="0.3">
      <c r="A46" s="31" t="s">
        <v>124</v>
      </c>
      <c r="B46" s="31" t="s">
        <v>32</v>
      </c>
      <c r="C46" s="31" t="s">
        <v>20</v>
      </c>
      <c r="D46" s="31" t="s">
        <v>37</v>
      </c>
      <c r="E46" s="31" t="s">
        <v>59</v>
      </c>
    </row>
    <row r="47" spans="1:5" x14ac:dyDescent="0.3">
      <c r="A47" s="31" t="s">
        <v>125</v>
      </c>
      <c r="B47" s="31" t="s">
        <v>32</v>
      </c>
      <c r="C47" s="31" t="s">
        <v>20</v>
      </c>
      <c r="D47" s="31" t="s">
        <v>40</v>
      </c>
      <c r="E47" s="31" t="s">
        <v>59</v>
      </c>
    </row>
    <row r="48" spans="1:5" x14ac:dyDescent="0.3">
      <c r="A48" s="31" t="s">
        <v>126</v>
      </c>
      <c r="B48" s="31" t="s">
        <v>32</v>
      </c>
      <c r="C48" s="31" t="s">
        <v>17</v>
      </c>
      <c r="D48" s="31" t="s">
        <v>54</v>
      </c>
      <c r="E48" s="31" t="s">
        <v>60</v>
      </c>
    </row>
    <row r="49" spans="1:5" x14ac:dyDescent="0.3">
      <c r="A49" s="31" t="s">
        <v>127</v>
      </c>
      <c r="B49" s="31" t="s">
        <v>32</v>
      </c>
      <c r="C49" s="31" t="s">
        <v>17</v>
      </c>
      <c r="D49" s="31" t="s">
        <v>43</v>
      </c>
      <c r="E49" s="31" t="s">
        <v>58</v>
      </c>
    </row>
    <row r="50" spans="1:5" x14ac:dyDescent="0.3">
      <c r="A50" s="31" t="s">
        <v>128</v>
      </c>
      <c r="B50" s="31" t="s">
        <v>32</v>
      </c>
      <c r="C50" s="31" t="s">
        <v>17</v>
      </c>
      <c r="D50" s="31" t="s">
        <v>37</v>
      </c>
      <c r="E50" s="31" t="s">
        <v>59</v>
      </c>
    </row>
    <row r="51" spans="1:5" x14ac:dyDescent="0.3">
      <c r="A51" s="31" t="s">
        <v>129</v>
      </c>
      <c r="B51" s="31" t="s">
        <v>32</v>
      </c>
      <c r="C51" s="31" t="s">
        <v>17</v>
      </c>
      <c r="D51" s="31" t="s">
        <v>40</v>
      </c>
      <c r="E51" s="31" t="s">
        <v>59</v>
      </c>
    </row>
    <row r="52" spans="1:5" x14ac:dyDescent="0.3">
      <c r="A52" s="31" t="s">
        <v>130</v>
      </c>
      <c r="B52" s="31" t="s">
        <v>32</v>
      </c>
      <c r="C52" s="31" t="s">
        <v>24</v>
      </c>
      <c r="D52" s="31" t="s">
        <v>54</v>
      </c>
      <c r="E52" s="31" t="s">
        <v>60</v>
      </c>
    </row>
    <row r="53" spans="1:5" x14ac:dyDescent="0.3">
      <c r="A53" s="31" t="s">
        <v>131</v>
      </c>
      <c r="B53" s="31" t="s">
        <v>32</v>
      </c>
      <c r="C53" s="31" t="s">
        <v>24</v>
      </c>
      <c r="D53" s="31" t="s">
        <v>43</v>
      </c>
      <c r="E53" s="31" t="s">
        <v>58</v>
      </c>
    </row>
    <row r="54" spans="1:5" x14ac:dyDescent="0.3">
      <c r="A54" s="31" t="s">
        <v>132</v>
      </c>
      <c r="B54" s="31" t="s">
        <v>32</v>
      </c>
      <c r="C54" s="31" t="s">
        <v>24</v>
      </c>
      <c r="D54" s="31" t="s">
        <v>37</v>
      </c>
      <c r="E54" s="31" t="s">
        <v>59</v>
      </c>
    </row>
    <row r="55" spans="1:5" x14ac:dyDescent="0.3">
      <c r="A55" s="31" t="s">
        <v>133</v>
      </c>
      <c r="B55" s="31" t="s">
        <v>32</v>
      </c>
      <c r="C55" s="31" t="s">
        <v>24</v>
      </c>
      <c r="D55" s="31" t="s">
        <v>40</v>
      </c>
      <c r="E55" s="31" t="s">
        <v>59</v>
      </c>
    </row>
    <row r="56" spans="1:5" x14ac:dyDescent="0.3">
      <c r="A56" s="31" t="s">
        <v>134</v>
      </c>
      <c r="B56" s="31" t="s">
        <v>32</v>
      </c>
      <c r="C56" s="31" t="s">
        <v>26</v>
      </c>
      <c r="D56" s="31" t="s">
        <v>54</v>
      </c>
      <c r="E56" s="31" t="s">
        <v>60</v>
      </c>
    </row>
    <row r="57" spans="1:5" x14ac:dyDescent="0.3">
      <c r="A57" s="31" t="s">
        <v>135</v>
      </c>
      <c r="B57" s="31" t="s">
        <v>32</v>
      </c>
      <c r="C57" s="31" t="s">
        <v>26</v>
      </c>
      <c r="D57" s="31" t="s">
        <v>43</v>
      </c>
      <c r="E57" s="31" t="s">
        <v>58</v>
      </c>
    </row>
    <row r="58" spans="1:5" x14ac:dyDescent="0.3">
      <c r="A58" s="31" t="s">
        <v>136</v>
      </c>
      <c r="B58" s="31" t="s">
        <v>32</v>
      </c>
      <c r="C58" s="31" t="s">
        <v>26</v>
      </c>
      <c r="D58" s="31" t="s">
        <v>37</v>
      </c>
      <c r="E58" s="31" t="s">
        <v>59</v>
      </c>
    </row>
    <row r="59" spans="1:5" x14ac:dyDescent="0.3">
      <c r="A59" s="31" t="s">
        <v>137</v>
      </c>
      <c r="B59" s="31" t="s">
        <v>32</v>
      </c>
      <c r="C59" s="31" t="s">
        <v>26</v>
      </c>
      <c r="D59" s="31" t="s">
        <v>40</v>
      </c>
      <c r="E59" s="31" t="s">
        <v>59</v>
      </c>
    </row>
    <row r="60" spans="1:5" x14ac:dyDescent="0.3">
      <c r="A60" s="31" t="s">
        <v>138</v>
      </c>
      <c r="B60" s="31" t="s">
        <v>35</v>
      </c>
      <c r="C60" s="31" t="s">
        <v>27</v>
      </c>
      <c r="D60" s="31" t="s">
        <v>44</v>
      </c>
      <c r="E60" s="31" t="s">
        <v>60</v>
      </c>
    </row>
    <row r="61" spans="1:5" x14ac:dyDescent="0.3">
      <c r="A61" s="31" t="s">
        <v>139</v>
      </c>
      <c r="B61" s="31" t="s">
        <v>35</v>
      </c>
      <c r="C61" s="31" t="s">
        <v>27</v>
      </c>
      <c r="D61" s="31" t="s">
        <v>48</v>
      </c>
      <c r="E61" s="31" t="s">
        <v>58</v>
      </c>
    </row>
    <row r="62" spans="1:5" x14ac:dyDescent="0.3">
      <c r="A62" s="31" t="s">
        <v>140</v>
      </c>
      <c r="B62" s="31" t="s">
        <v>35</v>
      </c>
      <c r="C62" s="31" t="s">
        <v>27</v>
      </c>
      <c r="D62" s="31" t="s">
        <v>38</v>
      </c>
      <c r="E62" s="31" t="s">
        <v>59</v>
      </c>
    </row>
    <row r="63" spans="1:5" x14ac:dyDescent="0.3">
      <c r="A63" s="31" t="s">
        <v>141</v>
      </c>
      <c r="B63" s="31" t="s">
        <v>35</v>
      </c>
      <c r="C63" s="31" t="s">
        <v>27</v>
      </c>
      <c r="D63" s="31" t="s">
        <v>46</v>
      </c>
      <c r="E63" s="31" t="s">
        <v>59</v>
      </c>
    </row>
    <row r="64" spans="1:5" x14ac:dyDescent="0.3">
      <c r="A64" s="31" t="s">
        <v>142</v>
      </c>
      <c r="B64" s="31" t="s">
        <v>35</v>
      </c>
      <c r="C64" s="31" t="s">
        <v>23</v>
      </c>
      <c r="D64" s="31" t="s">
        <v>44</v>
      </c>
      <c r="E64" s="31" t="s">
        <v>60</v>
      </c>
    </row>
    <row r="65" spans="1:5" x14ac:dyDescent="0.3">
      <c r="A65" s="31" t="s">
        <v>143</v>
      </c>
      <c r="B65" s="31" t="s">
        <v>35</v>
      </c>
      <c r="C65" s="31" t="s">
        <v>23</v>
      </c>
      <c r="D65" s="31" t="s">
        <v>48</v>
      </c>
      <c r="E65" s="31" t="s">
        <v>58</v>
      </c>
    </row>
    <row r="66" spans="1:5" x14ac:dyDescent="0.3">
      <c r="A66" s="31" t="s">
        <v>144</v>
      </c>
      <c r="B66" s="31" t="s">
        <v>35</v>
      </c>
      <c r="C66" s="31" t="s">
        <v>23</v>
      </c>
      <c r="D66" s="31" t="s">
        <v>38</v>
      </c>
      <c r="E66" s="31" t="s">
        <v>59</v>
      </c>
    </row>
    <row r="67" spans="1:5" x14ac:dyDescent="0.3">
      <c r="A67" s="31" t="s">
        <v>145</v>
      </c>
      <c r="B67" s="31" t="s">
        <v>35</v>
      </c>
      <c r="C67" s="31" t="s">
        <v>23</v>
      </c>
      <c r="D67" s="31" t="s">
        <v>46</v>
      </c>
      <c r="E67" s="31" t="s">
        <v>59</v>
      </c>
    </row>
    <row r="68" spans="1:5" x14ac:dyDescent="0.3">
      <c r="A68" s="31" t="s">
        <v>146</v>
      </c>
      <c r="B68" s="31" t="s">
        <v>35</v>
      </c>
      <c r="C68" s="31" t="s">
        <v>29</v>
      </c>
      <c r="D68" s="31" t="s">
        <v>44</v>
      </c>
      <c r="E68" s="31" t="s">
        <v>60</v>
      </c>
    </row>
    <row r="69" spans="1:5" x14ac:dyDescent="0.3">
      <c r="A69" s="31" t="s">
        <v>147</v>
      </c>
      <c r="B69" s="31" t="s">
        <v>35</v>
      </c>
      <c r="C69" s="31" t="s">
        <v>29</v>
      </c>
      <c r="D69" s="31" t="s">
        <v>48</v>
      </c>
      <c r="E69" s="31" t="s">
        <v>58</v>
      </c>
    </row>
    <row r="70" spans="1:5" x14ac:dyDescent="0.3">
      <c r="A70" s="31" t="s">
        <v>148</v>
      </c>
      <c r="B70" s="31" t="s">
        <v>35</v>
      </c>
      <c r="C70" s="31" t="s">
        <v>29</v>
      </c>
      <c r="D70" s="31" t="s">
        <v>38</v>
      </c>
      <c r="E70" s="31" t="s">
        <v>59</v>
      </c>
    </row>
    <row r="71" spans="1:5" x14ac:dyDescent="0.3">
      <c r="A71" s="31" t="s">
        <v>149</v>
      </c>
      <c r="B71" s="31" t="s">
        <v>35</v>
      </c>
      <c r="C71" s="31" t="s">
        <v>29</v>
      </c>
      <c r="D71" s="31" t="s">
        <v>46</v>
      </c>
      <c r="E71" s="31" t="s">
        <v>59</v>
      </c>
    </row>
  </sheetData>
  <mergeCells count="2">
    <mergeCell ref="H2:K2"/>
    <mergeCell ref="G4: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201"/>
  <sheetViews>
    <sheetView topLeftCell="F1171" workbookViewId="0">
      <selection activeCell="A2" sqref="A2:S1201"/>
    </sheetView>
  </sheetViews>
  <sheetFormatPr defaultRowHeight="14.4" x14ac:dyDescent="0.3"/>
  <cols>
    <col min="1" max="2" width="16.6640625" customWidth="1"/>
    <col min="3" max="3" width="15.6640625" customWidth="1"/>
    <col min="4" max="4" width="13.5546875" bestFit="1" customWidth="1"/>
    <col min="5" max="5" width="16" bestFit="1" customWidth="1"/>
    <col min="6" max="6" width="11.6640625" bestFit="1" customWidth="1"/>
    <col min="7" max="7" width="13.109375" bestFit="1" customWidth="1"/>
    <col min="8" max="8" width="14.88671875" style="39" bestFit="1" customWidth="1"/>
    <col min="9" max="9" width="14.88671875" style="4" customWidth="1"/>
    <col min="10" max="10" width="20.33203125" style="39" bestFit="1" customWidth="1"/>
    <col min="11" max="11" width="12.88671875" customWidth="1"/>
    <col min="12" max="12" width="15.5546875" style="39" bestFit="1" customWidth="1"/>
    <col min="13" max="13" width="12.33203125" style="39" bestFit="1" customWidth="1"/>
    <col min="14" max="14" width="15.88671875" style="44" bestFit="1" customWidth="1"/>
    <col min="15" max="15" width="9.109375" style="21" customWidth="1"/>
    <col min="16" max="16" width="7.109375" style="21" customWidth="1"/>
    <col min="17" max="17" width="18.33203125" style="47" bestFit="1" customWidth="1"/>
    <col min="18" max="18" width="17.5546875" style="22" customWidth="1"/>
    <col min="19" max="19" width="11.88671875" style="22" bestFit="1" customWidth="1"/>
  </cols>
  <sheetData>
    <row r="1" spans="1:19" x14ac:dyDescent="0.3">
      <c r="A1" s="16" t="s">
        <v>178</v>
      </c>
      <c r="B1" s="16" t="s">
        <v>0</v>
      </c>
      <c r="C1" s="16" t="s">
        <v>1</v>
      </c>
      <c r="D1" s="16" t="s">
        <v>2</v>
      </c>
      <c r="E1" s="16" t="s">
        <v>3</v>
      </c>
      <c r="F1" s="16" t="s">
        <v>4</v>
      </c>
      <c r="G1" s="16" t="s">
        <v>5</v>
      </c>
      <c r="H1" s="35" t="s">
        <v>6</v>
      </c>
      <c r="I1" s="17" t="s">
        <v>7</v>
      </c>
      <c r="J1" s="35" t="s">
        <v>8</v>
      </c>
      <c r="K1" s="16" t="s">
        <v>9</v>
      </c>
      <c r="L1" s="35" t="s">
        <v>10</v>
      </c>
      <c r="M1" s="35" t="s">
        <v>11</v>
      </c>
      <c r="N1" s="40" t="s">
        <v>12</v>
      </c>
      <c r="O1" s="63" t="s">
        <v>167</v>
      </c>
      <c r="P1" s="63" t="s">
        <v>151</v>
      </c>
      <c r="Q1" s="64" t="s">
        <v>13</v>
      </c>
      <c r="R1" s="65" t="s">
        <v>14</v>
      </c>
      <c r="S1" s="65" t="s">
        <v>15</v>
      </c>
    </row>
    <row r="2" spans="1:19" x14ac:dyDescent="0.3">
      <c r="A2" s="8" t="s">
        <v>179</v>
      </c>
      <c r="B2" s="8" t="s">
        <v>16</v>
      </c>
      <c r="C2" s="9" t="s">
        <v>31</v>
      </c>
      <c r="D2" s="9" t="s">
        <v>36</v>
      </c>
      <c r="E2" s="9" t="s">
        <v>58</v>
      </c>
      <c r="F2" s="9" t="s">
        <v>61</v>
      </c>
      <c r="G2" s="9" t="s">
        <v>65</v>
      </c>
      <c r="H2" s="36">
        <v>2514.6</v>
      </c>
      <c r="I2" s="10">
        <v>0</v>
      </c>
      <c r="J2" s="36">
        <v>2514.6</v>
      </c>
      <c r="K2" s="9">
        <v>20</v>
      </c>
      <c r="L2" s="36">
        <f>Table1[[#This Row],[Final_Unit_Price]]*Table1[[#This Row],[Quantity]]</f>
        <v>50292</v>
      </c>
      <c r="M2" s="36">
        <v>1257.3</v>
      </c>
      <c r="N2" s="41">
        <v>45521</v>
      </c>
      <c r="O2" s="18" t="str">
        <f>TEXT(Table1[[#This Row],[Order_Date]],"mmm")</f>
        <v>Aug</v>
      </c>
      <c r="P2" s="18">
        <f>YEAR(N2)</f>
        <v>2024</v>
      </c>
      <c r="Q2" s="45">
        <v>45525</v>
      </c>
      <c r="R2" s="19">
        <f>'Cleaned Data'!$Q2-'Cleaned Data'!$N2</f>
        <v>4</v>
      </c>
      <c r="S2" s="19" t="str">
        <f>IF(OR(O2="Feb",O2="Mar",O2="Apr",O2="May"),"Summer",
   IF(OR(O2="Jun",O2="Jul",O2="Aug",O2="Sep"),"Monsoon",
   IF(OR(O2="Oct",O2="Nov",O2="Dec",O2= "Jan"),"Winter","Invalid")))</f>
        <v>Monsoon</v>
      </c>
    </row>
    <row r="3" spans="1:19" x14ac:dyDescent="0.3">
      <c r="A3" s="11" t="s">
        <v>180</v>
      </c>
      <c r="B3" s="11" t="s">
        <v>17</v>
      </c>
      <c r="C3" s="3" t="s">
        <v>32</v>
      </c>
      <c r="D3" s="3" t="s">
        <v>37</v>
      </c>
      <c r="E3" s="3" t="s">
        <v>59</v>
      </c>
      <c r="F3" s="3" t="s">
        <v>62</v>
      </c>
      <c r="G3" s="3" t="s">
        <v>66</v>
      </c>
      <c r="H3" s="37">
        <v>9954.58</v>
      </c>
      <c r="I3" s="12">
        <v>0.2</v>
      </c>
      <c r="J3" s="37">
        <v>7963.6640000000007</v>
      </c>
      <c r="K3" s="3">
        <v>4</v>
      </c>
      <c r="L3" s="61">
        <f>Table1[[#This Row],[Final_Unit_Price]]*Table1[[#This Row],[Quantity]]</f>
        <v>31854.656000000003</v>
      </c>
      <c r="M3" s="59">
        <v>11149.13</v>
      </c>
      <c r="N3" s="42">
        <v>45382</v>
      </c>
      <c r="O3" s="20" t="str">
        <f>TEXT(Table1[[#This Row],[Order_Date]],"mmm")</f>
        <v>Mar</v>
      </c>
      <c r="P3" s="20">
        <f t="shared" ref="P3:P66" si="0">YEAR(N3)</f>
        <v>2024</v>
      </c>
      <c r="Q3" s="46">
        <v>45386</v>
      </c>
      <c r="R3" s="20">
        <f>'Cleaned Data'!$Q3-'Cleaned Data'!$N3</f>
        <v>4</v>
      </c>
      <c r="S3" s="19" t="str">
        <f t="shared" ref="S3:S66" si="1">IF(OR(O3="Feb",O3="Mar",O3="Apr",O3="May"),"Summer",
   IF(OR(O3="Jun",O3="Jul",O3="Aug",O3="Sep"),"Monsoon",
   IF(OR(O3="Oct",O3="Nov",O3="Dec",O3= "Jan"),"Winter","Invalid")))</f>
        <v>Summer</v>
      </c>
    </row>
    <row r="4" spans="1:19" x14ac:dyDescent="0.3">
      <c r="A4" s="13" t="s">
        <v>181</v>
      </c>
      <c r="B4" s="13" t="s">
        <v>18</v>
      </c>
      <c r="C4" s="5" t="s">
        <v>33</v>
      </c>
      <c r="D4" s="5" t="s">
        <v>38</v>
      </c>
      <c r="E4" s="5" t="s">
        <v>59</v>
      </c>
      <c r="F4" s="5" t="s">
        <v>62</v>
      </c>
      <c r="G4" s="5" t="s">
        <v>67</v>
      </c>
      <c r="H4" s="38">
        <v>61044.5</v>
      </c>
      <c r="I4" s="14">
        <v>0.05</v>
      </c>
      <c r="J4" s="38">
        <v>57992.274999999987</v>
      </c>
      <c r="K4" s="5">
        <v>1</v>
      </c>
      <c r="L4" s="62">
        <f>Table1[[#This Row],[Final_Unit_Price]]*Table1[[#This Row],[Quantity]]</f>
        <v>57992.274999999987</v>
      </c>
      <c r="M4" s="60">
        <v>20297.29</v>
      </c>
      <c r="N4" s="43">
        <v>45481</v>
      </c>
      <c r="O4" s="18" t="str">
        <f>TEXT(Table1[[#This Row],[Order_Date]],"mmm")</f>
        <v>Jul</v>
      </c>
      <c r="P4" s="18">
        <f t="shared" si="0"/>
        <v>2024</v>
      </c>
      <c r="Q4" s="45">
        <v>45489</v>
      </c>
      <c r="R4" s="19">
        <f>'Cleaned Data'!$Q4-'Cleaned Data'!$N4</f>
        <v>8</v>
      </c>
      <c r="S4" s="19" t="str">
        <f t="shared" si="1"/>
        <v>Monsoon</v>
      </c>
    </row>
    <row r="5" spans="1:19" x14ac:dyDescent="0.3">
      <c r="A5" s="11" t="s">
        <v>182</v>
      </c>
      <c r="B5" s="11" t="s">
        <v>19</v>
      </c>
      <c r="C5" s="3" t="s">
        <v>33</v>
      </c>
      <c r="D5" s="3" t="s">
        <v>39</v>
      </c>
      <c r="E5" s="3" t="s">
        <v>58</v>
      </c>
      <c r="F5" s="3" t="s">
        <v>63</v>
      </c>
      <c r="G5" s="3" t="s">
        <v>68</v>
      </c>
      <c r="H5" s="37">
        <v>1933.16</v>
      </c>
      <c r="I5" s="12">
        <v>0.1</v>
      </c>
      <c r="J5" s="37">
        <v>1739.8440000000001</v>
      </c>
      <c r="K5" s="3">
        <v>5</v>
      </c>
      <c r="L5" s="61">
        <f>Table1[[#This Row],[Final_Unit_Price]]*Table1[[#This Row],[Quantity]]</f>
        <v>8699.2200000000012</v>
      </c>
      <c r="M5" s="59">
        <v>2174.8000000000002</v>
      </c>
      <c r="N5" s="42">
        <v>45429</v>
      </c>
      <c r="O5" s="20" t="str">
        <f>TEXT(Table1[[#This Row],[Order_Date]],"mmm")</f>
        <v>May</v>
      </c>
      <c r="P5" s="20">
        <f t="shared" si="0"/>
        <v>2024</v>
      </c>
      <c r="Q5" s="46">
        <v>45432</v>
      </c>
      <c r="R5" s="20">
        <f>'Cleaned Data'!$Q5-'Cleaned Data'!$N5</f>
        <v>3</v>
      </c>
      <c r="S5" s="19" t="str">
        <f t="shared" si="1"/>
        <v>Summer</v>
      </c>
    </row>
    <row r="6" spans="1:19" x14ac:dyDescent="0.3">
      <c r="A6" s="13" t="s">
        <v>183</v>
      </c>
      <c r="B6" s="13" t="s">
        <v>20</v>
      </c>
      <c r="C6" s="5" t="s">
        <v>32</v>
      </c>
      <c r="D6" s="5" t="s">
        <v>40</v>
      </c>
      <c r="E6" s="5" t="s">
        <v>59</v>
      </c>
      <c r="F6" s="5" t="s">
        <v>63</v>
      </c>
      <c r="G6" s="5" t="s">
        <v>68</v>
      </c>
      <c r="H6" s="38">
        <v>33576.85</v>
      </c>
      <c r="I6" s="14">
        <v>0.3</v>
      </c>
      <c r="J6" s="38">
        <v>23503.794999999998</v>
      </c>
      <c r="K6" s="5">
        <v>3</v>
      </c>
      <c r="L6" s="62">
        <f>Table1[[#This Row],[Final_Unit_Price]]*Table1[[#This Row],[Quantity]]</f>
        <v>70511.384999999995</v>
      </c>
      <c r="M6" s="60">
        <v>24678.98</v>
      </c>
      <c r="N6" s="43">
        <v>45363</v>
      </c>
      <c r="O6" s="18" t="str">
        <f>TEXT(Table1[[#This Row],[Order_Date]],"mmm")</f>
        <v>Mar</v>
      </c>
      <c r="P6" s="18">
        <f t="shared" si="0"/>
        <v>2024</v>
      </c>
      <c r="Q6" s="45">
        <v>45365</v>
      </c>
      <c r="R6" s="19">
        <f>'Cleaned Data'!$Q6-'Cleaned Data'!$N6</f>
        <v>2</v>
      </c>
      <c r="S6" s="19" t="str">
        <f t="shared" si="1"/>
        <v>Summer</v>
      </c>
    </row>
    <row r="7" spans="1:19" x14ac:dyDescent="0.3">
      <c r="A7" s="11" t="s">
        <v>184</v>
      </c>
      <c r="B7" s="11" t="s">
        <v>21</v>
      </c>
      <c r="C7" s="3" t="s">
        <v>34</v>
      </c>
      <c r="D7" s="3" t="s">
        <v>41</v>
      </c>
      <c r="E7" s="3" t="s">
        <v>60</v>
      </c>
      <c r="F7" s="3" t="s">
        <v>62</v>
      </c>
      <c r="G7" s="3" t="s">
        <v>67</v>
      </c>
      <c r="H7" s="37">
        <v>2617.88</v>
      </c>
      <c r="I7" s="12">
        <v>0.2</v>
      </c>
      <c r="J7" s="37">
        <v>2094.3040000000001</v>
      </c>
      <c r="K7" s="3">
        <v>3</v>
      </c>
      <c r="L7" s="61">
        <f>Table1[[#This Row],[Final_Unit_Price]]*Table1[[#This Row],[Quantity]]</f>
        <v>6282.9120000000003</v>
      </c>
      <c r="M7" s="59">
        <v>942.44</v>
      </c>
      <c r="N7" s="42">
        <v>45781</v>
      </c>
      <c r="O7" s="20" t="str">
        <f>TEXT(Table1[[#This Row],[Order_Date]],"mmm")</f>
        <v>May</v>
      </c>
      <c r="P7" s="20">
        <f t="shared" si="0"/>
        <v>2025</v>
      </c>
      <c r="Q7" s="46">
        <v>45791</v>
      </c>
      <c r="R7" s="20">
        <f>'Cleaned Data'!$Q7-'Cleaned Data'!$N7</f>
        <v>10</v>
      </c>
      <c r="S7" s="19" t="str">
        <f t="shared" si="1"/>
        <v>Summer</v>
      </c>
    </row>
    <row r="8" spans="1:19" x14ac:dyDescent="0.3">
      <c r="A8" s="13" t="s">
        <v>185</v>
      </c>
      <c r="B8" s="13" t="s">
        <v>17</v>
      </c>
      <c r="C8" s="5" t="s">
        <v>32</v>
      </c>
      <c r="D8" s="5" t="s">
        <v>40</v>
      </c>
      <c r="E8" s="5" t="s">
        <v>59</v>
      </c>
      <c r="F8" s="5" t="s">
        <v>62</v>
      </c>
      <c r="G8" s="5" t="s">
        <v>69</v>
      </c>
      <c r="H8" s="38">
        <v>10447.25</v>
      </c>
      <c r="I8" s="14">
        <v>0</v>
      </c>
      <c r="J8" s="38">
        <v>10447.25</v>
      </c>
      <c r="K8" s="5">
        <v>4</v>
      </c>
      <c r="L8" s="62">
        <f>Table1[[#This Row],[Final_Unit_Price]]*Table1[[#This Row],[Quantity]]</f>
        <v>41789</v>
      </c>
      <c r="M8" s="60">
        <v>14626.15</v>
      </c>
      <c r="N8" s="43">
        <v>45798</v>
      </c>
      <c r="O8" s="18" t="str">
        <f>TEXT(Table1[[#This Row],[Order_Date]],"mmm")</f>
        <v>May</v>
      </c>
      <c r="P8" s="18">
        <f t="shared" si="0"/>
        <v>2025</v>
      </c>
      <c r="Q8" s="45">
        <v>45805</v>
      </c>
      <c r="R8" s="19">
        <f>'Cleaned Data'!$Q8-'Cleaned Data'!$N8</f>
        <v>7</v>
      </c>
      <c r="S8" s="19" t="str">
        <f t="shared" si="1"/>
        <v>Summer</v>
      </c>
    </row>
    <row r="9" spans="1:19" x14ac:dyDescent="0.3">
      <c r="A9" s="11" t="s">
        <v>186</v>
      </c>
      <c r="B9" s="11" t="s">
        <v>22</v>
      </c>
      <c r="C9" s="3" t="s">
        <v>31</v>
      </c>
      <c r="D9" s="3" t="s">
        <v>42</v>
      </c>
      <c r="E9" s="3" t="s">
        <v>60</v>
      </c>
      <c r="F9" s="3" t="s">
        <v>61</v>
      </c>
      <c r="G9" s="3" t="s">
        <v>70</v>
      </c>
      <c r="H9" s="37">
        <v>2887.51</v>
      </c>
      <c r="I9" s="12">
        <v>0.15</v>
      </c>
      <c r="J9" s="37">
        <v>2454.3834999999999</v>
      </c>
      <c r="K9" s="3">
        <v>20</v>
      </c>
      <c r="L9" s="61">
        <f>Table1[[#This Row],[Final_Unit_Price]]*Table1[[#This Row],[Quantity]]</f>
        <v>49087.67</v>
      </c>
      <c r="M9" s="59">
        <v>736.32</v>
      </c>
      <c r="N9" s="42">
        <v>45537</v>
      </c>
      <c r="O9" s="20" t="str">
        <f>TEXT(Table1[[#This Row],[Order_Date]],"mmm")</f>
        <v>Sep</v>
      </c>
      <c r="P9" s="20">
        <f t="shared" si="0"/>
        <v>2024</v>
      </c>
      <c r="Q9" s="46">
        <v>45541</v>
      </c>
      <c r="R9" s="20">
        <f>'Cleaned Data'!$Q9-'Cleaned Data'!$N9</f>
        <v>4</v>
      </c>
      <c r="S9" s="19" t="str">
        <f t="shared" si="1"/>
        <v>Monsoon</v>
      </c>
    </row>
    <row r="10" spans="1:19" x14ac:dyDescent="0.3">
      <c r="A10" s="13" t="s">
        <v>187</v>
      </c>
      <c r="B10" s="13" t="s">
        <v>23</v>
      </c>
      <c r="C10" s="5" t="s">
        <v>35</v>
      </c>
      <c r="D10" s="5" t="s">
        <v>38</v>
      </c>
      <c r="E10" s="5" t="s">
        <v>59</v>
      </c>
      <c r="F10" s="5" t="s">
        <v>61</v>
      </c>
      <c r="G10" s="5" t="s">
        <v>70</v>
      </c>
      <c r="H10" s="38">
        <v>28339.06</v>
      </c>
      <c r="I10" s="14">
        <v>0.05</v>
      </c>
      <c r="J10" s="38">
        <v>26922.107</v>
      </c>
      <c r="K10" s="5">
        <v>2</v>
      </c>
      <c r="L10" s="62">
        <f>Table1[[#This Row],[Final_Unit_Price]]*Table1[[#This Row],[Quantity]]</f>
        <v>53844.214</v>
      </c>
      <c r="M10" s="60">
        <v>18845.47</v>
      </c>
      <c r="N10" s="43">
        <v>45858</v>
      </c>
      <c r="O10" s="18" t="str">
        <f>TEXT(Table1[[#This Row],[Order_Date]],"mmm")</f>
        <v>Jul</v>
      </c>
      <c r="P10" s="18">
        <f t="shared" si="0"/>
        <v>2025</v>
      </c>
      <c r="Q10" s="45">
        <v>45868</v>
      </c>
      <c r="R10" s="19">
        <f>'Cleaned Data'!$Q10-'Cleaned Data'!$N10</f>
        <v>10</v>
      </c>
      <c r="S10" s="19" t="str">
        <f t="shared" si="1"/>
        <v>Monsoon</v>
      </c>
    </row>
    <row r="11" spans="1:19" x14ac:dyDescent="0.3">
      <c r="A11" s="11" t="s">
        <v>188</v>
      </c>
      <c r="B11" s="11" t="s">
        <v>23</v>
      </c>
      <c r="C11" s="3" t="s">
        <v>35</v>
      </c>
      <c r="D11" s="3" t="s">
        <v>38</v>
      </c>
      <c r="E11" s="3" t="s">
        <v>59</v>
      </c>
      <c r="F11" s="3" t="s">
        <v>61</v>
      </c>
      <c r="G11" s="3" t="s">
        <v>71</v>
      </c>
      <c r="H11" s="37">
        <v>29172.62</v>
      </c>
      <c r="I11" s="12">
        <v>0.2</v>
      </c>
      <c r="J11" s="37">
        <v>23338.096000000001</v>
      </c>
      <c r="K11" s="3">
        <v>4</v>
      </c>
      <c r="L11" s="61">
        <f>Table1[[#This Row],[Final_Unit_Price]]*Table1[[#This Row],[Quantity]]</f>
        <v>93352.384000000005</v>
      </c>
      <c r="M11" s="59">
        <v>32674.33</v>
      </c>
      <c r="N11" s="42">
        <v>45660</v>
      </c>
      <c r="O11" s="20" t="str">
        <f>TEXT(Table1[[#This Row],[Order_Date]],"mmm")</f>
        <v>Jan</v>
      </c>
      <c r="P11" s="20">
        <f t="shared" si="0"/>
        <v>2025</v>
      </c>
      <c r="Q11" s="46">
        <v>45664</v>
      </c>
      <c r="R11" s="20">
        <f>'Cleaned Data'!$Q11-'Cleaned Data'!$N11</f>
        <v>4</v>
      </c>
      <c r="S11" s="19" t="str">
        <f t="shared" si="1"/>
        <v>Winter</v>
      </c>
    </row>
    <row r="12" spans="1:19" x14ac:dyDescent="0.3">
      <c r="A12" s="13" t="s">
        <v>189</v>
      </c>
      <c r="B12" s="13" t="s">
        <v>24</v>
      </c>
      <c r="C12" s="5" t="s">
        <v>32</v>
      </c>
      <c r="D12" s="5" t="s">
        <v>43</v>
      </c>
      <c r="E12" s="5" t="s">
        <v>58</v>
      </c>
      <c r="F12" s="5" t="s">
        <v>63</v>
      </c>
      <c r="G12" s="5" t="s">
        <v>68</v>
      </c>
      <c r="H12" s="38">
        <v>22864.48</v>
      </c>
      <c r="I12" s="14">
        <v>0.2</v>
      </c>
      <c r="J12" s="38">
        <v>18291.583999999999</v>
      </c>
      <c r="K12" s="5">
        <v>2</v>
      </c>
      <c r="L12" s="62">
        <f>Table1[[#This Row],[Final_Unit_Price]]*Table1[[#This Row],[Quantity]]</f>
        <v>36583.167999999998</v>
      </c>
      <c r="M12" s="60">
        <v>9145.7900000000009</v>
      </c>
      <c r="N12" s="43">
        <v>45729</v>
      </c>
      <c r="O12" s="18" t="str">
        <f>TEXT(Table1[[#This Row],[Order_Date]],"mmm")</f>
        <v>Mar</v>
      </c>
      <c r="P12" s="18">
        <f t="shared" si="0"/>
        <v>2025</v>
      </c>
      <c r="Q12" s="45">
        <v>45732</v>
      </c>
      <c r="R12" s="19">
        <f>'Cleaned Data'!$Q12-'Cleaned Data'!$N12</f>
        <v>3</v>
      </c>
      <c r="S12" s="19" t="str">
        <f t="shared" si="1"/>
        <v>Summer</v>
      </c>
    </row>
    <row r="13" spans="1:19" x14ac:dyDescent="0.3">
      <c r="A13" s="11" t="s">
        <v>190</v>
      </c>
      <c r="B13" s="11" t="s">
        <v>23</v>
      </c>
      <c r="C13" s="3" t="s">
        <v>35</v>
      </c>
      <c r="D13" s="3" t="s">
        <v>44</v>
      </c>
      <c r="E13" s="3" t="s">
        <v>60</v>
      </c>
      <c r="F13" s="3" t="s">
        <v>61</v>
      </c>
      <c r="G13" s="3" t="s">
        <v>70</v>
      </c>
      <c r="H13" s="37">
        <v>21784.17</v>
      </c>
      <c r="I13" s="12">
        <v>0.3</v>
      </c>
      <c r="J13" s="37">
        <v>15248.919</v>
      </c>
      <c r="K13" s="3">
        <v>1</v>
      </c>
      <c r="L13" s="61">
        <f>Table1[[#This Row],[Final_Unit_Price]]*Table1[[#This Row],[Quantity]]</f>
        <v>15248.919</v>
      </c>
      <c r="M13" s="59">
        <v>2287.34</v>
      </c>
      <c r="N13" s="42">
        <v>45854</v>
      </c>
      <c r="O13" s="20" t="str">
        <f>TEXT(Table1[[#This Row],[Order_Date]],"mmm")</f>
        <v>Jul</v>
      </c>
      <c r="P13" s="20">
        <f t="shared" si="0"/>
        <v>2025</v>
      </c>
      <c r="Q13" s="46">
        <v>45857</v>
      </c>
      <c r="R13" s="20">
        <f>'Cleaned Data'!$Q13-'Cleaned Data'!$N13</f>
        <v>3</v>
      </c>
      <c r="S13" s="19" t="str">
        <f t="shared" si="1"/>
        <v>Monsoon</v>
      </c>
    </row>
    <row r="14" spans="1:19" x14ac:dyDescent="0.3">
      <c r="A14" s="13" t="s">
        <v>191</v>
      </c>
      <c r="B14" s="13" t="s">
        <v>17</v>
      </c>
      <c r="C14" s="5" t="s">
        <v>32</v>
      </c>
      <c r="D14" s="5" t="s">
        <v>40</v>
      </c>
      <c r="E14" s="5" t="s">
        <v>59</v>
      </c>
      <c r="F14" s="5" t="s">
        <v>62</v>
      </c>
      <c r="G14" s="5" t="s">
        <v>66</v>
      </c>
      <c r="H14" s="38">
        <v>9589.74</v>
      </c>
      <c r="I14" s="14">
        <v>0.1</v>
      </c>
      <c r="J14" s="38">
        <v>8630.7659999999996</v>
      </c>
      <c r="K14" s="5">
        <v>4</v>
      </c>
      <c r="L14" s="62">
        <f>Table1[[#This Row],[Final_Unit_Price]]*Table1[[#This Row],[Quantity]]</f>
        <v>34523.063999999998</v>
      </c>
      <c r="M14" s="60">
        <v>12083.07</v>
      </c>
      <c r="N14" s="43">
        <v>45836</v>
      </c>
      <c r="O14" s="18" t="str">
        <f>TEXT(Table1[[#This Row],[Order_Date]],"mmm")</f>
        <v>Jun</v>
      </c>
      <c r="P14" s="18">
        <f t="shared" si="0"/>
        <v>2025</v>
      </c>
      <c r="Q14" s="45">
        <v>45839</v>
      </c>
      <c r="R14" s="19">
        <f>'Cleaned Data'!$Q14-'Cleaned Data'!$N14</f>
        <v>3</v>
      </c>
      <c r="S14" s="19" t="str">
        <f t="shared" si="1"/>
        <v>Monsoon</v>
      </c>
    </row>
    <row r="15" spans="1:19" x14ac:dyDescent="0.3">
      <c r="A15" s="11" t="s">
        <v>192</v>
      </c>
      <c r="B15" s="11" t="s">
        <v>25</v>
      </c>
      <c r="C15" s="3" t="s">
        <v>34</v>
      </c>
      <c r="D15" s="3" t="s">
        <v>45</v>
      </c>
      <c r="E15" s="3" t="s">
        <v>59</v>
      </c>
      <c r="F15" s="3" t="s">
        <v>62</v>
      </c>
      <c r="G15" s="3" t="s">
        <v>66</v>
      </c>
      <c r="H15" s="37">
        <v>997.83</v>
      </c>
      <c r="I15" s="12">
        <v>0.05</v>
      </c>
      <c r="J15" s="37">
        <v>947.93849999999998</v>
      </c>
      <c r="K15" s="3">
        <v>4</v>
      </c>
      <c r="L15" s="61">
        <f>Table1[[#This Row],[Final_Unit_Price]]*Table1[[#This Row],[Quantity]]</f>
        <v>3791.7539999999999</v>
      </c>
      <c r="M15" s="59">
        <v>1327.11</v>
      </c>
      <c r="N15" s="42">
        <v>45562</v>
      </c>
      <c r="O15" s="20" t="str">
        <f>TEXT(Table1[[#This Row],[Order_Date]],"mmm")</f>
        <v>Sep</v>
      </c>
      <c r="P15" s="20">
        <f t="shared" si="0"/>
        <v>2024</v>
      </c>
      <c r="Q15" s="46">
        <v>45572</v>
      </c>
      <c r="R15" s="20">
        <f>'Cleaned Data'!$Q15-'Cleaned Data'!$N15</f>
        <v>10</v>
      </c>
      <c r="S15" s="19" t="str">
        <f t="shared" si="1"/>
        <v>Monsoon</v>
      </c>
    </row>
    <row r="16" spans="1:19" x14ac:dyDescent="0.3">
      <c r="A16" s="13" t="s">
        <v>193</v>
      </c>
      <c r="B16" s="13" t="s">
        <v>19</v>
      </c>
      <c r="C16" s="5" t="s">
        <v>33</v>
      </c>
      <c r="D16" s="5" t="s">
        <v>38</v>
      </c>
      <c r="E16" s="5" t="s">
        <v>59</v>
      </c>
      <c r="F16" s="5" t="s">
        <v>62</v>
      </c>
      <c r="G16" s="5" t="s">
        <v>69</v>
      </c>
      <c r="H16" s="38">
        <v>2432.71</v>
      </c>
      <c r="I16" s="14">
        <v>0.05</v>
      </c>
      <c r="J16" s="38">
        <v>2311.0745000000002</v>
      </c>
      <c r="K16" s="5">
        <v>3</v>
      </c>
      <c r="L16" s="62">
        <f>Table1[[#This Row],[Final_Unit_Price]]*Table1[[#This Row],[Quantity]]</f>
        <v>6933.2235000000001</v>
      </c>
      <c r="M16" s="60">
        <v>2426.63</v>
      </c>
      <c r="N16" s="43">
        <v>45425</v>
      </c>
      <c r="O16" s="18" t="str">
        <f>TEXT(Table1[[#This Row],[Order_Date]],"mmm")</f>
        <v>May</v>
      </c>
      <c r="P16" s="18">
        <f t="shared" si="0"/>
        <v>2024</v>
      </c>
      <c r="Q16" s="45">
        <v>45428</v>
      </c>
      <c r="R16" s="19">
        <f>'Cleaned Data'!$Q16-'Cleaned Data'!$N16</f>
        <v>3</v>
      </c>
      <c r="S16" s="19" t="str">
        <f t="shared" si="1"/>
        <v>Summer</v>
      </c>
    </row>
    <row r="17" spans="1:19" x14ac:dyDescent="0.3">
      <c r="A17" s="11" t="s">
        <v>194</v>
      </c>
      <c r="B17" s="11" t="s">
        <v>24</v>
      </c>
      <c r="C17" s="3" t="s">
        <v>32</v>
      </c>
      <c r="D17" s="3" t="s">
        <v>40</v>
      </c>
      <c r="E17" s="3" t="s">
        <v>59</v>
      </c>
      <c r="F17" s="3" t="s">
        <v>64</v>
      </c>
      <c r="G17" s="3" t="s">
        <v>72</v>
      </c>
      <c r="H17" s="37">
        <v>31215.98</v>
      </c>
      <c r="I17" s="12">
        <v>0.2</v>
      </c>
      <c r="J17" s="37">
        <v>24972.784</v>
      </c>
      <c r="K17" s="3">
        <v>2</v>
      </c>
      <c r="L17" s="61">
        <f>Table1[[#This Row],[Final_Unit_Price]]*Table1[[#This Row],[Quantity]]</f>
        <v>49945.567999999999</v>
      </c>
      <c r="M17" s="59">
        <v>17480.95</v>
      </c>
      <c r="N17" s="42">
        <v>45793</v>
      </c>
      <c r="O17" s="20" t="str">
        <f>TEXT(Table1[[#This Row],[Order_Date]],"mmm")</f>
        <v>May</v>
      </c>
      <c r="P17" s="20">
        <f t="shared" si="0"/>
        <v>2025</v>
      </c>
      <c r="Q17" s="46">
        <v>45799</v>
      </c>
      <c r="R17" s="20">
        <f>'Cleaned Data'!$Q17-'Cleaned Data'!$N17</f>
        <v>6</v>
      </c>
      <c r="S17" s="19" t="str">
        <f t="shared" si="1"/>
        <v>Summer</v>
      </c>
    </row>
    <row r="18" spans="1:19" x14ac:dyDescent="0.3">
      <c r="A18" s="13" t="s">
        <v>195</v>
      </c>
      <c r="B18" s="13" t="s">
        <v>17</v>
      </c>
      <c r="C18" s="5" t="s">
        <v>32</v>
      </c>
      <c r="D18" s="5" t="s">
        <v>37</v>
      </c>
      <c r="E18" s="5" t="s">
        <v>59</v>
      </c>
      <c r="F18" s="5" t="s">
        <v>61</v>
      </c>
      <c r="G18" s="5" t="s">
        <v>71</v>
      </c>
      <c r="H18" s="38">
        <v>9213.39</v>
      </c>
      <c r="I18" s="14">
        <v>0.1</v>
      </c>
      <c r="J18" s="38">
        <v>8292.0509999999995</v>
      </c>
      <c r="K18" s="5">
        <v>3</v>
      </c>
      <c r="L18" s="62">
        <f>Table1[[#This Row],[Final_Unit_Price]]*Table1[[#This Row],[Quantity]]</f>
        <v>24876.152999999998</v>
      </c>
      <c r="M18" s="60">
        <v>8706.65</v>
      </c>
      <c r="N18" s="43">
        <v>45719</v>
      </c>
      <c r="O18" s="18" t="str">
        <f>TEXT(Table1[[#This Row],[Order_Date]],"mmm")</f>
        <v>Mar</v>
      </c>
      <c r="P18" s="18">
        <f t="shared" si="0"/>
        <v>2025</v>
      </c>
      <c r="Q18" s="45">
        <v>45721</v>
      </c>
      <c r="R18" s="19">
        <f>'Cleaned Data'!$Q18-'Cleaned Data'!$N18</f>
        <v>2</v>
      </c>
      <c r="S18" s="19" t="str">
        <f t="shared" si="1"/>
        <v>Summer</v>
      </c>
    </row>
    <row r="19" spans="1:19" x14ac:dyDescent="0.3">
      <c r="A19" s="11" t="s">
        <v>196</v>
      </c>
      <c r="B19" s="11" t="s">
        <v>22</v>
      </c>
      <c r="C19" s="3" t="s">
        <v>31</v>
      </c>
      <c r="D19" s="3" t="s">
        <v>36</v>
      </c>
      <c r="E19" s="3" t="s">
        <v>58</v>
      </c>
      <c r="F19" s="3" t="s">
        <v>61</v>
      </c>
      <c r="G19" s="3" t="s">
        <v>65</v>
      </c>
      <c r="H19" s="37">
        <v>3464.41</v>
      </c>
      <c r="I19" s="12">
        <v>0.15</v>
      </c>
      <c r="J19" s="37">
        <v>2944.7485000000001</v>
      </c>
      <c r="K19" s="3">
        <v>1</v>
      </c>
      <c r="L19" s="61">
        <f>Table1[[#This Row],[Final_Unit_Price]]*Table1[[#This Row],[Quantity]]</f>
        <v>2944.7485000000001</v>
      </c>
      <c r="M19" s="59">
        <v>736.19</v>
      </c>
      <c r="N19" s="42">
        <v>45711</v>
      </c>
      <c r="O19" s="20" t="str">
        <f>TEXT(Table1[[#This Row],[Order_Date]],"mmm")</f>
        <v>Feb</v>
      </c>
      <c r="P19" s="20">
        <f t="shared" si="0"/>
        <v>2025</v>
      </c>
      <c r="Q19" s="46">
        <v>45714</v>
      </c>
      <c r="R19" s="20">
        <f>'Cleaned Data'!$Q19-'Cleaned Data'!$N19</f>
        <v>3</v>
      </c>
      <c r="S19" s="19" t="str">
        <f t="shared" si="1"/>
        <v>Summer</v>
      </c>
    </row>
    <row r="20" spans="1:19" x14ac:dyDescent="0.3">
      <c r="A20" s="13" t="s">
        <v>197</v>
      </c>
      <c r="B20" s="13" t="s">
        <v>26</v>
      </c>
      <c r="C20" s="5" t="s">
        <v>32</v>
      </c>
      <c r="D20" s="5" t="s">
        <v>43</v>
      </c>
      <c r="E20" s="5" t="s">
        <v>58</v>
      </c>
      <c r="F20" s="5" t="s">
        <v>63</v>
      </c>
      <c r="G20" s="5" t="s">
        <v>73</v>
      </c>
      <c r="H20" s="38">
        <v>33492.07</v>
      </c>
      <c r="I20" s="14">
        <v>0.2</v>
      </c>
      <c r="J20" s="38">
        <v>26793.655999999999</v>
      </c>
      <c r="K20" s="5">
        <v>4</v>
      </c>
      <c r="L20" s="62">
        <f>Table1[[#This Row],[Final_Unit_Price]]*Table1[[#This Row],[Quantity]]</f>
        <v>107174.624</v>
      </c>
      <c r="M20" s="60">
        <v>26793.65</v>
      </c>
      <c r="N20" s="43">
        <v>45654</v>
      </c>
      <c r="O20" s="18" t="str">
        <f>TEXT(Table1[[#This Row],[Order_Date]],"mmm")</f>
        <v>Dec</v>
      </c>
      <c r="P20" s="18">
        <f t="shared" si="0"/>
        <v>2024</v>
      </c>
      <c r="Q20" s="45">
        <v>45658</v>
      </c>
      <c r="R20" s="19">
        <f>'Cleaned Data'!$Q20-'Cleaned Data'!$N20</f>
        <v>4</v>
      </c>
      <c r="S20" s="19" t="str">
        <f t="shared" si="1"/>
        <v>Winter</v>
      </c>
    </row>
    <row r="21" spans="1:19" x14ac:dyDescent="0.3">
      <c r="A21" s="11" t="s">
        <v>198</v>
      </c>
      <c r="B21" s="11" t="s">
        <v>24</v>
      </c>
      <c r="C21" s="3" t="s">
        <v>32</v>
      </c>
      <c r="D21" s="3" t="s">
        <v>43</v>
      </c>
      <c r="E21" s="3" t="s">
        <v>58</v>
      </c>
      <c r="F21" s="3" t="s">
        <v>61</v>
      </c>
      <c r="G21" s="3" t="s">
        <v>70</v>
      </c>
      <c r="H21" s="37">
        <v>23758.83</v>
      </c>
      <c r="I21" s="12">
        <v>0</v>
      </c>
      <c r="J21" s="37">
        <v>23758.83</v>
      </c>
      <c r="K21" s="3">
        <v>3</v>
      </c>
      <c r="L21" s="61">
        <f>Table1[[#This Row],[Final_Unit_Price]]*Table1[[#This Row],[Quantity]]</f>
        <v>71276.490000000005</v>
      </c>
      <c r="M21" s="59">
        <v>17819.12</v>
      </c>
      <c r="N21" s="42">
        <v>45540</v>
      </c>
      <c r="O21" s="20" t="str">
        <f>TEXT(Table1[[#This Row],[Order_Date]],"mmm")</f>
        <v>Sep</v>
      </c>
      <c r="P21" s="20">
        <f t="shared" si="0"/>
        <v>2024</v>
      </c>
      <c r="Q21" s="46">
        <v>45546</v>
      </c>
      <c r="R21" s="20">
        <f>'Cleaned Data'!$Q21-'Cleaned Data'!$N21</f>
        <v>6</v>
      </c>
      <c r="S21" s="19" t="str">
        <f t="shared" si="1"/>
        <v>Monsoon</v>
      </c>
    </row>
    <row r="22" spans="1:19" x14ac:dyDescent="0.3">
      <c r="A22" s="13" t="s">
        <v>199</v>
      </c>
      <c r="B22" s="13" t="s">
        <v>27</v>
      </c>
      <c r="C22" s="5" t="s">
        <v>35</v>
      </c>
      <c r="D22" s="5" t="s">
        <v>46</v>
      </c>
      <c r="E22" s="5" t="s">
        <v>59</v>
      </c>
      <c r="F22" s="5" t="s">
        <v>64</v>
      </c>
      <c r="G22" s="5" t="s">
        <v>74</v>
      </c>
      <c r="H22" s="38">
        <v>10756.52</v>
      </c>
      <c r="I22" s="14">
        <v>0.15</v>
      </c>
      <c r="J22" s="38">
        <v>9143.0419999999995</v>
      </c>
      <c r="K22" s="5">
        <v>1</v>
      </c>
      <c r="L22" s="62">
        <f>Table1[[#This Row],[Final_Unit_Price]]*Table1[[#This Row],[Quantity]]</f>
        <v>9143.0419999999995</v>
      </c>
      <c r="M22" s="60">
        <v>3200.06</v>
      </c>
      <c r="N22" s="43">
        <v>45834</v>
      </c>
      <c r="O22" s="18" t="str">
        <f>TEXT(Table1[[#This Row],[Order_Date]],"mmm")</f>
        <v>Jun</v>
      </c>
      <c r="P22" s="18">
        <f t="shared" si="0"/>
        <v>2025</v>
      </c>
      <c r="Q22" s="45">
        <v>45836</v>
      </c>
      <c r="R22" s="19">
        <f>'Cleaned Data'!$Q22-'Cleaned Data'!$N22</f>
        <v>2</v>
      </c>
      <c r="S22" s="19" t="str">
        <f t="shared" si="1"/>
        <v>Monsoon</v>
      </c>
    </row>
    <row r="23" spans="1:19" x14ac:dyDescent="0.3">
      <c r="A23" s="11" t="s">
        <v>200</v>
      </c>
      <c r="B23" s="11" t="s">
        <v>18</v>
      </c>
      <c r="C23" s="3" t="s">
        <v>33</v>
      </c>
      <c r="D23" s="3" t="s">
        <v>39</v>
      </c>
      <c r="E23" s="3" t="s">
        <v>58</v>
      </c>
      <c r="F23" s="3" t="s">
        <v>63</v>
      </c>
      <c r="G23" s="3" t="s">
        <v>73</v>
      </c>
      <c r="H23" s="37">
        <v>48286.45</v>
      </c>
      <c r="I23" s="12">
        <v>0.25</v>
      </c>
      <c r="J23" s="37">
        <v>36214.837499999987</v>
      </c>
      <c r="K23" s="3">
        <v>2</v>
      </c>
      <c r="L23" s="61">
        <f>Table1[[#This Row],[Final_Unit_Price]]*Table1[[#This Row],[Quantity]]</f>
        <v>72429.674999999974</v>
      </c>
      <c r="M23" s="59">
        <v>18107.419999999998</v>
      </c>
      <c r="N23" s="42">
        <v>45561</v>
      </c>
      <c r="O23" s="20" t="str">
        <f>TEXT(Table1[[#This Row],[Order_Date]],"mmm")</f>
        <v>Sep</v>
      </c>
      <c r="P23" s="20">
        <f t="shared" si="0"/>
        <v>2024</v>
      </c>
      <c r="Q23" s="46">
        <v>45571</v>
      </c>
      <c r="R23" s="20">
        <f>'Cleaned Data'!$Q23-'Cleaned Data'!$N23</f>
        <v>10</v>
      </c>
      <c r="S23" s="19" t="str">
        <f t="shared" si="1"/>
        <v>Monsoon</v>
      </c>
    </row>
    <row r="24" spans="1:19" x14ac:dyDescent="0.3">
      <c r="A24" s="13" t="s">
        <v>201</v>
      </c>
      <c r="B24" s="13" t="s">
        <v>18</v>
      </c>
      <c r="C24" s="5" t="s">
        <v>33</v>
      </c>
      <c r="D24" s="5" t="s">
        <v>39</v>
      </c>
      <c r="E24" s="5" t="s">
        <v>58</v>
      </c>
      <c r="F24" s="5" t="s">
        <v>64</v>
      </c>
      <c r="G24" s="5" t="s">
        <v>74</v>
      </c>
      <c r="H24" s="38">
        <v>56451.93</v>
      </c>
      <c r="I24" s="14">
        <v>0.1</v>
      </c>
      <c r="J24" s="38">
        <v>50806.737000000001</v>
      </c>
      <c r="K24" s="5">
        <v>5</v>
      </c>
      <c r="L24" s="62">
        <f>Table1[[#This Row],[Final_Unit_Price]]*Table1[[#This Row],[Quantity]]</f>
        <v>254033.685</v>
      </c>
      <c r="M24" s="60">
        <v>63508.42</v>
      </c>
      <c r="N24" s="43">
        <v>45850</v>
      </c>
      <c r="O24" s="18" t="str">
        <f>TEXT(Table1[[#This Row],[Order_Date]],"mmm")</f>
        <v>Jul</v>
      </c>
      <c r="P24" s="18">
        <f t="shared" si="0"/>
        <v>2025</v>
      </c>
      <c r="Q24" s="45">
        <v>45860</v>
      </c>
      <c r="R24" s="19">
        <f>'Cleaned Data'!$Q24-'Cleaned Data'!$N24</f>
        <v>10</v>
      </c>
      <c r="S24" s="19" t="str">
        <f t="shared" si="1"/>
        <v>Monsoon</v>
      </c>
    </row>
    <row r="25" spans="1:19" x14ac:dyDescent="0.3">
      <c r="A25" s="11" t="s">
        <v>202</v>
      </c>
      <c r="B25" s="11" t="s">
        <v>27</v>
      </c>
      <c r="C25" s="3" t="s">
        <v>35</v>
      </c>
      <c r="D25" s="3" t="s">
        <v>46</v>
      </c>
      <c r="E25" s="3" t="s">
        <v>59</v>
      </c>
      <c r="F25" s="3" t="s">
        <v>62</v>
      </c>
      <c r="G25" s="3" t="s">
        <v>66</v>
      </c>
      <c r="H25" s="37">
        <v>9870.3700000000008</v>
      </c>
      <c r="I25" s="12">
        <v>0.1</v>
      </c>
      <c r="J25" s="37">
        <v>8883.3330000000005</v>
      </c>
      <c r="K25" s="3">
        <v>3</v>
      </c>
      <c r="L25" s="61">
        <f>Table1[[#This Row],[Final_Unit_Price]]*Table1[[#This Row],[Quantity]]</f>
        <v>26649.999000000003</v>
      </c>
      <c r="M25" s="59">
        <v>9327.5</v>
      </c>
      <c r="N25" s="42">
        <v>45842</v>
      </c>
      <c r="O25" s="20" t="str">
        <f>TEXT(Table1[[#This Row],[Order_Date]],"mmm")</f>
        <v>Jul</v>
      </c>
      <c r="P25" s="20">
        <f t="shared" si="0"/>
        <v>2025</v>
      </c>
      <c r="Q25" s="46">
        <v>45844</v>
      </c>
      <c r="R25" s="20">
        <f>'Cleaned Data'!$Q25-'Cleaned Data'!$N25</f>
        <v>2</v>
      </c>
      <c r="S25" s="19" t="str">
        <f t="shared" si="1"/>
        <v>Monsoon</v>
      </c>
    </row>
    <row r="26" spans="1:19" x14ac:dyDescent="0.3">
      <c r="A26" s="13" t="s">
        <v>203</v>
      </c>
      <c r="B26" s="13" t="s">
        <v>28</v>
      </c>
      <c r="C26" s="5" t="s">
        <v>34</v>
      </c>
      <c r="D26" s="5" t="s">
        <v>45</v>
      </c>
      <c r="E26" s="5" t="s">
        <v>59</v>
      </c>
      <c r="F26" s="5" t="s">
        <v>64</v>
      </c>
      <c r="G26" s="5" t="s">
        <v>74</v>
      </c>
      <c r="H26" s="38">
        <v>1933.01</v>
      </c>
      <c r="I26" s="14">
        <v>0.05</v>
      </c>
      <c r="J26" s="38">
        <v>1836.3595</v>
      </c>
      <c r="K26" s="5">
        <v>2</v>
      </c>
      <c r="L26" s="62">
        <f>Table1[[#This Row],[Final_Unit_Price]]*Table1[[#This Row],[Quantity]]</f>
        <v>3672.7190000000001</v>
      </c>
      <c r="M26" s="60">
        <v>1285.45</v>
      </c>
      <c r="N26" s="43">
        <v>45520</v>
      </c>
      <c r="O26" s="18" t="str">
        <f>TEXT(Table1[[#This Row],[Order_Date]],"mmm")</f>
        <v>Aug</v>
      </c>
      <c r="P26" s="18">
        <f t="shared" si="0"/>
        <v>2024</v>
      </c>
      <c r="Q26" s="45">
        <v>45530</v>
      </c>
      <c r="R26" s="19">
        <f>'Cleaned Data'!$Q26-'Cleaned Data'!$N26</f>
        <v>10</v>
      </c>
      <c r="S26" s="19" t="str">
        <f t="shared" si="1"/>
        <v>Monsoon</v>
      </c>
    </row>
    <row r="27" spans="1:19" x14ac:dyDescent="0.3">
      <c r="A27" s="11" t="s">
        <v>204</v>
      </c>
      <c r="B27" s="11" t="s">
        <v>16</v>
      </c>
      <c r="C27" s="3" t="s">
        <v>31</v>
      </c>
      <c r="D27" s="3" t="s">
        <v>47</v>
      </c>
      <c r="E27" s="3" t="s">
        <v>59</v>
      </c>
      <c r="F27" s="3" t="s">
        <v>61</v>
      </c>
      <c r="G27" s="3" t="s">
        <v>71</v>
      </c>
      <c r="H27" s="37">
        <v>2996.39</v>
      </c>
      <c r="I27" s="12">
        <v>0.1</v>
      </c>
      <c r="J27" s="37">
        <v>2696.7510000000002</v>
      </c>
      <c r="K27" s="3">
        <v>10</v>
      </c>
      <c r="L27" s="61">
        <f>Table1[[#This Row],[Final_Unit_Price]]*Table1[[#This Row],[Quantity]]</f>
        <v>26967.510000000002</v>
      </c>
      <c r="M27" s="59">
        <v>4719.3100000000004</v>
      </c>
      <c r="N27" s="42">
        <v>45472</v>
      </c>
      <c r="O27" s="20" t="str">
        <f>TEXT(Table1[[#This Row],[Order_Date]],"mmm")</f>
        <v>Jun</v>
      </c>
      <c r="P27" s="20">
        <f t="shared" si="0"/>
        <v>2024</v>
      </c>
      <c r="Q27" s="46">
        <v>45482</v>
      </c>
      <c r="R27" s="20">
        <f>'Cleaned Data'!$Q27-'Cleaned Data'!$N27</f>
        <v>10</v>
      </c>
      <c r="S27" s="19" t="str">
        <f t="shared" si="1"/>
        <v>Monsoon</v>
      </c>
    </row>
    <row r="28" spans="1:19" x14ac:dyDescent="0.3">
      <c r="A28" s="13" t="s">
        <v>205</v>
      </c>
      <c r="B28" s="13" t="s">
        <v>22</v>
      </c>
      <c r="C28" s="5" t="s">
        <v>31</v>
      </c>
      <c r="D28" s="5" t="s">
        <v>47</v>
      </c>
      <c r="E28" s="5" t="s">
        <v>59</v>
      </c>
      <c r="F28" s="5" t="s">
        <v>62</v>
      </c>
      <c r="G28" s="5" t="s">
        <v>67</v>
      </c>
      <c r="H28" s="38">
        <v>4505.47</v>
      </c>
      <c r="I28" s="14">
        <v>0.1</v>
      </c>
      <c r="J28" s="38">
        <v>4054.9229999999998</v>
      </c>
      <c r="K28" s="5">
        <v>2</v>
      </c>
      <c r="L28" s="62">
        <f>Table1[[#This Row],[Final_Unit_Price]]*Table1[[#This Row],[Quantity]]</f>
        <v>8109.8459999999995</v>
      </c>
      <c r="M28" s="60">
        <v>2838.45</v>
      </c>
      <c r="N28" s="43">
        <v>45424</v>
      </c>
      <c r="O28" s="18" t="str">
        <f>TEXT(Table1[[#This Row],[Order_Date]],"mmm")</f>
        <v>May</v>
      </c>
      <c r="P28" s="18">
        <f t="shared" si="0"/>
        <v>2024</v>
      </c>
      <c r="Q28" s="45">
        <v>45427</v>
      </c>
      <c r="R28" s="19">
        <f>'Cleaned Data'!$Q28-'Cleaned Data'!$N28</f>
        <v>3</v>
      </c>
      <c r="S28" s="19" t="str">
        <f t="shared" si="1"/>
        <v>Summer</v>
      </c>
    </row>
    <row r="29" spans="1:19" x14ac:dyDescent="0.3">
      <c r="A29" s="11" t="s">
        <v>206</v>
      </c>
      <c r="B29" s="11" t="s">
        <v>29</v>
      </c>
      <c r="C29" s="3" t="s">
        <v>35</v>
      </c>
      <c r="D29" s="3" t="s">
        <v>48</v>
      </c>
      <c r="E29" s="3" t="s">
        <v>58</v>
      </c>
      <c r="F29" s="3" t="s">
        <v>62</v>
      </c>
      <c r="G29" s="3" t="s">
        <v>67</v>
      </c>
      <c r="H29" s="37">
        <v>18678.7</v>
      </c>
      <c r="I29" s="12">
        <v>0.2</v>
      </c>
      <c r="J29" s="37">
        <v>14942.96</v>
      </c>
      <c r="K29" s="3">
        <v>3</v>
      </c>
      <c r="L29" s="61">
        <f>Table1[[#This Row],[Final_Unit_Price]]*Table1[[#This Row],[Quantity]]</f>
        <v>44828.88</v>
      </c>
      <c r="M29" s="59">
        <v>11207.22</v>
      </c>
      <c r="N29" s="42">
        <v>45637</v>
      </c>
      <c r="O29" s="20" t="str">
        <f>TEXT(Table1[[#This Row],[Order_Date]],"mmm")</f>
        <v>Dec</v>
      </c>
      <c r="P29" s="20">
        <f t="shared" si="0"/>
        <v>2024</v>
      </c>
      <c r="Q29" s="46">
        <v>45639</v>
      </c>
      <c r="R29" s="20">
        <f>'Cleaned Data'!$Q29-'Cleaned Data'!$N29</f>
        <v>2</v>
      </c>
      <c r="S29" s="19" t="str">
        <f t="shared" si="1"/>
        <v>Winter</v>
      </c>
    </row>
    <row r="30" spans="1:19" x14ac:dyDescent="0.3">
      <c r="A30" s="13" t="s">
        <v>207</v>
      </c>
      <c r="B30" s="13" t="s">
        <v>25</v>
      </c>
      <c r="C30" s="5" t="s">
        <v>34</v>
      </c>
      <c r="D30" s="5" t="s">
        <v>49</v>
      </c>
      <c r="E30" s="5" t="s">
        <v>59</v>
      </c>
      <c r="F30" s="5" t="s">
        <v>63</v>
      </c>
      <c r="G30" s="5" t="s">
        <v>75</v>
      </c>
      <c r="H30" s="38">
        <v>921.47</v>
      </c>
      <c r="I30" s="14">
        <v>0.25</v>
      </c>
      <c r="J30" s="38">
        <v>691.10249999999996</v>
      </c>
      <c r="K30" s="5">
        <v>2</v>
      </c>
      <c r="L30" s="62">
        <f>Table1[[#This Row],[Final_Unit_Price]]*Table1[[#This Row],[Quantity]]</f>
        <v>1382.2049999999999</v>
      </c>
      <c r="M30" s="60">
        <v>483.77</v>
      </c>
      <c r="N30" s="43">
        <v>45361</v>
      </c>
      <c r="O30" s="18" t="str">
        <f>TEXT(Table1[[#This Row],[Order_Date]],"mmm")</f>
        <v>Mar</v>
      </c>
      <c r="P30" s="18">
        <f t="shared" si="0"/>
        <v>2024</v>
      </c>
      <c r="Q30" s="45">
        <v>45370</v>
      </c>
      <c r="R30" s="19">
        <f>'Cleaned Data'!$Q30-'Cleaned Data'!$N30</f>
        <v>9</v>
      </c>
      <c r="S30" s="19" t="str">
        <f t="shared" si="1"/>
        <v>Summer</v>
      </c>
    </row>
    <row r="31" spans="1:19" x14ac:dyDescent="0.3">
      <c r="A31" s="11" t="s">
        <v>208</v>
      </c>
      <c r="B31" s="11" t="s">
        <v>28</v>
      </c>
      <c r="C31" s="3" t="s">
        <v>34</v>
      </c>
      <c r="D31" s="3" t="s">
        <v>49</v>
      </c>
      <c r="E31" s="3" t="s">
        <v>59</v>
      </c>
      <c r="F31" s="3" t="s">
        <v>61</v>
      </c>
      <c r="G31" s="3" t="s">
        <v>71</v>
      </c>
      <c r="H31" s="37">
        <v>1692.8</v>
      </c>
      <c r="I31" s="12">
        <v>0.3</v>
      </c>
      <c r="J31" s="37">
        <v>1184.96</v>
      </c>
      <c r="K31" s="3">
        <v>20</v>
      </c>
      <c r="L31" s="61">
        <f>Table1[[#This Row],[Final_Unit_Price]]*Table1[[#This Row],[Quantity]]</f>
        <v>23699.200000000001</v>
      </c>
      <c r="M31" s="59">
        <v>1244.21</v>
      </c>
      <c r="N31" s="42">
        <v>45684</v>
      </c>
      <c r="O31" s="20" t="str">
        <f>TEXT(Table1[[#This Row],[Order_Date]],"mmm")</f>
        <v>Jan</v>
      </c>
      <c r="P31" s="20">
        <f t="shared" si="0"/>
        <v>2025</v>
      </c>
      <c r="Q31" s="46">
        <v>45691</v>
      </c>
      <c r="R31" s="20">
        <f>'Cleaned Data'!$Q31-'Cleaned Data'!$N31</f>
        <v>7</v>
      </c>
      <c r="S31" s="19" t="str">
        <f t="shared" si="1"/>
        <v>Winter</v>
      </c>
    </row>
    <row r="32" spans="1:19" x14ac:dyDescent="0.3">
      <c r="A32" s="13" t="s">
        <v>209</v>
      </c>
      <c r="B32" s="13" t="s">
        <v>16</v>
      </c>
      <c r="C32" s="5" t="s">
        <v>31</v>
      </c>
      <c r="D32" s="5" t="s">
        <v>36</v>
      </c>
      <c r="E32" s="5" t="s">
        <v>58</v>
      </c>
      <c r="F32" s="5" t="s">
        <v>62</v>
      </c>
      <c r="G32" s="5" t="s">
        <v>67</v>
      </c>
      <c r="H32" s="38">
        <v>2711.92</v>
      </c>
      <c r="I32" s="14">
        <v>0.3</v>
      </c>
      <c r="J32" s="38">
        <v>1898.3440000000001</v>
      </c>
      <c r="K32" s="5">
        <v>10</v>
      </c>
      <c r="L32" s="62">
        <f>Table1[[#This Row],[Final_Unit_Price]]*Table1[[#This Row],[Quantity]]</f>
        <v>18983.440000000002</v>
      </c>
      <c r="M32" s="60">
        <v>2372.9299999999998</v>
      </c>
      <c r="N32" s="43">
        <v>45540</v>
      </c>
      <c r="O32" s="18" t="str">
        <f>TEXT(Table1[[#This Row],[Order_Date]],"mmm")</f>
        <v>Sep</v>
      </c>
      <c r="P32" s="18">
        <f t="shared" si="0"/>
        <v>2024</v>
      </c>
      <c r="Q32" s="45">
        <v>45549</v>
      </c>
      <c r="R32" s="19">
        <f>'Cleaned Data'!$Q32-'Cleaned Data'!$N32</f>
        <v>9</v>
      </c>
      <c r="S32" s="19" t="str">
        <f t="shared" si="1"/>
        <v>Monsoon</v>
      </c>
    </row>
    <row r="33" spans="1:19" x14ac:dyDescent="0.3">
      <c r="A33" s="11" t="s">
        <v>210</v>
      </c>
      <c r="B33" s="11" t="s">
        <v>20</v>
      </c>
      <c r="C33" s="3" t="s">
        <v>32</v>
      </c>
      <c r="D33" s="3" t="s">
        <v>37</v>
      </c>
      <c r="E33" s="3" t="s">
        <v>59</v>
      </c>
      <c r="F33" s="3" t="s">
        <v>64</v>
      </c>
      <c r="G33" s="3" t="s">
        <v>76</v>
      </c>
      <c r="H33" s="37">
        <v>37732.339999999997</v>
      </c>
      <c r="I33" s="12">
        <v>0.1</v>
      </c>
      <c r="J33" s="37">
        <v>33959.106</v>
      </c>
      <c r="K33" s="3">
        <v>5</v>
      </c>
      <c r="L33" s="61">
        <f>Table1[[#This Row],[Final_Unit_Price]]*Table1[[#This Row],[Quantity]]</f>
        <v>169795.53</v>
      </c>
      <c r="M33" s="59">
        <v>59428.44</v>
      </c>
      <c r="N33" s="42">
        <v>45853</v>
      </c>
      <c r="O33" s="20" t="str">
        <f>TEXT(Table1[[#This Row],[Order_Date]],"mmm")</f>
        <v>Jul</v>
      </c>
      <c r="P33" s="20">
        <f t="shared" si="0"/>
        <v>2025</v>
      </c>
      <c r="Q33" s="46">
        <v>45863</v>
      </c>
      <c r="R33" s="20">
        <f>'Cleaned Data'!$Q33-'Cleaned Data'!$N33</f>
        <v>10</v>
      </c>
      <c r="S33" s="19" t="str">
        <f t="shared" si="1"/>
        <v>Monsoon</v>
      </c>
    </row>
    <row r="34" spans="1:19" x14ac:dyDescent="0.3">
      <c r="A34" s="13" t="s">
        <v>211</v>
      </c>
      <c r="B34" s="13" t="s">
        <v>29</v>
      </c>
      <c r="C34" s="5" t="s">
        <v>35</v>
      </c>
      <c r="D34" s="5" t="s">
        <v>38</v>
      </c>
      <c r="E34" s="5" t="s">
        <v>59</v>
      </c>
      <c r="F34" s="5" t="s">
        <v>61</v>
      </c>
      <c r="G34" s="5" t="s">
        <v>71</v>
      </c>
      <c r="H34" s="38">
        <v>22097.24</v>
      </c>
      <c r="I34" s="14">
        <v>0.05</v>
      </c>
      <c r="J34" s="38">
        <v>20992.378000000001</v>
      </c>
      <c r="K34" s="5">
        <v>2</v>
      </c>
      <c r="L34" s="62">
        <f>Table1[[#This Row],[Final_Unit_Price]]*Table1[[#This Row],[Quantity]]</f>
        <v>41984.756000000001</v>
      </c>
      <c r="M34" s="60">
        <v>14694.67</v>
      </c>
      <c r="N34" s="43">
        <v>45645</v>
      </c>
      <c r="O34" s="18" t="str">
        <f>TEXT(Table1[[#This Row],[Order_Date]],"mmm")</f>
        <v>Dec</v>
      </c>
      <c r="P34" s="18">
        <f t="shared" si="0"/>
        <v>2024</v>
      </c>
      <c r="Q34" s="45">
        <v>45653</v>
      </c>
      <c r="R34" s="19">
        <f>'Cleaned Data'!$Q34-'Cleaned Data'!$N34</f>
        <v>8</v>
      </c>
      <c r="S34" s="19" t="str">
        <f t="shared" si="1"/>
        <v>Winter</v>
      </c>
    </row>
    <row r="35" spans="1:19" x14ac:dyDescent="0.3">
      <c r="A35" s="11" t="s">
        <v>212</v>
      </c>
      <c r="B35" s="11" t="s">
        <v>18</v>
      </c>
      <c r="C35" s="3" t="s">
        <v>33</v>
      </c>
      <c r="D35" s="3" t="s">
        <v>50</v>
      </c>
      <c r="E35" s="3" t="s">
        <v>59</v>
      </c>
      <c r="F35" s="3" t="s">
        <v>63</v>
      </c>
      <c r="G35" s="3" t="s">
        <v>68</v>
      </c>
      <c r="H35" s="37">
        <v>55406.400000000001</v>
      </c>
      <c r="I35" s="12">
        <v>0.3</v>
      </c>
      <c r="J35" s="37">
        <v>38784.480000000003</v>
      </c>
      <c r="K35" s="3">
        <v>1</v>
      </c>
      <c r="L35" s="61">
        <f>Table1[[#This Row],[Final_Unit_Price]]*Table1[[#This Row],[Quantity]]</f>
        <v>38784.480000000003</v>
      </c>
      <c r="M35" s="59">
        <v>13574.57</v>
      </c>
      <c r="N35" s="42">
        <v>45318</v>
      </c>
      <c r="O35" s="20" t="str">
        <f>TEXT(Table1[[#This Row],[Order_Date]],"mmm")</f>
        <v>Jan</v>
      </c>
      <c r="P35" s="20">
        <f t="shared" si="0"/>
        <v>2024</v>
      </c>
      <c r="Q35" s="46">
        <v>45320</v>
      </c>
      <c r="R35" s="20">
        <f>'Cleaned Data'!$Q35-'Cleaned Data'!$N35</f>
        <v>2</v>
      </c>
      <c r="S35" s="19" t="str">
        <f t="shared" si="1"/>
        <v>Winter</v>
      </c>
    </row>
    <row r="36" spans="1:19" x14ac:dyDescent="0.3">
      <c r="A36" s="13" t="s">
        <v>213</v>
      </c>
      <c r="B36" s="13" t="s">
        <v>30</v>
      </c>
      <c r="C36" s="5" t="s">
        <v>33</v>
      </c>
      <c r="D36" s="5" t="s">
        <v>38</v>
      </c>
      <c r="E36" s="5" t="s">
        <v>59</v>
      </c>
      <c r="F36" s="5" t="s">
        <v>62</v>
      </c>
      <c r="G36" s="5" t="s">
        <v>67</v>
      </c>
      <c r="H36" s="38">
        <v>18139.45</v>
      </c>
      <c r="I36" s="14">
        <v>0.15</v>
      </c>
      <c r="J36" s="38">
        <v>15418.532499999999</v>
      </c>
      <c r="K36" s="5">
        <v>5</v>
      </c>
      <c r="L36" s="62">
        <f>Table1[[#This Row],[Final_Unit_Price]]*Table1[[#This Row],[Quantity]]</f>
        <v>77092.662499999991</v>
      </c>
      <c r="M36" s="60">
        <v>26982.43</v>
      </c>
      <c r="N36" s="43">
        <v>45517</v>
      </c>
      <c r="O36" s="18" t="str">
        <f>TEXT(Table1[[#This Row],[Order_Date]],"mmm")</f>
        <v>Aug</v>
      </c>
      <c r="P36" s="18">
        <f t="shared" si="0"/>
        <v>2024</v>
      </c>
      <c r="Q36" s="45">
        <v>45527</v>
      </c>
      <c r="R36" s="19">
        <f>'Cleaned Data'!$Q36-'Cleaned Data'!$N36</f>
        <v>10</v>
      </c>
      <c r="S36" s="19" t="str">
        <f t="shared" si="1"/>
        <v>Monsoon</v>
      </c>
    </row>
    <row r="37" spans="1:19" x14ac:dyDescent="0.3">
      <c r="A37" s="11" t="s">
        <v>214</v>
      </c>
      <c r="B37" s="11" t="s">
        <v>26</v>
      </c>
      <c r="C37" s="3" t="s">
        <v>32</v>
      </c>
      <c r="D37" s="3" t="s">
        <v>43</v>
      </c>
      <c r="E37" s="3" t="s">
        <v>58</v>
      </c>
      <c r="F37" s="3" t="s">
        <v>63</v>
      </c>
      <c r="G37" s="3" t="s">
        <v>73</v>
      </c>
      <c r="H37" s="37">
        <v>33771.68</v>
      </c>
      <c r="I37" s="12">
        <v>0</v>
      </c>
      <c r="J37" s="37">
        <v>33771.68</v>
      </c>
      <c r="K37" s="3">
        <v>2</v>
      </c>
      <c r="L37" s="61">
        <f>Table1[[#This Row],[Final_Unit_Price]]*Table1[[#This Row],[Quantity]]</f>
        <v>67543.360000000001</v>
      </c>
      <c r="M37" s="59">
        <v>16885.84</v>
      </c>
      <c r="N37" s="42">
        <v>45444</v>
      </c>
      <c r="O37" s="20" t="str">
        <f>TEXT(Table1[[#This Row],[Order_Date]],"mmm")</f>
        <v>Jun</v>
      </c>
      <c r="P37" s="20">
        <f t="shared" si="0"/>
        <v>2024</v>
      </c>
      <c r="Q37" s="46">
        <v>45450</v>
      </c>
      <c r="R37" s="20">
        <f>'Cleaned Data'!$Q37-'Cleaned Data'!$N37</f>
        <v>6</v>
      </c>
      <c r="S37" s="19" t="str">
        <f t="shared" si="1"/>
        <v>Monsoon</v>
      </c>
    </row>
    <row r="38" spans="1:19" x14ac:dyDescent="0.3">
      <c r="A38" s="13" t="s">
        <v>215</v>
      </c>
      <c r="B38" s="13" t="s">
        <v>24</v>
      </c>
      <c r="C38" s="5" t="s">
        <v>32</v>
      </c>
      <c r="D38" s="5" t="s">
        <v>37</v>
      </c>
      <c r="E38" s="5" t="s">
        <v>59</v>
      </c>
      <c r="F38" s="5" t="s">
        <v>62</v>
      </c>
      <c r="G38" s="5" t="s">
        <v>66</v>
      </c>
      <c r="H38" s="38">
        <v>32016.9</v>
      </c>
      <c r="I38" s="14">
        <v>0.25</v>
      </c>
      <c r="J38" s="38">
        <v>24012.674999999999</v>
      </c>
      <c r="K38" s="5">
        <v>1</v>
      </c>
      <c r="L38" s="62">
        <f>Table1[[#This Row],[Final_Unit_Price]]*Table1[[#This Row],[Quantity]]</f>
        <v>24012.674999999999</v>
      </c>
      <c r="M38" s="60">
        <v>8404.44</v>
      </c>
      <c r="N38" s="43">
        <v>45323</v>
      </c>
      <c r="O38" s="18" t="str">
        <f>TEXT(Table1[[#This Row],[Order_Date]],"mmm")</f>
        <v>Feb</v>
      </c>
      <c r="P38" s="18">
        <f t="shared" si="0"/>
        <v>2024</v>
      </c>
      <c r="Q38" s="45">
        <v>45328</v>
      </c>
      <c r="R38" s="19">
        <f>'Cleaned Data'!$Q38-'Cleaned Data'!$N38</f>
        <v>5</v>
      </c>
      <c r="S38" s="19" t="str">
        <f t="shared" si="1"/>
        <v>Summer</v>
      </c>
    </row>
    <row r="39" spans="1:19" x14ac:dyDescent="0.3">
      <c r="A39" s="11" t="s">
        <v>216</v>
      </c>
      <c r="B39" s="11" t="s">
        <v>29</v>
      </c>
      <c r="C39" s="3" t="s">
        <v>35</v>
      </c>
      <c r="D39" s="3" t="s">
        <v>46</v>
      </c>
      <c r="E39" s="3" t="s">
        <v>59</v>
      </c>
      <c r="F39" s="3" t="s">
        <v>61</v>
      </c>
      <c r="G39" s="3" t="s">
        <v>71</v>
      </c>
      <c r="H39" s="37">
        <v>20170.16</v>
      </c>
      <c r="I39" s="12">
        <v>0.15</v>
      </c>
      <c r="J39" s="37">
        <v>17144.635999999999</v>
      </c>
      <c r="K39" s="3">
        <v>2</v>
      </c>
      <c r="L39" s="61">
        <f>Table1[[#This Row],[Final_Unit_Price]]*Table1[[#This Row],[Quantity]]</f>
        <v>34289.271999999997</v>
      </c>
      <c r="M39" s="59">
        <v>12001.24</v>
      </c>
      <c r="N39" s="42">
        <v>45428</v>
      </c>
      <c r="O39" s="20" t="str">
        <f>TEXT(Table1[[#This Row],[Order_Date]],"mmm")</f>
        <v>May</v>
      </c>
      <c r="P39" s="20">
        <f t="shared" si="0"/>
        <v>2024</v>
      </c>
      <c r="Q39" s="46">
        <v>45433</v>
      </c>
      <c r="R39" s="20">
        <f>'Cleaned Data'!$Q39-'Cleaned Data'!$N39</f>
        <v>5</v>
      </c>
      <c r="S39" s="19" t="str">
        <f t="shared" si="1"/>
        <v>Summer</v>
      </c>
    </row>
    <row r="40" spans="1:19" x14ac:dyDescent="0.3">
      <c r="A40" s="13" t="s">
        <v>217</v>
      </c>
      <c r="B40" s="13" t="s">
        <v>27</v>
      </c>
      <c r="C40" s="5" t="s">
        <v>35</v>
      </c>
      <c r="D40" s="5" t="s">
        <v>38</v>
      </c>
      <c r="E40" s="5" t="s">
        <v>59</v>
      </c>
      <c r="F40" s="5" t="s">
        <v>63</v>
      </c>
      <c r="G40" s="5" t="s">
        <v>73</v>
      </c>
      <c r="H40" s="38">
        <v>9140.74</v>
      </c>
      <c r="I40" s="14">
        <v>0.05</v>
      </c>
      <c r="J40" s="38">
        <v>8683.7029999999995</v>
      </c>
      <c r="K40" s="5">
        <v>4</v>
      </c>
      <c r="L40" s="62">
        <f>Table1[[#This Row],[Final_Unit_Price]]*Table1[[#This Row],[Quantity]]</f>
        <v>34734.811999999998</v>
      </c>
      <c r="M40" s="60">
        <v>12157.18</v>
      </c>
      <c r="N40" s="43">
        <v>45325</v>
      </c>
      <c r="O40" s="18" t="str">
        <f>TEXT(Table1[[#This Row],[Order_Date]],"mmm")</f>
        <v>Feb</v>
      </c>
      <c r="P40" s="18">
        <f t="shared" si="0"/>
        <v>2024</v>
      </c>
      <c r="Q40" s="45">
        <v>45331</v>
      </c>
      <c r="R40" s="19">
        <f>'Cleaned Data'!$Q40-'Cleaned Data'!$N40</f>
        <v>6</v>
      </c>
      <c r="S40" s="19" t="str">
        <f t="shared" si="1"/>
        <v>Summer</v>
      </c>
    </row>
    <row r="41" spans="1:19" x14ac:dyDescent="0.3">
      <c r="A41" s="11" t="s">
        <v>218</v>
      </c>
      <c r="B41" s="11" t="s">
        <v>28</v>
      </c>
      <c r="C41" s="3" t="s">
        <v>34</v>
      </c>
      <c r="D41" s="3" t="s">
        <v>51</v>
      </c>
      <c r="E41" s="3" t="s">
        <v>59</v>
      </c>
      <c r="F41" s="3" t="s">
        <v>64</v>
      </c>
      <c r="G41" s="3" t="s">
        <v>72</v>
      </c>
      <c r="H41" s="37">
        <v>1912.2</v>
      </c>
      <c r="I41" s="12">
        <v>0.15</v>
      </c>
      <c r="J41" s="37">
        <v>1625.37</v>
      </c>
      <c r="K41" s="3">
        <v>6</v>
      </c>
      <c r="L41" s="61">
        <f>Table1[[#This Row],[Final_Unit_Price]]*Table1[[#This Row],[Quantity]]</f>
        <v>9752.2199999999993</v>
      </c>
      <c r="M41" s="59">
        <v>568.88</v>
      </c>
      <c r="N41" s="42">
        <v>45634</v>
      </c>
      <c r="O41" s="20" t="str">
        <f>TEXT(Table1[[#This Row],[Order_Date]],"mmm")</f>
        <v>Dec</v>
      </c>
      <c r="P41" s="20">
        <f t="shared" si="0"/>
        <v>2024</v>
      </c>
      <c r="Q41" s="46">
        <v>45636</v>
      </c>
      <c r="R41" s="20">
        <f>'Cleaned Data'!$Q41-'Cleaned Data'!$N41</f>
        <v>2</v>
      </c>
      <c r="S41" s="19" t="str">
        <f t="shared" si="1"/>
        <v>Winter</v>
      </c>
    </row>
    <row r="42" spans="1:19" x14ac:dyDescent="0.3">
      <c r="A42" s="13" t="s">
        <v>219</v>
      </c>
      <c r="B42" s="13" t="s">
        <v>24</v>
      </c>
      <c r="C42" s="5" t="s">
        <v>32</v>
      </c>
      <c r="D42" s="5" t="s">
        <v>40</v>
      </c>
      <c r="E42" s="5" t="s">
        <v>59</v>
      </c>
      <c r="F42" s="5" t="s">
        <v>62</v>
      </c>
      <c r="G42" s="5" t="s">
        <v>66</v>
      </c>
      <c r="H42" s="38">
        <v>32317.35</v>
      </c>
      <c r="I42" s="14">
        <v>0.15</v>
      </c>
      <c r="J42" s="38">
        <v>27469.747500000001</v>
      </c>
      <c r="K42" s="5">
        <v>1</v>
      </c>
      <c r="L42" s="62">
        <f>Table1[[#This Row],[Final_Unit_Price]]*Table1[[#This Row],[Quantity]]</f>
        <v>27469.747500000001</v>
      </c>
      <c r="M42" s="60">
        <v>9614.41</v>
      </c>
      <c r="N42" s="43">
        <v>45417</v>
      </c>
      <c r="O42" s="18" t="str">
        <f>TEXT(Table1[[#This Row],[Order_Date]],"mmm")</f>
        <v>May</v>
      </c>
      <c r="P42" s="18">
        <f t="shared" si="0"/>
        <v>2024</v>
      </c>
      <c r="Q42" s="45">
        <v>45419</v>
      </c>
      <c r="R42" s="19">
        <f>'Cleaned Data'!$Q42-'Cleaned Data'!$N42</f>
        <v>2</v>
      </c>
      <c r="S42" s="19" t="str">
        <f t="shared" si="1"/>
        <v>Summer</v>
      </c>
    </row>
    <row r="43" spans="1:19" x14ac:dyDescent="0.3">
      <c r="A43" s="11" t="s">
        <v>220</v>
      </c>
      <c r="B43" s="11" t="s">
        <v>28</v>
      </c>
      <c r="C43" s="3" t="s">
        <v>34</v>
      </c>
      <c r="D43" s="3" t="s">
        <v>52</v>
      </c>
      <c r="E43" s="3" t="s">
        <v>60</v>
      </c>
      <c r="F43" s="3" t="s">
        <v>62</v>
      </c>
      <c r="G43" s="3" t="s">
        <v>67</v>
      </c>
      <c r="H43" s="37">
        <v>1306.53</v>
      </c>
      <c r="I43" s="12">
        <v>0</v>
      </c>
      <c r="J43" s="37">
        <v>1306.53</v>
      </c>
      <c r="K43" s="3">
        <v>5</v>
      </c>
      <c r="L43" s="61">
        <f>Table1[[#This Row],[Final_Unit_Price]]*Table1[[#This Row],[Quantity]]</f>
        <v>6532.65</v>
      </c>
      <c r="M43" s="59">
        <v>391.96</v>
      </c>
      <c r="N43" s="42">
        <v>45629</v>
      </c>
      <c r="O43" s="20" t="str">
        <f>TEXT(Table1[[#This Row],[Order_Date]],"mmm")</f>
        <v>Dec</v>
      </c>
      <c r="P43" s="20">
        <f t="shared" si="0"/>
        <v>2024</v>
      </c>
      <c r="Q43" s="46">
        <v>45638</v>
      </c>
      <c r="R43" s="20">
        <f>'Cleaned Data'!$Q43-'Cleaned Data'!$N43</f>
        <v>9</v>
      </c>
      <c r="S43" s="19" t="str">
        <f t="shared" si="1"/>
        <v>Winter</v>
      </c>
    </row>
    <row r="44" spans="1:19" x14ac:dyDescent="0.3">
      <c r="A44" s="13" t="s">
        <v>221</v>
      </c>
      <c r="B44" s="13" t="s">
        <v>22</v>
      </c>
      <c r="C44" s="5" t="s">
        <v>31</v>
      </c>
      <c r="D44" s="5" t="s">
        <v>47</v>
      </c>
      <c r="E44" s="5" t="s">
        <v>59</v>
      </c>
      <c r="F44" s="5" t="s">
        <v>61</v>
      </c>
      <c r="G44" s="5" t="s">
        <v>70</v>
      </c>
      <c r="H44" s="38">
        <v>4149.3900000000003</v>
      </c>
      <c r="I44" s="14">
        <v>0</v>
      </c>
      <c r="J44" s="38">
        <v>4149.3900000000003</v>
      </c>
      <c r="K44" s="5">
        <v>20</v>
      </c>
      <c r="L44" s="62">
        <f>Table1[[#This Row],[Final_Unit_Price]]*Table1[[#This Row],[Quantity]]</f>
        <v>82987.8</v>
      </c>
      <c r="M44" s="60">
        <v>7261.43</v>
      </c>
      <c r="N44" s="43">
        <v>45548</v>
      </c>
      <c r="O44" s="18" t="str">
        <f>TEXT(Table1[[#This Row],[Order_Date]],"mmm")</f>
        <v>Sep</v>
      </c>
      <c r="P44" s="18">
        <f t="shared" si="0"/>
        <v>2024</v>
      </c>
      <c r="Q44" s="45">
        <v>45550</v>
      </c>
      <c r="R44" s="19">
        <f>'Cleaned Data'!$Q44-'Cleaned Data'!$N44</f>
        <v>2</v>
      </c>
      <c r="S44" s="19" t="str">
        <f t="shared" si="1"/>
        <v>Monsoon</v>
      </c>
    </row>
    <row r="45" spans="1:19" x14ac:dyDescent="0.3">
      <c r="A45" s="11" t="s">
        <v>222</v>
      </c>
      <c r="B45" s="11" t="s">
        <v>19</v>
      </c>
      <c r="C45" s="3" t="s">
        <v>33</v>
      </c>
      <c r="D45" s="3" t="s">
        <v>38</v>
      </c>
      <c r="E45" s="3" t="s">
        <v>59</v>
      </c>
      <c r="F45" s="3" t="s">
        <v>64</v>
      </c>
      <c r="G45" s="3" t="s">
        <v>72</v>
      </c>
      <c r="H45" s="37">
        <v>2708.04</v>
      </c>
      <c r="I45" s="12">
        <v>0.1</v>
      </c>
      <c r="J45" s="37">
        <v>2437.2359999999999</v>
      </c>
      <c r="K45" s="3">
        <v>2</v>
      </c>
      <c r="L45" s="61">
        <f>Table1[[#This Row],[Final_Unit_Price]]*Table1[[#This Row],[Quantity]]</f>
        <v>4874.4719999999998</v>
      </c>
      <c r="M45" s="59">
        <v>1706.06</v>
      </c>
      <c r="N45" s="42">
        <v>45513</v>
      </c>
      <c r="O45" s="20" t="str">
        <f>TEXT(Table1[[#This Row],[Order_Date]],"mmm")</f>
        <v>Aug</v>
      </c>
      <c r="P45" s="20">
        <f t="shared" si="0"/>
        <v>2024</v>
      </c>
      <c r="Q45" s="46">
        <v>45522</v>
      </c>
      <c r="R45" s="20">
        <f>'Cleaned Data'!$Q45-'Cleaned Data'!$N45</f>
        <v>9</v>
      </c>
      <c r="S45" s="19" t="str">
        <f t="shared" si="1"/>
        <v>Monsoon</v>
      </c>
    </row>
    <row r="46" spans="1:19" x14ac:dyDescent="0.3">
      <c r="A46" s="13" t="s">
        <v>223</v>
      </c>
      <c r="B46" s="13" t="s">
        <v>21</v>
      </c>
      <c r="C46" s="5" t="s">
        <v>34</v>
      </c>
      <c r="D46" s="5" t="s">
        <v>52</v>
      </c>
      <c r="E46" s="5" t="s">
        <v>60</v>
      </c>
      <c r="F46" s="5" t="s">
        <v>63</v>
      </c>
      <c r="G46" s="5" t="s">
        <v>73</v>
      </c>
      <c r="H46" s="38">
        <v>2409.36</v>
      </c>
      <c r="I46" s="14">
        <v>0.1</v>
      </c>
      <c r="J46" s="38">
        <v>2168.424</v>
      </c>
      <c r="K46" s="5">
        <v>8</v>
      </c>
      <c r="L46" s="62">
        <f>Table1[[#This Row],[Final_Unit_Price]]*Table1[[#This Row],[Quantity]]</f>
        <v>17347.392</v>
      </c>
      <c r="M46" s="60">
        <v>1626.32</v>
      </c>
      <c r="N46" s="43">
        <v>45613</v>
      </c>
      <c r="O46" s="18" t="str">
        <f>TEXT(Table1[[#This Row],[Order_Date]],"mmm")</f>
        <v>Nov</v>
      </c>
      <c r="P46" s="18">
        <f t="shared" si="0"/>
        <v>2024</v>
      </c>
      <c r="Q46" s="45">
        <v>45616</v>
      </c>
      <c r="R46" s="19">
        <f>'Cleaned Data'!$Q46-'Cleaned Data'!$N46</f>
        <v>3</v>
      </c>
      <c r="S46" s="19" t="str">
        <f t="shared" si="1"/>
        <v>Winter</v>
      </c>
    </row>
    <row r="47" spans="1:19" x14ac:dyDescent="0.3">
      <c r="A47" s="11" t="s">
        <v>224</v>
      </c>
      <c r="B47" s="11" t="s">
        <v>17</v>
      </c>
      <c r="C47" s="3" t="s">
        <v>32</v>
      </c>
      <c r="D47" s="3" t="s">
        <v>43</v>
      </c>
      <c r="E47" s="3" t="s">
        <v>58</v>
      </c>
      <c r="F47" s="3" t="s">
        <v>61</v>
      </c>
      <c r="G47" s="3" t="s">
        <v>70</v>
      </c>
      <c r="H47" s="37">
        <v>7838.4</v>
      </c>
      <c r="I47" s="12">
        <v>0.1</v>
      </c>
      <c r="J47" s="37">
        <v>7054.5599999999986</v>
      </c>
      <c r="K47" s="3">
        <v>3</v>
      </c>
      <c r="L47" s="61">
        <f>Table1[[#This Row],[Final_Unit_Price]]*Table1[[#This Row],[Quantity]]</f>
        <v>21163.679999999997</v>
      </c>
      <c r="M47" s="59">
        <v>5290.92</v>
      </c>
      <c r="N47" s="42">
        <v>45575</v>
      </c>
      <c r="O47" s="20" t="str">
        <f>TEXT(Table1[[#This Row],[Order_Date]],"mmm")</f>
        <v>Oct</v>
      </c>
      <c r="P47" s="20">
        <f t="shared" si="0"/>
        <v>2024</v>
      </c>
      <c r="Q47" s="46">
        <v>45582</v>
      </c>
      <c r="R47" s="20">
        <f>'Cleaned Data'!$Q47-'Cleaned Data'!$N47</f>
        <v>7</v>
      </c>
      <c r="S47" s="19" t="str">
        <f t="shared" si="1"/>
        <v>Winter</v>
      </c>
    </row>
    <row r="48" spans="1:19" x14ac:dyDescent="0.3">
      <c r="A48" s="13" t="s">
        <v>225</v>
      </c>
      <c r="B48" s="13" t="s">
        <v>27</v>
      </c>
      <c r="C48" s="5" t="s">
        <v>35</v>
      </c>
      <c r="D48" s="5" t="s">
        <v>48</v>
      </c>
      <c r="E48" s="5" t="s">
        <v>58</v>
      </c>
      <c r="F48" s="5" t="s">
        <v>61</v>
      </c>
      <c r="G48" s="5" t="s">
        <v>65</v>
      </c>
      <c r="H48" s="38">
        <v>7974.64</v>
      </c>
      <c r="I48" s="14">
        <v>0.05</v>
      </c>
      <c r="J48" s="38">
        <v>7575.9080000000004</v>
      </c>
      <c r="K48" s="5">
        <v>4</v>
      </c>
      <c r="L48" s="62">
        <f>Table1[[#This Row],[Final_Unit_Price]]*Table1[[#This Row],[Quantity]]</f>
        <v>30303.632000000001</v>
      </c>
      <c r="M48" s="60">
        <v>7575.91</v>
      </c>
      <c r="N48" s="43">
        <v>45553</v>
      </c>
      <c r="O48" s="18" t="str">
        <f>TEXT(Table1[[#This Row],[Order_Date]],"mmm")</f>
        <v>Sep</v>
      </c>
      <c r="P48" s="18">
        <f t="shared" si="0"/>
        <v>2024</v>
      </c>
      <c r="Q48" s="45">
        <v>45562</v>
      </c>
      <c r="R48" s="19">
        <f>'Cleaned Data'!$Q48-'Cleaned Data'!$N48</f>
        <v>9</v>
      </c>
      <c r="S48" s="19" t="str">
        <f t="shared" si="1"/>
        <v>Monsoon</v>
      </c>
    </row>
    <row r="49" spans="1:19" x14ac:dyDescent="0.3">
      <c r="A49" s="11" t="s">
        <v>226</v>
      </c>
      <c r="B49" s="11" t="s">
        <v>16</v>
      </c>
      <c r="C49" s="3" t="s">
        <v>31</v>
      </c>
      <c r="D49" s="3" t="s">
        <v>42</v>
      </c>
      <c r="E49" s="3" t="s">
        <v>60</v>
      </c>
      <c r="F49" s="3" t="s">
        <v>62</v>
      </c>
      <c r="G49" s="3" t="s">
        <v>66</v>
      </c>
      <c r="H49" s="37">
        <v>2279.29</v>
      </c>
      <c r="I49" s="12">
        <v>0.1</v>
      </c>
      <c r="J49" s="37">
        <v>2051.3609999999999</v>
      </c>
      <c r="K49" s="3">
        <v>3</v>
      </c>
      <c r="L49" s="61">
        <f>Table1[[#This Row],[Final_Unit_Price]]*Table1[[#This Row],[Quantity]]</f>
        <v>6154.0829999999996</v>
      </c>
      <c r="M49" s="59">
        <v>923.11</v>
      </c>
      <c r="N49" s="42">
        <v>45610</v>
      </c>
      <c r="O49" s="20" t="str">
        <f>TEXT(Table1[[#This Row],[Order_Date]],"mmm")</f>
        <v>Nov</v>
      </c>
      <c r="P49" s="20">
        <f t="shared" si="0"/>
        <v>2024</v>
      </c>
      <c r="Q49" s="46">
        <v>45615</v>
      </c>
      <c r="R49" s="20">
        <f>'Cleaned Data'!$Q49-'Cleaned Data'!$N49</f>
        <v>5</v>
      </c>
      <c r="S49" s="19" t="str">
        <f t="shared" si="1"/>
        <v>Winter</v>
      </c>
    </row>
    <row r="50" spans="1:19" x14ac:dyDescent="0.3">
      <c r="A50" s="13" t="s">
        <v>227</v>
      </c>
      <c r="B50" s="13" t="s">
        <v>24</v>
      </c>
      <c r="C50" s="5" t="s">
        <v>32</v>
      </c>
      <c r="D50" s="5" t="s">
        <v>43</v>
      </c>
      <c r="E50" s="5" t="s">
        <v>58</v>
      </c>
      <c r="F50" s="5" t="s">
        <v>63</v>
      </c>
      <c r="G50" s="5" t="s">
        <v>75</v>
      </c>
      <c r="H50" s="38">
        <v>24093.82</v>
      </c>
      <c r="I50" s="14">
        <v>0.15</v>
      </c>
      <c r="J50" s="38">
        <v>20479.746999999999</v>
      </c>
      <c r="K50" s="5">
        <v>3</v>
      </c>
      <c r="L50" s="62">
        <f>Table1[[#This Row],[Final_Unit_Price]]*Table1[[#This Row],[Quantity]]</f>
        <v>61439.240999999995</v>
      </c>
      <c r="M50" s="60">
        <v>15359.81</v>
      </c>
      <c r="N50" s="43">
        <v>45357</v>
      </c>
      <c r="O50" s="18" t="str">
        <f>TEXT(Table1[[#This Row],[Order_Date]],"mmm")</f>
        <v>Mar</v>
      </c>
      <c r="P50" s="18">
        <f t="shared" si="0"/>
        <v>2024</v>
      </c>
      <c r="Q50" s="45">
        <v>45360</v>
      </c>
      <c r="R50" s="19">
        <f>'Cleaned Data'!$Q50-'Cleaned Data'!$N50</f>
        <v>3</v>
      </c>
      <c r="S50" s="19" t="str">
        <f t="shared" si="1"/>
        <v>Summer</v>
      </c>
    </row>
    <row r="51" spans="1:19" x14ac:dyDescent="0.3">
      <c r="A51" s="11" t="s">
        <v>228</v>
      </c>
      <c r="B51" s="11" t="s">
        <v>21</v>
      </c>
      <c r="C51" s="3" t="s">
        <v>34</v>
      </c>
      <c r="D51" s="3" t="s">
        <v>49</v>
      </c>
      <c r="E51" s="3" t="s">
        <v>59</v>
      </c>
      <c r="F51" s="3" t="s">
        <v>63</v>
      </c>
      <c r="G51" s="3" t="s">
        <v>68</v>
      </c>
      <c r="H51" s="37">
        <v>3521.78</v>
      </c>
      <c r="I51" s="12">
        <v>0.2</v>
      </c>
      <c r="J51" s="37">
        <v>2817.424</v>
      </c>
      <c r="K51" s="3">
        <v>1</v>
      </c>
      <c r="L51" s="61">
        <f>Table1[[#This Row],[Final_Unit_Price]]*Table1[[#This Row],[Quantity]]</f>
        <v>2817.424</v>
      </c>
      <c r="M51" s="59">
        <v>986.1</v>
      </c>
      <c r="N51" s="42">
        <v>45849</v>
      </c>
      <c r="O51" s="20" t="str">
        <f>TEXT(Table1[[#This Row],[Order_Date]],"mmm")</f>
        <v>Jul</v>
      </c>
      <c r="P51" s="20">
        <f t="shared" si="0"/>
        <v>2025</v>
      </c>
      <c r="Q51" s="46">
        <v>45858</v>
      </c>
      <c r="R51" s="20">
        <f>'Cleaned Data'!$Q51-'Cleaned Data'!$N51</f>
        <v>9</v>
      </c>
      <c r="S51" s="19" t="str">
        <f t="shared" si="1"/>
        <v>Monsoon</v>
      </c>
    </row>
    <row r="52" spans="1:19" x14ac:dyDescent="0.3">
      <c r="A52" s="13" t="s">
        <v>229</v>
      </c>
      <c r="B52" s="13" t="s">
        <v>20</v>
      </c>
      <c r="C52" s="5" t="s">
        <v>32</v>
      </c>
      <c r="D52" s="5" t="s">
        <v>40</v>
      </c>
      <c r="E52" s="5" t="s">
        <v>59</v>
      </c>
      <c r="F52" s="5" t="s">
        <v>62</v>
      </c>
      <c r="G52" s="5" t="s">
        <v>69</v>
      </c>
      <c r="H52" s="38">
        <v>37999.440000000002</v>
      </c>
      <c r="I52" s="14">
        <v>0.15</v>
      </c>
      <c r="J52" s="38">
        <v>32299.524000000001</v>
      </c>
      <c r="K52" s="5">
        <v>4</v>
      </c>
      <c r="L52" s="62">
        <f>Table1[[#This Row],[Final_Unit_Price]]*Table1[[#This Row],[Quantity]]</f>
        <v>129198.09600000001</v>
      </c>
      <c r="M52" s="60">
        <v>45219.33</v>
      </c>
      <c r="N52" s="43">
        <v>45374</v>
      </c>
      <c r="O52" s="18" t="str">
        <f>TEXT(Table1[[#This Row],[Order_Date]],"mmm")</f>
        <v>Mar</v>
      </c>
      <c r="P52" s="18">
        <f t="shared" si="0"/>
        <v>2024</v>
      </c>
      <c r="Q52" s="45">
        <v>45384</v>
      </c>
      <c r="R52" s="19">
        <f>'Cleaned Data'!$Q52-'Cleaned Data'!$N52</f>
        <v>10</v>
      </c>
      <c r="S52" s="19" t="str">
        <f t="shared" si="1"/>
        <v>Summer</v>
      </c>
    </row>
    <row r="53" spans="1:19" x14ac:dyDescent="0.3">
      <c r="A53" s="11" t="s">
        <v>230</v>
      </c>
      <c r="B53" s="11" t="s">
        <v>19</v>
      </c>
      <c r="C53" s="3" t="s">
        <v>33</v>
      </c>
      <c r="D53" s="3" t="s">
        <v>53</v>
      </c>
      <c r="E53" s="3" t="s">
        <v>58</v>
      </c>
      <c r="F53" s="3" t="s">
        <v>64</v>
      </c>
      <c r="G53" s="3" t="s">
        <v>76</v>
      </c>
      <c r="H53" s="37">
        <v>2264.2600000000002</v>
      </c>
      <c r="I53" s="12">
        <v>0.1</v>
      </c>
      <c r="J53" s="37">
        <v>2037.8340000000001</v>
      </c>
      <c r="K53" s="3">
        <v>1</v>
      </c>
      <c r="L53" s="61">
        <f>Table1[[#This Row],[Final_Unit_Price]]*Table1[[#This Row],[Quantity]]</f>
        <v>2037.8340000000001</v>
      </c>
      <c r="M53" s="59">
        <v>509.46</v>
      </c>
      <c r="N53" s="42">
        <v>45499</v>
      </c>
      <c r="O53" s="20" t="str">
        <f>TEXT(Table1[[#This Row],[Order_Date]],"mmm")</f>
        <v>Jul</v>
      </c>
      <c r="P53" s="20">
        <f t="shared" si="0"/>
        <v>2024</v>
      </c>
      <c r="Q53" s="46">
        <v>45507</v>
      </c>
      <c r="R53" s="20">
        <f>'Cleaned Data'!$Q53-'Cleaned Data'!$N53</f>
        <v>8</v>
      </c>
      <c r="S53" s="19" t="str">
        <f t="shared" si="1"/>
        <v>Monsoon</v>
      </c>
    </row>
    <row r="54" spans="1:19" x14ac:dyDescent="0.3">
      <c r="A54" s="13" t="s">
        <v>231</v>
      </c>
      <c r="B54" s="13" t="s">
        <v>20</v>
      </c>
      <c r="C54" s="5" t="s">
        <v>32</v>
      </c>
      <c r="D54" s="5" t="s">
        <v>43</v>
      </c>
      <c r="E54" s="5" t="s">
        <v>58</v>
      </c>
      <c r="F54" s="5" t="s">
        <v>62</v>
      </c>
      <c r="G54" s="5" t="s">
        <v>66</v>
      </c>
      <c r="H54" s="38">
        <v>30390.89</v>
      </c>
      <c r="I54" s="14">
        <v>0.3</v>
      </c>
      <c r="J54" s="38">
        <v>21273.623</v>
      </c>
      <c r="K54" s="5">
        <v>1</v>
      </c>
      <c r="L54" s="62">
        <f>Table1[[#This Row],[Final_Unit_Price]]*Table1[[#This Row],[Quantity]]</f>
        <v>21273.623</v>
      </c>
      <c r="M54" s="60">
        <v>5318.4</v>
      </c>
      <c r="N54" s="43">
        <v>45596</v>
      </c>
      <c r="O54" s="18" t="str">
        <f>TEXT(Table1[[#This Row],[Order_Date]],"mmm")</f>
        <v>Oct</v>
      </c>
      <c r="P54" s="18">
        <f t="shared" si="0"/>
        <v>2024</v>
      </c>
      <c r="Q54" s="45">
        <v>45605</v>
      </c>
      <c r="R54" s="19">
        <f>'Cleaned Data'!$Q54-'Cleaned Data'!$N54</f>
        <v>9</v>
      </c>
      <c r="S54" s="19" t="str">
        <f t="shared" si="1"/>
        <v>Winter</v>
      </c>
    </row>
    <row r="55" spans="1:19" x14ac:dyDescent="0.3">
      <c r="A55" s="11" t="s">
        <v>232</v>
      </c>
      <c r="B55" s="11" t="s">
        <v>22</v>
      </c>
      <c r="C55" s="3" t="s">
        <v>31</v>
      </c>
      <c r="D55" s="3" t="s">
        <v>42</v>
      </c>
      <c r="E55" s="3" t="s">
        <v>60</v>
      </c>
      <c r="F55" s="3" t="s">
        <v>64</v>
      </c>
      <c r="G55" s="3" t="s">
        <v>72</v>
      </c>
      <c r="H55" s="37">
        <v>3221.61</v>
      </c>
      <c r="I55" s="12">
        <v>0</v>
      </c>
      <c r="J55" s="37">
        <v>3221.61</v>
      </c>
      <c r="K55" s="3">
        <v>4</v>
      </c>
      <c r="L55" s="61">
        <f>Table1[[#This Row],[Final_Unit_Price]]*Table1[[#This Row],[Quantity]]</f>
        <v>12886.44</v>
      </c>
      <c r="M55" s="59">
        <v>1932.97</v>
      </c>
      <c r="N55" s="42">
        <v>45487</v>
      </c>
      <c r="O55" s="20" t="str">
        <f>TEXT(Table1[[#This Row],[Order_Date]],"mmm")</f>
        <v>Jul</v>
      </c>
      <c r="P55" s="20">
        <f t="shared" si="0"/>
        <v>2024</v>
      </c>
      <c r="Q55" s="46">
        <v>45494</v>
      </c>
      <c r="R55" s="20">
        <f>'Cleaned Data'!$Q55-'Cleaned Data'!$N55</f>
        <v>7</v>
      </c>
      <c r="S55" s="19" t="str">
        <f t="shared" si="1"/>
        <v>Monsoon</v>
      </c>
    </row>
    <row r="56" spans="1:19" x14ac:dyDescent="0.3">
      <c r="A56" s="13" t="s">
        <v>233</v>
      </c>
      <c r="B56" s="13" t="s">
        <v>20</v>
      </c>
      <c r="C56" s="5" t="s">
        <v>32</v>
      </c>
      <c r="D56" s="5" t="s">
        <v>37</v>
      </c>
      <c r="E56" s="5" t="s">
        <v>59</v>
      </c>
      <c r="F56" s="5" t="s">
        <v>64</v>
      </c>
      <c r="G56" s="5" t="s">
        <v>74</v>
      </c>
      <c r="H56" s="38">
        <v>38868.050000000003</v>
      </c>
      <c r="I56" s="14">
        <v>0.15</v>
      </c>
      <c r="J56" s="38">
        <v>33037.842499999999</v>
      </c>
      <c r="K56" s="5">
        <v>5</v>
      </c>
      <c r="L56" s="62">
        <f>Table1[[#This Row],[Final_Unit_Price]]*Table1[[#This Row],[Quantity]]</f>
        <v>165189.21249999999</v>
      </c>
      <c r="M56" s="60">
        <v>57816.22</v>
      </c>
      <c r="N56" s="43">
        <v>45400</v>
      </c>
      <c r="O56" s="18" t="str">
        <f>TEXT(Table1[[#This Row],[Order_Date]],"mmm")</f>
        <v>Apr</v>
      </c>
      <c r="P56" s="18">
        <f t="shared" si="0"/>
        <v>2024</v>
      </c>
      <c r="Q56" s="45">
        <v>45409</v>
      </c>
      <c r="R56" s="19">
        <f>'Cleaned Data'!$Q56-'Cleaned Data'!$N56</f>
        <v>9</v>
      </c>
      <c r="S56" s="19" t="str">
        <f t="shared" si="1"/>
        <v>Summer</v>
      </c>
    </row>
    <row r="57" spans="1:19" x14ac:dyDescent="0.3">
      <c r="A57" s="11" t="s">
        <v>234</v>
      </c>
      <c r="B57" s="11" t="s">
        <v>30</v>
      </c>
      <c r="C57" s="3" t="s">
        <v>33</v>
      </c>
      <c r="D57" s="3" t="s">
        <v>53</v>
      </c>
      <c r="E57" s="3" t="s">
        <v>58</v>
      </c>
      <c r="F57" s="3" t="s">
        <v>62</v>
      </c>
      <c r="G57" s="3" t="s">
        <v>69</v>
      </c>
      <c r="H57" s="37">
        <v>15205.15</v>
      </c>
      <c r="I57" s="12">
        <v>0.2</v>
      </c>
      <c r="J57" s="37">
        <v>12164.12</v>
      </c>
      <c r="K57" s="3">
        <v>2</v>
      </c>
      <c r="L57" s="61">
        <f>Table1[[#This Row],[Final_Unit_Price]]*Table1[[#This Row],[Quantity]]</f>
        <v>24328.240000000002</v>
      </c>
      <c r="M57" s="59">
        <v>6082.06</v>
      </c>
      <c r="N57" s="42">
        <v>45380</v>
      </c>
      <c r="O57" s="20" t="str">
        <f>TEXT(Table1[[#This Row],[Order_Date]],"mmm")</f>
        <v>Mar</v>
      </c>
      <c r="P57" s="20">
        <f t="shared" si="0"/>
        <v>2024</v>
      </c>
      <c r="Q57" s="46">
        <v>45385</v>
      </c>
      <c r="R57" s="20">
        <f>'Cleaned Data'!$Q57-'Cleaned Data'!$N57</f>
        <v>5</v>
      </c>
      <c r="S57" s="19" t="str">
        <f t="shared" si="1"/>
        <v>Summer</v>
      </c>
    </row>
    <row r="58" spans="1:19" x14ac:dyDescent="0.3">
      <c r="A58" s="13" t="s">
        <v>235</v>
      </c>
      <c r="B58" s="13" t="s">
        <v>27</v>
      </c>
      <c r="C58" s="5" t="s">
        <v>35</v>
      </c>
      <c r="D58" s="5" t="s">
        <v>46</v>
      </c>
      <c r="E58" s="5" t="s">
        <v>59</v>
      </c>
      <c r="F58" s="5" t="s">
        <v>64</v>
      </c>
      <c r="G58" s="5" t="s">
        <v>74</v>
      </c>
      <c r="H58" s="38">
        <v>9906.2999999999993</v>
      </c>
      <c r="I58" s="14">
        <v>0</v>
      </c>
      <c r="J58" s="38">
        <v>9906.2999999999993</v>
      </c>
      <c r="K58" s="5">
        <v>1</v>
      </c>
      <c r="L58" s="62">
        <f>Table1[[#This Row],[Final_Unit_Price]]*Table1[[#This Row],[Quantity]]</f>
        <v>9906.2999999999993</v>
      </c>
      <c r="M58" s="60">
        <v>3467.2</v>
      </c>
      <c r="N58" s="43">
        <v>45384</v>
      </c>
      <c r="O58" s="18" t="str">
        <f>TEXT(Table1[[#This Row],[Order_Date]],"mmm")</f>
        <v>Apr</v>
      </c>
      <c r="P58" s="18">
        <f t="shared" si="0"/>
        <v>2024</v>
      </c>
      <c r="Q58" s="45">
        <v>45392</v>
      </c>
      <c r="R58" s="19">
        <f>'Cleaned Data'!$Q58-'Cleaned Data'!$N58</f>
        <v>8</v>
      </c>
      <c r="S58" s="19" t="str">
        <f t="shared" si="1"/>
        <v>Summer</v>
      </c>
    </row>
    <row r="59" spans="1:19" x14ac:dyDescent="0.3">
      <c r="A59" s="11" t="s">
        <v>236</v>
      </c>
      <c r="B59" s="11" t="s">
        <v>22</v>
      </c>
      <c r="C59" s="3" t="s">
        <v>31</v>
      </c>
      <c r="D59" s="3" t="s">
        <v>42</v>
      </c>
      <c r="E59" s="3" t="s">
        <v>60</v>
      </c>
      <c r="F59" s="3" t="s">
        <v>61</v>
      </c>
      <c r="G59" s="3" t="s">
        <v>70</v>
      </c>
      <c r="H59" s="37">
        <v>2953.88</v>
      </c>
      <c r="I59" s="12">
        <v>0</v>
      </c>
      <c r="J59" s="37">
        <v>2953.88</v>
      </c>
      <c r="K59" s="3">
        <v>2</v>
      </c>
      <c r="L59" s="61">
        <f>Table1[[#This Row],[Final_Unit_Price]]*Table1[[#This Row],[Quantity]]</f>
        <v>5907.76</v>
      </c>
      <c r="M59" s="59">
        <v>886.16</v>
      </c>
      <c r="N59" s="42">
        <v>45711</v>
      </c>
      <c r="O59" s="20" t="str">
        <f>TEXT(Table1[[#This Row],[Order_Date]],"mmm")</f>
        <v>Feb</v>
      </c>
      <c r="P59" s="20">
        <f t="shared" si="0"/>
        <v>2025</v>
      </c>
      <c r="Q59" s="46">
        <v>45718</v>
      </c>
      <c r="R59" s="20">
        <f>'Cleaned Data'!$Q59-'Cleaned Data'!$N59</f>
        <v>7</v>
      </c>
      <c r="S59" s="19" t="str">
        <f t="shared" si="1"/>
        <v>Summer</v>
      </c>
    </row>
    <row r="60" spans="1:19" x14ac:dyDescent="0.3">
      <c r="A60" s="13" t="s">
        <v>237</v>
      </c>
      <c r="B60" s="13" t="s">
        <v>20</v>
      </c>
      <c r="C60" s="5" t="s">
        <v>32</v>
      </c>
      <c r="D60" s="5" t="s">
        <v>37</v>
      </c>
      <c r="E60" s="5" t="s">
        <v>59</v>
      </c>
      <c r="F60" s="5" t="s">
        <v>61</v>
      </c>
      <c r="G60" s="5" t="s">
        <v>71</v>
      </c>
      <c r="H60" s="38">
        <v>33698.019999999997</v>
      </c>
      <c r="I60" s="14">
        <v>0.3</v>
      </c>
      <c r="J60" s="38">
        <v>23588.614000000001</v>
      </c>
      <c r="K60" s="5">
        <v>4</v>
      </c>
      <c r="L60" s="62">
        <f>Table1[[#This Row],[Final_Unit_Price]]*Table1[[#This Row],[Quantity]]</f>
        <v>94354.456000000006</v>
      </c>
      <c r="M60" s="60">
        <v>33024.06</v>
      </c>
      <c r="N60" s="43">
        <v>45423</v>
      </c>
      <c r="O60" s="18" t="str">
        <f>TEXT(Table1[[#This Row],[Order_Date]],"mmm")</f>
        <v>May</v>
      </c>
      <c r="P60" s="18">
        <f t="shared" si="0"/>
        <v>2024</v>
      </c>
      <c r="Q60" s="45">
        <v>45426</v>
      </c>
      <c r="R60" s="19">
        <f>'Cleaned Data'!$Q60-'Cleaned Data'!$N60</f>
        <v>3</v>
      </c>
      <c r="S60" s="19" t="str">
        <f t="shared" si="1"/>
        <v>Summer</v>
      </c>
    </row>
    <row r="61" spans="1:19" x14ac:dyDescent="0.3">
      <c r="A61" s="11" t="s">
        <v>238</v>
      </c>
      <c r="B61" s="11" t="s">
        <v>29</v>
      </c>
      <c r="C61" s="3" t="s">
        <v>35</v>
      </c>
      <c r="D61" s="3" t="s">
        <v>44</v>
      </c>
      <c r="E61" s="3" t="s">
        <v>60</v>
      </c>
      <c r="F61" s="3" t="s">
        <v>62</v>
      </c>
      <c r="G61" s="3" t="s">
        <v>69</v>
      </c>
      <c r="H61" s="37">
        <v>15856.72</v>
      </c>
      <c r="I61" s="12">
        <v>0</v>
      </c>
      <c r="J61" s="37">
        <v>15856.72</v>
      </c>
      <c r="K61" s="3">
        <v>4</v>
      </c>
      <c r="L61" s="61">
        <f>Table1[[#This Row],[Final_Unit_Price]]*Table1[[#This Row],[Quantity]]</f>
        <v>63426.879999999997</v>
      </c>
      <c r="M61" s="59">
        <v>9514.0300000000007</v>
      </c>
      <c r="N61" s="42">
        <v>45785</v>
      </c>
      <c r="O61" s="20" t="str">
        <f>TEXT(Table1[[#This Row],[Order_Date]],"mmm")</f>
        <v>May</v>
      </c>
      <c r="P61" s="20">
        <f t="shared" si="0"/>
        <v>2025</v>
      </c>
      <c r="Q61" s="46">
        <v>45792</v>
      </c>
      <c r="R61" s="20">
        <f>'Cleaned Data'!$Q61-'Cleaned Data'!$N61</f>
        <v>7</v>
      </c>
      <c r="S61" s="19" t="str">
        <f t="shared" si="1"/>
        <v>Summer</v>
      </c>
    </row>
    <row r="62" spans="1:19" x14ac:dyDescent="0.3">
      <c r="A62" s="13" t="s">
        <v>239</v>
      </c>
      <c r="B62" s="13" t="s">
        <v>20</v>
      </c>
      <c r="C62" s="5" t="s">
        <v>32</v>
      </c>
      <c r="D62" s="5" t="s">
        <v>40</v>
      </c>
      <c r="E62" s="5" t="s">
        <v>59</v>
      </c>
      <c r="F62" s="5" t="s">
        <v>61</v>
      </c>
      <c r="G62" s="5" t="s">
        <v>65</v>
      </c>
      <c r="H62" s="38">
        <v>36481.4</v>
      </c>
      <c r="I62" s="14">
        <v>0.1</v>
      </c>
      <c r="J62" s="38">
        <v>32833.26</v>
      </c>
      <c r="K62" s="5">
        <v>4</v>
      </c>
      <c r="L62" s="62">
        <f>Table1[[#This Row],[Final_Unit_Price]]*Table1[[#This Row],[Quantity]]</f>
        <v>131333.04</v>
      </c>
      <c r="M62" s="60">
        <v>45966.559999999998</v>
      </c>
      <c r="N62" s="43">
        <v>45571</v>
      </c>
      <c r="O62" s="18" t="str">
        <f>TEXT(Table1[[#This Row],[Order_Date]],"mmm")</f>
        <v>Oct</v>
      </c>
      <c r="P62" s="18">
        <f t="shared" si="0"/>
        <v>2024</v>
      </c>
      <c r="Q62" s="45">
        <v>45579</v>
      </c>
      <c r="R62" s="19">
        <f>'Cleaned Data'!$Q62-'Cleaned Data'!$N62</f>
        <v>8</v>
      </c>
      <c r="S62" s="19" t="str">
        <f t="shared" si="1"/>
        <v>Winter</v>
      </c>
    </row>
    <row r="63" spans="1:19" x14ac:dyDescent="0.3">
      <c r="A63" s="11" t="s">
        <v>240</v>
      </c>
      <c r="B63" s="11" t="s">
        <v>19</v>
      </c>
      <c r="C63" s="3" t="s">
        <v>33</v>
      </c>
      <c r="D63" s="3" t="s">
        <v>53</v>
      </c>
      <c r="E63" s="3" t="s">
        <v>58</v>
      </c>
      <c r="F63" s="3" t="s">
        <v>63</v>
      </c>
      <c r="G63" s="3" t="s">
        <v>73</v>
      </c>
      <c r="H63" s="37">
        <v>1865.58</v>
      </c>
      <c r="I63" s="12">
        <v>0.3</v>
      </c>
      <c r="J63" s="37">
        <v>1305.9059999999999</v>
      </c>
      <c r="K63" s="3">
        <v>5</v>
      </c>
      <c r="L63" s="61">
        <f>Table1[[#This Row],[Final_Unit_Price]]*Table1[[#This Row],[Quantity]]</f>
        <v>6529.53</v>
      </c>
      <c r="M63" s="59">
        <v>1632.38</v>
      </c>
      <c r="N63" s="42">
        <v>45374</v>
      </c>
      <c r="O63" s="20" t="str">
        <f>TEXT(Table1[[#This Row],[Order_Date]],"mmm")</f>
        <v>Mar</v>
      </c>
      <c r="P63" s="20">
        <f t="shared" si="0"/>
        <v>2024</v>
      </c>
      <c r="Q63" s="46">
        <v>45379</v>
      </c>
      <c r="R63" s="20">
        <f>'Cleaned Data'!$Q63-'Cleaned Data'!$N63</f>
        <v>5</v>
      </c>
      <c r="S63" s="19" t="str">
        <f t="shared" si="1"/>
        <v>Summer</v>
      </c>
    </row>
    <row r="64" spans="1:19" x14ac:dyDescent="0.3">
      <c r="A64" s="13" t="s">
        <v>241</v>
      </c>
      <c r="B64" s="13" t="s">
        <v>16</v>
      </c>
      <c r="C64" s="5" t="s">
        <v>31</v>
      </c>
      <c r="D64" s="5" t="s">
        <v>42</v>
      </c>
      <c r="E64" s="5" t="s">
        <v>60</v>
      </c>
      <c r="F64" s="5" t="s">
        <v>62</v>
      </c>
      <c r="G64" s="5" t="s">
        <v>67</v>
      </c>
      <c r="H64" s="38">
        <v>2138.88</v>
      </c>
      <c r="I64" s="14">
        <v>0.05</v>
      </c>
      <c r="J64" s="38">
        <v>2031.9359999999999</v>
      </c>
      <c r="K64" s="5">
        <v>3</v>
      </c>
      <c r="L64" s="62">
        <f>Table1[[#This Row],[Final_Unit_Price]]*Table1[[#This Row],[Quantity]]</f>
        <v>6095.808</v>
      </c>
      <c r="M64" s="60">
        <v>914.37</v>
      </c>
      <c r="N64" s="43">
        <v>45792</v>
      </c>
      <c r="O64" s="18" t="str">
        <f>TEXT(Table1[[#This Row],[Order_Date]],"mmm")</f>
        <v>May</v>
      </c>
      <c r="P64" s="18">
        <f t="shared" si="0"/>
        <v>2025</v>
      </c>
      <c r="Q64" s="45">
        <v>45795</v>
      </c>
      <c r="R64" s="19">
        <f>'Cleaned Data'!$Q64-'Cleaned Data'!$N64</f>
        <v>3</v>
      </c>
      <c r="S64" s="19" t="str">
        <f t="shared" si="1"/>
        <v>Summer</v>
      </c>
    </row>
    <row r="65" spans="1:19" x14ac:dyDescent="0.3">
      <c r="A65" s="11" t="s">
        <v>242</v>
      </c>
      <c r="B65" s="11" t="s">
        <v>24</v>
      </c>
      <c r="C65" s="3" t="s">
        <v>32</v>
      </c>
      <c r="D65" s="3" t="s">
        <v>54</v>
      </c>
      <c r="E65" s="3" t="s">
        <v>60</v>
      </c>
      <c r="F65" s="3" t="s">
        <v>61</v>
      </c>
      <c r="G65" s="3" t="s">
        <v>71</v>
      </c>
      <c r="H65" s="37">
        <v>20674.8</v>
      </c>
      <c r="I65" s="12">
        <v>0.25</v>
      </c>
      <c r="J65" s="37">
        <v>15506.1</v>
      </c>
      <c r="K65" s="3">
        <v>1</v>
      </c>
      <c r="L65" s="61">
        <f>Table1[[#This Row],[Final_Unit_Price]]*Table1[[#This Row],[Quantity]]</f>
        <v>15506.1</v>
      </c>
      <c r="M65" s="59">
        <v>2325.91</v>
      </c>
      <c r="N65" s="42">
        <v>45344</v>
      </c>
      <c r="O65" s="20" t="str">
        <f>TEXT(Table1[[#This Row],[Order_Date]],"mmm")</f>
        <v>Feb</v>
      </c>
      <c r="P65" s="20">
        <f t="shared" si="0"/>
        <v>2024</v>
      </c>
      <c r="Q65" s="46">
        <v>45348</v>
      </c>
      <c r="R65" s="20">
        <f>'Cleaned Data'!$Q65-'Cleaned Data'!$N65</f>
        <v>4</v>
      </c>
      <c r="S65" s="19" t="str">
        <f t="shared" si="1"/>
        <v>Summer</v>
      </c>
    </row>
    <row r="66" spans="1:19" x14ac:dyDescent="0.3">
      <c r="A66" s="13" t="s">
        <v>243</v>
      </c>
      <c r="B66" s="13" t="s">
        <v>25</v>
      </c>
      <c r="C66" s="5" t="s">
        <v>34</v>
      </c>
      <c r="D66" s="5" t="s">
        <v>49</v>
      </c>
      <c r="E66" s="5" t="s">
        <v>59</v>
      </c>
      <c r="F66" s="5" t="s">
        <v>62</v>
      </c>
      <c r="G66" s="5" t="s">
        <v>69</v>
      </c>
      <c r="H66" s="38">
        <v>988.16</v>
      </c>
      <c r="I66" s="14">
        <v>0.1</v>
      </c>
      <c r="J66" s="38">
        <v>889.34399999999994</v>
      </c>
      <c r="K66" s="5">
        <v>9</v>
      </c>
      <c r="L66" s="62">
        <f>Table1[[#This Row],[Final_Unit_Price]]*Table1[[#This Row],[Quantity]]</f>
        <v>8004.0959999999995</v>
      </c>
      <c r="M66" s="60">
        <v>933.81</v>
      </c>
      <c r="N66" s="43">
        <v>45587</v>
      </c>
      <c r="O66" s="18" t="str">
        <f>TEXT(Table1[[#This Row],[Order_Date]],"mmm")</f>
        <v>Oct</v>
      </c>
      <c r="P66" s="18">
        <f t="shared" si="0"/>
        <v>2024</v>
      </c>
      <c r="Q66" s="45">
        <v>45595</v>
      </c>
      <c r="R66" s="19">
        <f>'Cleaned Data'!$Q66-'Cleaned Data'!$N66</f>
        <v>8</v>
      </c>
      <c r="S66" s="19" t="str">
        <f t="shared" si="1"/>
        <v>Winter</v>
      </c>
    </row>
    <row r="67" spans="1:19" x14ac:dyDescent="0.3">
      <c r="A67" s="11" t="s">
        <v>244</v>
      </c>
      <c r="B67" s="11" t="s">
        <v>25</v>
      </c>
      <c r="C67" s="3" t="s">
        <v>34</v>
      </c>
      <c r="D67" s="3" t="s">
        <v>49</v>
      </c>
      <c r="E67" s="3" t="s">
        <v>59</v>
      </c>
      <c r="F67" s="3" t="s">
        <v>63</v>
      </c>
      <c r="G67" s="3" t="s">
        <v>75</v>
      </c>
      <c r="H67" s="37">
        <v>867.72</v>
      </c>
      <c r="I67" s="12">
        <v>0.3</v>
      </c>
      <c r="J67" s="37">
        <v>607.404</v>
      </c>
      <c r="K67" s="3">
        <v>4</v>
      </c>
      <c r="L67" s="61">
        <f>Table1[[#This Row],[Final_Unit_Price]]*Table1[[#This Row],[Quantity]]</f>
        <v>2429.616</v>
      </c>
      <c r="M67" s="59">
        <v>850.37</v>
      </c>
      <c r="N67" s="42">
        <v>45824</v>
      </c>
      <c r="O67" s="20" t="str">
        <f>TEXT(Table1[[#This Row],[Order_Date]],"mmm")</f>
        <v>Jun</v>
      </c>
      <c r="P67" s="20">
        <f t="shared" ref="P67:P130" si="2">YEAR(N67)</f>
        <v>2025</v>
      </c>
      <c r="Q67" s="46">
        <v>45829</v>
      </c>
      <c r="R67" s="20">
        <f>'Cleaned Data'!$Q67-'Cleaned Data'!$N67</f>
        <v>5</v>
      </c>
      <c r="S67" s="19" t="str">
        <f t="shared" ref="S67:S130" si="3">IF(OR(O67="Feb",O67="Mar",O67="Apr",O67="May"),"Summer",
   IF(OR(O67="Jun",O67="Jul",O67="Aug",O67="Sep"),"Monsoon",
   IF(OR(O67="Oct",O67="Nov",O67="Dec",O67= "Jan"),"Winter","Invalid")))</f>
        <v>Monsoon</v>
      </c>
    </row>
    <row r="68" spans="1:19" x14ac:dyDescent="0.3">
      <c r="A68" s="13" t="s">
        <v>245</v>
      </c>
      <c r="B68" s="13" t="s">
        <v>22</v>
      </c>
      <c r="C68" s="5" t="s">
        <v>31</v>
      </c>
      <c r="D68" s="5" t="s">
        <v>42</v>
      </c>
      <c r="E68" s="5" t="s">
        <v>60</v>
      </c>
      <c r="F68" s="5" t="s">
        <v>64</v>
      </c>
      <c r="G68" s="5" t="s">
        <v>74</v>
      </c>
      <c r="H68" s="38">
        <v>3121.39</v>
      </c>
      <c r="I68" s="14">
        <v>0</v>
      </c>
      <c r="J68" s="38">
        <v>3121.39</v>
      </c>
      <c r="K68" s="5">
        <v>30</v>
      </c>
      <c r="L68" s="62">
        <f>Table1[[#This Row],[Final_Unit_Price]]*Table1[[#This Row],[Quantity]]</f>
        <v>93641.7</v>
      </c>
      <c r="M68" s="60">
        <v>1872.83</v>
      </c>
      <c r="N68" s="43">
        <v>45527</v>
      </c>
      <c r="O68" s="18" t="str">
        <f>TEXT(Table1[[#This Row],[Order_Date]],"mmm")</f>
        <v>Aug</v>
      </c>
      <c r="P68" s="18">
        <f t="shared" si="2"/>
        <v>2024</v>
      </c>
      <c r="Q68" s="45">
        <v>45529</v>
      </c>
      <c r="R68" s="19">
        <f>'Cleaned Data'!$Q68-'Cleaned Data'!$N68</f>
        <v>2</v>
      </c>
      <c r="S68" s="19" t="str">
        <f t="shared" si="3"/>
        <v>Monsoon</v>
      </c>
    </row>
    <row r="69" spans="1:19" x14ac:dyDescent="0.3">
      <c r="A69" s="11" t="s">
        <v>246</v>
      </c>
      <c r="B69" s="11" t="s">
        <v>23</v>
      </c>
      <c r="C69" s="3" t="s">
        <v>35</v>
      </c>
      <c r="D69" s="3" t="s">
        <v>48</v>
      </c>
      <c r="E69" s="3" t="s">
        <v>58</v>
      </c>
      <c r="F69" s="3" t="s">
        <v>62</v>
      </c>
      <c r="G69" s="3" t="s">
        <v>67</v>
      </c>
      <c r="H69" s="37">
        <v>26867.57</v>
      </c>
      <c r="I69" s="12">
        <v>0.15</v>
      </c>
      <c r="J69" s="37">
        <v>22837.434499999999</v>
      </c>
      <c r="K69" s="3">
        <v>2</v>
      </c>
      <c r="L69" s="61">
        <f>Table1[[#This Row],[Final_Unit_Price]]*Table1[[#This Row],[Quantity]]</f>
        <v>45674.868999999999</v>
      </c>
      <c r="M69" s="59">
        <v>11418.72</v>
      </c>
      <c r="N69" s="42">
        <v>45859</v>
      </c>
      <c r="O69" s="20" t="str">
        <f>TEXT(Table1[[#This Row],[Order_Date]],"mmm")</f>
        <v>Jul</v>
      </c>
      <c r="P69" s="20">
        <f t="shared" si="2"/>
        <v>2025</v>
      </c>
      <c r="Q69" s="46">
        <v>45863</v>
      </c>
      <c r="R69" s="20">
        <f>'Cleaned Data'!$Q69-'Cleaned Data'!$N69</f>
        <v>4</v>
      </c>
      <c r="S69" s="19" t="str">
        <f t="shared" si="3"/>
        <v>Monsoon</v>
      </c>
    </row>
    <row r="70" spans="1:19" x14ac:dyDescent="0.3">
      <c r="A70" s="13" t="s">
        <v>247</v>
      </c>
      <c r="B70" s="13" t="s">
        <v>17</v>
      </c>
      <c r="C70" s="5" t="s">
        <v>32</v>
      </c>
      <c r="D70" s="5" t="s">
        <v>54</v>
      </c>
      <c r="E70" s="5" t="s">
        <v>60</v>
      </c>
      <c r="F70" s="5" t="s">
        <v>62</v>
      </c>
      <c r="G70" s="5" t="s">
        <v>67</v>
      </c>
      <c r="H70" s="38">
        <v>7177.71</v>
      </c>
      <c r="I70" s="14">
        <v>0.15</v>
      </c>
      <c r="J70" s="38">
        <v>6101.0535</v>
      </c>
      <c r="K70" s="5">
        <v>5</v>
      </c>
      <c r="L70" s="62">
        <f>Table1[[#This Row],[Final_Unit_Price]]*Table1[[#This Row],[Quantity]]</f>
        <v>30505.267500000002</v>
      </c>
      <c r="M70" s="60">
        <v>4575.79</v>
      </c>
      <c r="N70" s="43">
        <v>45750</v>
      </c>
      <c r="O70" s="18" t="str">
        <f>TEXT(Table1[[#This Row],[Order_Date]],"mmm")</f>
        <v>Apr</v>
      </c>
      <c r="P70" s="18">
        <f t="shared" si="2"/>
        <v>2025</v>
      </c>
      <c r="Q70" s="45">
        <v>45756</v>
      </c>
      <c r="R70" s="19">
        <f>'Cleaned Data'!$Q70-'Cleaned Data'!$N70</f>
        <v>6</v>
      </c>
      <c r="S70" s="19" t="str">
        <f t="shared" si="3"/>
        <v>Summer</v>
      </c>
    </row>
    <row r="71" spans="1:19" x14ac:dyDescent="0.3">
      <c r="A71" s="11" t="s">
        <v>248</v>
      </c>
      <c r="B71" s="11" t="s">
        <v>29</v>
      </c>
      <c r="C71" s="3" t="s">
        <v>35</v>
      </c>
      <c r="D71" s="3" t="s">
        <v>48</v>
      </c>
      <c r="E71" s="3" t="s">
        <v>58</v>
      </c>
      <c r="F71" s="3" t="s">
        <v>61</v>
      </c>
      <c r="G71" s="3" t="s">
        <v>71</v>
      </c>
      <c r="H71" s="37">
        <v>16933.96</v>
      </c>
      <c r="I71" s="12">
        <v>0.3</v>
      </c>
      <c r="J71" s="37">
        <v>11853.772000000001</v>
      </c>
      <c r="K71" s="3">
        <v>2</v>
      </c>
      <c r="L71" s="61">
        <f>Table1[[#This Row],[Final_Unit_Price]]*Table1[[#This Row],[Quantity]]</f>
        <v>23707.544000000002</v>
      </c>
      <c r="M71" s="59">
        <v>5926.89</v>
      </c>
      <c r="N71" s="42">
        <v>45800</v>
      </c>
      <c r="O71" s="20" t="str">
        <f>TEXT(Table1[[#This Row],[Order_Date]],"mmm")</f>
        <v>May</v>
      </c>
      <c r="P71" s="20">
        <f t="shared" si="2"/>
        <v>2025</v>
      </c>
      <c r="Q71" s="46">
        <v>45809</v>
      </c>
      <c r="R71" s="20">
        <f>'Cleaned Data'!$Q71-'Cleaned Data'!$N71</f>
        <v>9</v>
      </c>
      <c r="S71" s="19" t="str">
        <f t="shared" si="3"/>
        <v>Summer</v>
      </c>
    </row>
    <row r="72" spans="1:19" x14ac:dyDescent="0.3">
      <c r="A72" s="13" t="s">
        <v>249</v>
      </c>
      <c r="B72" s="13" t="s">
        <v>27</v>
      </c>
      <c r="C72" s="5" t="s">
        <v>35</v>
      </c>
      <c r="D72" s="5" t="s">
        <v>44</v>
      </c>
      <c r="E72" s="5" t="s">
        <v>60</v>
      </c>
      <c r="F72" s="5" t="s">
        <v>61</v>
      </c>
      <c r="G72" s="5" t="s">
        <v>70</v>
      </c>
      <c r="H72" s="38">
        <v>6657.58</v>
      </c>
      <c r="I72" s="14">
        <v>0.05</v>
      </c>
      <c r="J72" s="38">
        <v>6324.701</v>
      </c>
      <c r="K72" s="5">
        <v>5</v>
      </c>
      <c r="L72" s="62">
        <f>Table1[[#This Row],[Final_Unit_Price]]*Table1[[#This Row],[Quantity]]</f>
        <v>31623.505000000001</v>
      </c>
      <c r="M72" s="60">
        <v>4743.53</v>
      </c>
      <c r="N72" s="43">
        <v>45836</v>
      </c>
      <c r="O72" s="18" t="str">
        <f>TEXT(Table1[[#This Row],[Order_Date]],"mmm")</f>
        <v>Jun</v>
      </c>
      <c r="P72" s="18">
        <f t="shared" si="2"/>
        <v>2025</v>
      </c>
      <c r="Q72" s="45">
        <v>45840</v>
      </c>
      <c r="R72" s="19">
        <f>'Cleaned Data'!$Q72-'Cleaned Data'!$N72</f>
        <v>4</v>
      </c>
      <c r="S72" s="19" t="str">
        <f t="shared" si="3"/>
        <v>Monsoon</v>
      </c>
    </row>
    <row r="73" spans="1:19" x14ac:dyDescent="0.3">
      <c r="A73" s="11" t="s">
        <v>250</v>
      </c>
      <c r="B73" s="11" t="s">
        <v>17</v>
      </c>
      <c r="C73" s="3" t="s">
        <v>32</v>
      </c>
      <c r="D73" s="3" t="s">
        <v>40</v>
      </c>
      <c r="E73" s="3" t="s">
        <v>59</v>
      </c>
      <c r="F73" s="3" t="s">
        <v>63</v>
      </c>
      <c r="G73" s="3" t="s">
        <v>75</v>
      </c>
      <c r="H73" s="37">
        <v>9127.9</v>
      </c>
      <c r="I73" s="12">
        <v>0.1</v>
      </c>
      <c r="J73" s="37">
        <v>8215.11</v>
      </c>
      <c r="K73" s="3">
        <v>3</v>
      </c>
      <c r="L73" s="61">
        <f>Table1[[#This Row],[Final_Unit_Price]]*Table1[[#This Row],[Quantity]]</f>
        <v>24645.33</v>
      </c>
      <c r="M73" s="59">
        <v>8625.8700000000008</v>
      </c>
      <c r="N73" s="42">
        <v>45521</v>
      </c>
      <c r="O73" s="20" t="str">
        <f>TEXT(Table1[[#This Row],[Order_Date]],"mmm")</f>
        <v>Aug</v>
      </c>
      <c r="P73" s="20">
        <f t="shared" si="2"/>
        <v>2024</v>
      </c>
      <c r="Q73" s="46">
        <v>45527</v>
      </c>
      <c r="R73" s="20">
        <f>'Cleaned Data'!$Q73-'Cleaned Data'!$N73</f>
        <v>6</v>
      </c>
      <c r="S73" s="19" t="str">
        <f t="shared" si="3"/>
        <v>Monsoon</v>
      </c>
    </row>
    <row r="74" spans="1:19" x14ac:dyDescent="0.3">
      <c r="A74" s="13" t="s">
        <v>251</v>
      </c>
      <c r="B74" s="13" t="s">
        <v>28</v>
      </c>
      <c r="C74" s="5" t="s">
        <v>34</v>
      </c>
      <c r="D74" s="5" t="s">
        <v>55</v>
      </c>
      <c r="E74" s="5" t="s">
        <v>58</v>
      </c>
      <c r="F74" s="5" t="s">
        <v>64</v>
      </c>
      <c r="G74" s="5" t="s">
        <v>72</v>
      </c>
      <c r="H74" s="38">
        <v>1566.61</v>
      </c>
      <c r="I74" s="14">
        <v>0.1</v>
      </c>
      <c r="J74" s="38">
        <v>1409.9490000000001</v>
      </c>
      <c r="K74" s="5">
        <v>4</v>
      </c>
      <c r="L74" s="62">
        <f>Table1[[#This Row],[Final_Unit_Price]]*Table1[[#This Row],[Quantity]]</f>
        <v>5639.7960000000003</v>
      </c>
      <c r="M74" s="60">
        <v>1409.95</v>
      </c>
      <c r="N74" s="43">
        <v>45456</v>
      </c>
      <c r="O74" s="18" t="str">
        <f>TEXT(Table1[[#This Row],[Order_Date]],"mmm")</f>
        <v>Jun</v>
      </c>
      <c r="P74" s="18">
        <f t="shared" si="2"/>
        <v>2024</v>
      </c>
      <c r="Q74" s="45">
        <v>45459</v>
      </c>
      <c r="R74" s="19">
        <f>'Cleaned Data'!$Q74-'Cleaned Data'!$N74</f>
        <v>3</v>
      </c>
      <c r="S74" s="19" t="str">
        <f t="shared" si="3"/>
        <v>Monsoon</v>
      </c>
    </row>
    <row r="75" spans="1:19" x14ac:dyDescent="0.3">
      <c r="A75" s="11" t="s">
        <v>252</v>
      </c>
      <c r="B75" s="11" t="s">
        <v>19</v>
      </c>
      <c r="C75" s="3" t="s">
        <v>33</v>
      </c>
      <c r="D75" s="3" t="s">
        <v>56</v>
      </c>
      <c r="E75" s="3" t="s">
        <v>60</v>
      </c>
      <c r="F75" s="3" t="s">
        <v>61</v>
      </c>
      <c r="G75" s="3" t="s">
        <v>70</v>
      </c>
      <c r="H75" s="37">
        <v>1654.29</v>
      </c>
      <c r="I75" s="12">
        <v>0.05</v>
      </c>
      <c r="J75" s="37">
        <v>1571.5754999999999</v>
      </c>
      <c r="K75" s="3">
        <v>4</v>
      </c>
      <c r="L75" s="61">
        <f>Table1[[#This Row],[Final_Unit_Price]]*Table1[[#This Row],[Quantity]]</f>
        <v>6286.3019999999997</v>
      </c>
      <c r="M75" s="59">
        <v>942.94</v>
      </c>
      <c r="N75" s="42">
        <v>45421</v>
      </c>
      <c r="O75" s="20" t="str">
        <f>TEXT(Table1[[#This Row],[Order_Date]],"mmm")</f>
        <v>May</v>
      </c>
      <c r="P75" s="20">
        <f t="shared" si="2"/>
        <v>2024</v>
      </c>
      <c r="Q75" s="46">
        <v>45424</v>
      </c>
      <c r="R75" s="20">
        <f>'Cleaned Data'!$Q75-'Cleaned Data'!$N75</f>
        <v>3</v>
      </c>
      <c r="S75" s="19" t="str">
        <f t="shared" si="3"/>
        <v>Summer</v>
      </c>
    </row>
    <row r="76" spans="1:19" x14ac:dyDescent="0.3">
      <c r="A76" s="13" t="s">
        <v>253</v>
      </c>
      <c r="B76" s="13" t="s">
        <v>20</v>
      </c>
      <c r="C76" s="5" t="s">
        <v>32</v>
      </c>
      <c r="D76" s="5" t="s">
        <v>43</v>
      </c>
      <c r="E76" s="5" t="s">
        <v>58</v>
      </c>
      <c r="F76" s="5" t="s">
        <v>61</v>
      </c>
      <c r="G76" s="5" t="s">
        <v>65</v>
      </c>
      <c r="H76" s="38">
        <v>28366.95</v>
      </c>
      <c r="I76" s="14">
        <v>0.1</v>
      </c>
      <c r="J76" s="38">
        <v>25530.255000000001</v>
      </c>
      <c r="K76" s="5">
        <v>1</v>
      </c>
      <c r="L76" s="62">
        <f>Table1[[#This Row],[Final_Unit_Price]]*Table1[[#This Row],[Quantity]]</f>
        <v>25530.255000000001</v>
      </c>
      <c r="M76" s="60">
        <v>6382.56</v>
      </c>
      <c r="N76" s="43">
        <v>45441</v>
      </c>
      <c r="O76" s="18" t="str">
        <f>TEXT(Table1[[#This Row],[Order_Date]],"mmm")</f>
        <v>May</v>
      </c>
      <c r="P76" s="18">
        <f t="shared" si="2"/>
        <v>2024</v>
      </c>
      <c r="Q76" s="45">
        <v>45445</v>
      </c>
      <c r="R76" s="19">
        <f>'Cleaned Data'!$Q76-'Cleaned Data'!$N76</f>
        <v>4</v>
      </c>
      <c r="S76" s="19" t="str">
        <f t="shared" si="3"/>
        <v>Summer</v>
      </c>
    </row>
    <row r="77" spans="1:19" x14ac:dyDescent="0.3">
      <c r="A77" s="11" t="s">
        <v>254</v>
      </c>
      <c r="B77" s="11" t="s">
        <v>21</v>
      </c>
      <c r="C77" s="3" t="s">
        <v>34</v>
      </c>
      <c r="D77" s="3" t="s">
        <v>49</v>
      </c>
      <c r="E77" s="3" t="s">
        <v>59</v>
      </c>
      <c r="F77" s="3" t="s">
        <v>64</v>
      </c>
      <c r="G77" s="3" t="s">
        <v>74</v>
      </c>
      <c r="H77" s="37">
        <v>3778.09</v>
      </c>
      <c r="I77" s="12">
        <v>0.15</v>
      </c>
      <c r="J77" s="37">
        <v>3211.3764999999999</v>
      </c>
      <c r="K77" s="3">
        <v>8</v>
      </c>
      <c r="L77" s="61">
        <f>Table1[[#This Row],[Final_Unit_Price]]*Table1[[#This Row],[Quantity]]</f>
        <v>25691.011999999999</v>
      </c>
      <c r="M77" s="59">
        <v>3371.95</v>
      </c>
      <c r="N77" s="42">
        <v>45646</v>
      </c>
      <c r="O77" s="20" t="str">
        <f>TEXT(Table1[[#This Row],[Order_Date]],"mmm")</f>
        <v>Dec</v>
      </c>
      <c r="P77" s="20">
        <f t="shared" si="2"/>
        <v>2024</v>
      </c>
      <c r="Q77" s="46">
        <v>45656</v>
      </c>
      <c r="R77" s="20">
        <f>'Cleaned Data'!$Q77-'Cleaned Data'!$N77</f>
        <v>10</v>
      </c>
      <c r="S77" s="19" t="str">
        <f t="shared" si="3"/>
        <v>Winter</v>
      </c>
    </row>
    <row r="78" spans="1:19" x14ac:dyDescent="0.3">
      <c r="A78" s="13" t="s">
        <v>255</v>
      </c>
      <c r="B78" s="13" t="s">
        <v>23</v>
      </c>
      <c r="C78" s="5" t="s">
        <v>35</v>
      </c>
      <c r="D78" s="5" t="s">
        <v>44</v>
      </c>
      <c r="E78" s="5" t="s">
        <v>60</v>
      </c>
      <c r="F78" s="5" t="s">
        <v>61</v>
      </c>
      <c r="G78" s="5" t="s">
        <v>65</v>
      </c>
      <c r="H78" s="38">
        <v>21417.46</v>
      </c>
      <c r="I78" s="14">
        <v>0.1</v>
      </c>
      <c r="J78" s="38">
        <v>19275.714</v>
      </c>
      <c r="K78" s="5">
        <v>4</v>
      </c>
      <c r="L78" s="62">
        <f>Table1[[#This Row],[Final_Unit_Price]]*Table1[[#This Row],[Quantity]]</f>
        <v>77102.856</v>
      </c>
      <c r="M78" s="60">
        <v>11565.43</v>
      </c>
      <c r="N78" s="43">
        <v>45803</v>
      </c>
      <c r="O78" s="18" t="str">
        <f>TEXT(Table1[[#This Row],[Order_Date]],"mmm")</f>
        <v>May</v>
      </c>
      <c r="P78" s="18">
        <f t="shared" si="2"/>
        <v>2025</v>
      </c>
      <c r="Q78" s="45">
        <v>45807</v>
      </c>
      <c r="R78" s="19">
        <f>'Cleaned Data'!$Q78-'Cleaned Data'!$N78</f>
        <v>4</v>
      </c>
      <c r="S78" s="19" t="str">
        <f t="shared" si="3"/>
        <v>Summer</v>
      </c>
    </row>
    <row r="79" spans="1:19" x14ac:dyDescent="0.3">
      <c r="A79" s="11" t="s">
        <v>256</v>
      </c>
      <c r="B79" s="11" t="s">
        <v>25</v>
      </c>
      <c r="C79" s="3" t="s">
        <v>34</v>
      </c>
      <c r="D79" s="3" t="s">
        <v>45</v>
      </c>
      <c r="E79" s="3" t="s">
        <v>59</v>
      </c>
      <c r="F79" s="3" t="s">
        <v>64</v>
      </c>
      <c r="G79" s="3" t="s">
        <v>72</v>
      </c>
      <c r="H79" s="37">
        <v>1021.58</v>
      </c>
      <c r="I79" s="12">
        <v>0.2</v>
      </c>
      <c r="J79" s="37">
        <v>817.26400000000012</v>
      </c>
      <c r="K79" s="3">
        <v>5</v>
      </c>
      <c r="L79" s="61">
        <f>Table1[[#This Row],[Final_Unit_Price]]*Table1[[#This Row],[Quantity]]</f>
        <v>4086.3200000000006</v>
      </c>
      <c r="M79" s="59">
        <v>1430.21</v>
      </c>
      <c r="N79" s="42">
        <v>45531</v>
      </c>
      <c r="O79" s="20" t="str">
        <f>TEXT(Table1[[#This Row],[Order_Date]],"mmm")</f>
        <v>Aug</v>
      </c>
      <c r="P79" s="20">
        <f t="shared" si="2"/>
        <v>2024</v>
      </c>
      <c r="Q79" s="46">
        <v>45533</v>
      </c>
      <c r="R79" s="20">
        <f>'Cleaned Data'!$Q79-'Cleaned Data'!$N79</f>
        <v>2</v>
      </c>
      <c r="S79" s="19" t="str">
        <f t="shared" si="3"/>
        <v>Monsoon</v>
      </c>
    </row>
    <row r="80" spans="1:19" x14ac:dyDescent="0.3">
      <c r="A80" s="13" t="s">
        <v>257</v>
      </c>
      <c r="B80" s="13" t="s">
        <v>19</v>
      </c>
      <c r="C80" s="5" t="s">
        <v>33</v>
      </c>
      <c r="D80" s="5" t="s">
        <v>56</v>
      </c>
      <c r="E80" s="5" t="s">
        <v>60</v>
      </c>
      <c r="F80" s="5" t="s">
        <v>64</v>
      </c>
      <c r="G80" s="5" t="s">
        <v>74</v>
      </c>
      <c r="H80" s="38">
        <v>1845.41</v>
      </c>
      <c r="I80" s="14">
        <v>0.1</v>
      </c>
      <c r="J80" s="38">
        <v>1660.8689999999999</v>
      </c>
      <c r="K80" s="5">
        <v>4</v>
      </c>
      <c r="L80" s="62">
        <f>Table1[[#This Row],[Final_Unit_Price]]*Table1[[#This Row],[Quantity]]</f>
        <v>6643.4759999999997</v>
      </c>
      <c r="M80" s="60">
        <v>996.52</v>
      </c>
      <c r="N80" s="43">
        <v>45838</v>
      </c>
      <c r="O80" s="18" t="str">
        <f>TEXT(Table1[[#This Row],[Order_Date]],"mmm")</f>
        <v>Jun</v>
      </c>
      <c r="P80" s="18">
        <f t="shared" si="2"/>
        <v>2025</v>
      </c>
      <c r="Q80" s="45">
        <v>45848</v>
      </c>
      <c r="R80" s="19">
        <f>'Cleaned Data'!$Q80-'Cleaned Data'!$N80</f>
        <v>10</v>
      </c>
      <c r="S80" s="19" t="str">
        <f t="shared" si="3"/>
        <v>Monsoon</v>
      </c>
    </row>
    <row r="81" spans="1:19" x14ac:dyDescent="0.3">
      <c r="A81" s="11" t="s">
        <v>258</v>
      </c>
      <c r="B81" s="11" t="s">
        <v>26</v>
      </c>
      <c r="C81" s="3" t="s">
        <v>32</v>
      </c>
      <c r="D81" s="3" t="s">
        <v>37</v>
      </c>
      <c r="E81" s="3" t="s">
        <v>59</v>
      </c>
      <c r="F81" s="3" t="s">
        <v>63</v>
      </c>
      <c r="G81" s="3" t="s">
        <v>75</v>
      </c>
      <c r="H81" s="37">
        <v>41647.199999999997</v>
      </c>
      <c r="I81" s="12">
        <v>0.05</v>
      </c>
      <c r="J81" s="37">
        <v>39564.839999999997</v>
      </c>
      <c r="K81" s="3">
        <v>1</v>
      </c>
      <c r="L81" s="61">
        <f>Table1[[#This Row],[Final_Unit_Price]]*Table1[[#This Row],[Quantity]]</f>
        <v>39564.839999999997</v>
      </c>
      <c r="M81" s="59">
        <v>13847.69</v>
      </c>
      <c r="N81" s="42">
        <v>45512</v>
      </c>
      <c r="O81" s="20" t="str">
        <f>TEXT(Table1[[#This Row],[Order_Date]],"mmm")</f>
        <v>Aug</v>
      </c>
      <c r="P81" s="20">
        <f t="shared" si="2"/>
        <v>2024</v>
      </c>
      <c r="Q81" s="46">
        <v>45522</v>
      </c>
      <c r="R81" s="20">
        <f>'Cleaned Data'!$Q81-'Cleaned Data'!$N81</f>
        <v>10</v>
      </c>
      <c r="S81" s="19" t="str">
        <f t="shared" si="3"/>
        <v>Monsoon</v>
      </c>
    </row>
    <row r="82" spans="1:19" x14ac:dyDescent="0.3">
      <c r="A82" s="13" t="s">
        <v>259</v>
      </c>
      <c r="B82" s="13" t="s">
        <v>27</v>
      </c>
      <c r="C82" s="5" t="s">
        <v>35</v>
      </c>
      <c r="D82" s="5" t="s">
        <v>46</v>
      </c>
      <c r="E82" s="5" t="s">
        <v>59</v>
      </c>
      <c r="F82" s="5" t="s">
        <v>62</v>
      </c>
      <c r="G82" s="5" t="s">
        <v>66</v>
      </c>
      <c r="H82" s="38">
        <v>10182.44</v>
      </c>
      <c r="I82" s="14">
        <v>0.15</v>
      </c>
      <c r="J82" s="38">
        <v>8655.0740000000005</v>
      </c>
      <c r="K82" s="5">
        <v>5</v>
      </c>
      <c r="L82" s="62">
        <f>Table1[[#This Row],[Final_Unit_Price]]*Table1[[#This Row],[Quantity]]</f>
        <v>43275.37</v>
      </c>
      <c r="M82" s="60">
        <v>15146.38</v>
      </c>
      <c r="N82" s="43">
        <v>45315</v>
      </c>
      <c r="O82" s="18" t="str">
        <f>TEXT(Table1[[#This Row],[Order_Date]],"mmm")</f>
        <v>Jan</v>
      </c>
      <c r="P82" s="18">
        <f t="shared" si="2"/>
        <v>2024</v>
      </c>
      <c r="Q82" s="45">
        <v>45318</v>
      </c>
      <c r="R82" s="19">
        <f>'Cleaned Data'!$Q82-'Cleaned Data'!$N82</f>
        <v>3</v>
      </c>
      <c r="S82" s="19" t="str">
        <f t="shared" si="3"/>
        <v>Winter</v>
      </c>
    </row>
    <row r="83" spans="1:19" x14ac:dyDescent="0.3">
      <c r="A83" s="11" t="s">
        <v>260</v>
      </c>
      <c r="B83" s="11" t="s">
        <v>19</v>
      </c>
      <c r="C83" s="3" t="s">
        <v>33</v>
      </c>
      <c r="D83" s="3" t="s">
        <v>50</v>
      </c>
      <c r="E83" s="3" t="s">
        <v>59</v>
      </c>
      <c r="F83" s="3" t="s">
        <v>63</v>
      </c>
      <c r="G83" s="3" t="s">
        <v>68</v>
      </c>
      <c r="H83" s="37">
        <v>2231.2600000000002</v>
      </c>
      <c r="I83" s="12">
        <v>0</v>
      </c>
      <c r="J83" s="37">
        <v>2231.2600000000002</v>
      </c>
      <c r="K83" s="3">
        <v>3</v>
      </c>
      <c r="L83" s="61">
        <f>Table1[[#This Row],[Final_Unit_Price]]*Table1[[#This Row],[Quantity]]</f>
        <v>6693.7800000000007</v>
      </c>
      <c r="M83" s="59">
        <v>2342.8200000000002</v>
      </c>
      <c r="N83" s="42">
        <v>45409</v>
      </c>
      <c r="O83" s="20" t="str">
        <f>TEXT(Table1[[#This Row],[Order_Date]],"mmm")</f>
        <v>Apr</v>
      </c>
      <c r="P83" s="20">
        <f t="shared" si="2"/>
        <v>2024</v>
      </c>
      <c r="Q83" s="46">
        <v>45415</v>
      </c>
      <c r="R83" s="20">
        <f>'Cleaned Data'!$Q83-'Cleaned Data'!$N83</f>
        <v>6</v>
      </c>
      <c r="S83" s="19" t="str">
        <f t="shared" si="3"/>
        <v>Summer</v>
      </c>
    </row>
    <row r="84" spans="1:19" x14ac:dyDescent="0.3">
      <c r="A84" s="13" t="s">
        <v>261</v>
      </c>
      <c r="B84" s="13" t="s">
        <v>17</v>
      </c>
      <c r="C84" s="5" t="s">
        <v>32</v>
      </c>
      <c r="D84" s="5" t="s">
        <v>40</v>
      </c>
      <c r="E84" s="5" t="s">
        <v>59</v>
      </c>
      <c r="F84" s="5" t="s">
        <v>61</v>
      </c>
      <c r="G84" s="5" t="s">
        <v>65</v>
      </c>
      <c r="H84" s="38">
        <v>8998.4</v>
      </c>
      <c r="I84" s="14">
        <v>0.15</v>
      </c>
      <c r="J84" s="38">
        <v>7648.6399999999994</v>
      </c>
      <c r="K84" s="5">
        <v>5</v>
      </c>
      <c r="L84" s="62">
        <f>Table1[[#This Row],[Final_Unit_Price]]*Table1[[#This Row],[Quantity]]</f>
        <v>38243.199999999997</v>
      </c>
      <c r="M84" s="60">
        <v>13385.12</v>
      </c>
      <c r="N84" s="43">
        <v>45787</v>
      </c>
      <c r="O84" s="18" t="str">
        <f>TEXT(Table1[[#This Row],[Order_Date]],"mmm")</f>
        <v>May</v>
      </c>
      <c r="P84" s="18">
        <f t="shared" si="2"/>
        <v>2025</v>
      </c>
      <c r="Q84" s="45">
        <v>45796</v>
      </c>
      <c r="R84" s="19">
        <f>'Cleaned Data'!$Q84-'Cleaned Data'!$N84</f>
        <v>9</v>
      </c>
      <c r="S84" s="19" t="str">
        <f t="shared" si="3"/>
        <v>Summer</v>
      </c>
    </row>
    <row r="85" spans="1:19" x14ac:dyDescent="0.3">
      <c r="A85" s="11" t="s">
        <v>262</v>
      </c>
      <c r="B85" s="11" t="s">
        <v>25</v>
      </c>
      <c r="C85" s="3" t="s">
        <v>34</v>
      </c>
      <c r="D85" s="3" t="s">
        <v>41</v>
      </c>
      <c r="E85" s="3" t="s">
        <v>60</v>
      </c>
      <c r="F85" s="3" t="s">
        <v>63</v>
      </c>
      <c r="G85" s="3" t="s">
        <v>73</v>
      </c>
      <c r="H85" s="37">
        <v>640.91</v>
      </c>
      <c r="I85" s="12">
        <v>0.05</v>
      </c>
      <c r="J85" s="37">
        <v>608.86449999999991</v>
      </c>
      <c r="K85" s="3">
        <v>10</v>
      </c>
      <c r="L85" s="61">
        <f>Table1[[#This Row],[Final_Unit_Price]]*Table1[[#This Row],[Quantity]]</f>
        <v>6088.6449999999986</v>
      </c>
      <c r="M85" s="59">
        <v>91.33</v>
      </c>
      <c r="N85" s="42">
        <v>45664</v>
      </c>
      <c r="O85" s="20" t="str">
        <f>TEXT(Table1[[#This Row],[Order_Date]],"mmm")</f>
        <v>Jan</v>
      </c>
      <c r="P85" s="20">
        <f t="shared" si="2"/>
        <v>2025</v>
      </c>
      <c r="Q85" s="46">
        <v>45668</v>
      </c>
      <c r="R85" s="20">
        <f>'Cleaned Data'!$Q85-'Cleaned Data'!$N85</f>
        <v>4</v>
      </c>
      <c r="S85" s="19" t="str">
        <f t="shared" si="3"/>
        <v>Winter</v>
      </c>
    </row>
    <row r="86" spans="1:19" x14ac:dyDescent="0.3">
      <c r="A86" s="13" t="s">
        <v>263</v>
      </c>
      <c r="B86" s="13" t="s">
        <v>28</v>
      </c>
      <c r="C86" s="5" t="s">
        <v>34</v>
      </c>
      <c r="D86" s="5" t="s">
        <v>51</v>
      </c>
      <c r="E86" s="5" t="s">
        <v>59</v>
      </c>
      <c r="F86" s="5" t="s">
        <v>61</v>
      </c>
      <c r="G86" s="5" t="s">
        <v>71</v>
      </c>
      <c r="H86" s="38">
        <v>1772.79</v>
      </c>
      <c r="I86" s="14">
        <v>0.25</v>
      </c>
      <c r="J86" s="38">
        <v>1329.5925</v>
      </c>
      <c r="K86" s="5">
        <v>3</v>
      </c>
      <c r="L86" s="62">
        <f>Table1[[#This Row],[Final_Unit_Price]]*Table1[[#This Row],[Quantity]]</f>
        <v>3988.7775000000001</v>
      </c>
      <c r="M86" s="60">
        <v>1396.07</v>
      </c>
      <c r="N86" s="43">
        <v>45561</v>
      </c>
      <c r="O86" s="18" t="str">
        <f>TEXT(Table1[[#This Row],[Order_Date]],"mmm")</f>
        <v>Sep</v>
      </c>
      <c r="P86" s="18">
        <f t="shared" si="2"/>
        <v>2024</v>
      </c>
      <c r="Q86" s="45">
        <v>45571</v>
      </c>
      <c r="R86" s="19">
        <f>'Cleaned Data'!$Q86-'Cleaned Data'!$N86</f>
        <v>10</v>
      </c>
      <c r="S86" s="19" t="str">
        <f t="shared" si="3"/>
        <v>Monsoon</v>
      </c>
    </row>
    <row r="87" spans="1:19" x14ac:dyDescent="0.3">
      <c r="A87" s="11" t="s">
        <v>264</v>
      </c>
      <c r="B87" s="11" t="s">
        <v>24</v>
      </c>
      <c r="C87" s="3" t="s">
        <v>32</v>
      </c>
      <c r="D87" s="3" t="s">
        <v>40</v>
      </c>
      <c r="E87" s="3" t="s">
        <v>59</v>
      </c>
      <c r="F87" s="3" t="s">
        <v>64</v>
      </c>
      <c r="G87" s="3" t="s">
        <v>72</v>
      </c>
      <c r="H87" s="37">
        <v>32833.29</v>
      </c>
      <c r="I87" s="12">
        <v>0.25</v>
      </c>
      <c r="J87" s="37">
        <v>24624.967499999999</v>
      </c>
      <c r="K87" s="3">
        <v>4</v>
      </c>
      <c r="L87" s="61">
        <f>Table1[[#This Row],[Final_Unit_Price]]*Table1[[#This Row],[Quantity]]</f>
        <v>98499.87</v>
      </c>
      <c r="M87" s="59">
        <v>34474.949999999997</v>
      </c>
      <c r="N87" s="42">
        <v>45687</v>
      </c>
      <c r="O87" s="20" t="str">
        <f>TEXT(Table1[[#This Row],[Order_Date]],"mmm")</f>
        <v>Jan</v>
      </c>
      <c r="P87" s="20">
        <f t="shared" si="2"/>
        <v>2025</v>
      </c>
      <c r="Q87" s="46">
        <v>45690</v>
      </c>
      <c r="R87" s="20">
        <f>'Cleaned Data'!$Q87-'Cleaned Data'!$N87</f>
        <v>3</v>
      </c>
      <c r="S87" s="19" t="str">
        <f t="shared" si="3"/>
        <v>Winter</v>
      </c>
    </row>
    <row r="88" spans="1:19" x14ac:dyDescent="0.3">
      <c r="A88" s="13" t="s">
        <v>265</v>
      </c>
      <c r="B88" s="13" t="s">
        <v>22</v>
      </c>
      <c r="C88" s="5" t="s">
        <v>31</v>
      </c>
      <c r="D88" s="5" t="s">
        <v>42</v>
      </c>
      <c r="E88" s="5" t="s">
        <v>60</v>
      </c>
      <c r="F88" s="5" t="s">
        <v>62</v>
      </c>
      <c r="G88" s="5" t="s">
        <v>66</v>
      </c>
      <c r="H88" s="38">
        <v>3119.46</v>
      </c>
      <c r="I88" s="14">
        <v>0</v>
      </c>
      <c r="J88" s="38">
        <v>3119.46</v>
      </c>
      <c r="K88" s="5">
        <v>3</v>
      </c>
      <c r="L88" s="62">
        <f>Table1[[#This Row],[Final_Unit_Price]]*Table1[[#This Row],[Quantity]]</f>
        <v>9358.380000000001</v>
      </c>
      <c r="M88" s="60">
        <v>1403.76</v>
      </c>
      <c r="N88" s="43">
        <v>45518</v>
      </c>
      <c r="O88" s="18" t="str">
        <f>TEXT(Table1[[#This Row],[Order_Date]],"mmm")</f>
        <v>Aug</v>
      </c>
      <c r="P88" s="18">
        <f t="shared" si="2"/>
        <v>2024</v>
      </c>
      <c r="Q88" s="45">
        <v>45526</v>
      </c>
      <c r="R88" s="19">
        <f>'Cleaned Data'!$Q88-'Cleaned Data'!$N88</f>
        <v>8</v>
      </c>
      <c r="S88" s="19" t="str">
        <f t="shared" si="3"/>
        <v>Monsoon</v>
      </c>
    </row>
    <row r="89" spans="1:19" x14ac:dyDescent="0.3">
      <c r="A89" s="11" t="s">
        <v>266</v>
      </c>
      <c r="B89" s="11" t="s">
        <v>16</v>
      </c>
      <c r="C89" s="3" t="s">
        <v>31</v>
      </c>
      <c r="D89" s="3" t="s">
        <v>36</v>
      </c>
      <c r="E89" s="3" t="s">
        <v>58</v>
      </c>
      <c r="F89" s="3" t="s">
        <v>64</v>
      </c>
      <c r="G89" s="3" t="s">
        <v>72</v>
      </c>
      <c r="H89" s="37">
        <v>2584.13</v>
      </c>
      <c r="I89" s="12">
        <v>0.05</v>
      </c>
      <c r="J89" s="37">
        <v>2454.9234999999999</v>
      </c>
      <c r="K89" s="3">
        <v>1</v>
      </c>
      <c r="L89" s="61">
        <f>Table1[[#This Row],[Final_Unit_Price]]*Table1[[#This Row],[Quantity]]</f>
        <v>2454.9234999999999</v>
      </c>
      <c r="M89" s="59">
        <v>613.73</v>
      </c>
      <c r="N89" s="42">
        <v>45709</v>
      </c>
      <c r="O89" s="20" t="str">
        <f>TEXT(Table1[[#This Row],[Order_Date]],"mmm")</f>
        <v>Feb</v>
      </c>
      <c r="P89" s="20">
        <f t="shared" si="2"/>
        <v>2025</v>
      </c>
      <c r="Q89" s="46">
        <v>45714</v>
      </c>
      <c r="R89" s="20">
        <f>'Cleaned Data'!$Q89-'Cleaned Data'!$N89</f>
        <v>5</v>
      </c>
      <c r="S89" s="19" t="str">
        <f t="shared" si="3"/>
        <v>Summer</v>
      </c>
    </row>
    <row r="90" spans="1:19" x14ac:dyDescent="0.3">
      <c r="A90" s="13" t="s">
        <v>267</v>
      </c>
      <c r="B90" s="13" t="s">
        <v>17</v>
      </c>
      <c r="C90" s="5" t="s">
        <v>32</v>
      </c>
      <c r="D90" s="5" t="s">
        <v>37</v>
      </c>
      <c r="E90" s="5" t="s">
        <v>59</v>
      </c>
      <c r="F90" s="5" t="s">
        <v>62</v>
      </c>
      <c r="G90" s="5" t="s">
        <v>66</v>
      </c>
      <c r="H90" s="38">
        <v>10119.06</v>
      </c>
      <c r="I90" s="14">
        <v>0</v>
      </c>
      <c r="J90" s="38">
        <v>10119.06</v>
      </c>
      <c r="K90" s="5">
        <v>1</v>
      </c>
      <c r="L90" s="62">
        <f>Table1[[#This Row],[Final_Unit_Price]]*Table1[[#This Row],[Quantity]]</f>
        <v>10119.06</v>
      </c>
      <c r="M90" s="60">
        <v>3541.67</v>
      </c>
      <c r="N90" s="43">
        <v>45588</v>
      </c>
      <c r="O90" s="18" t="str">
        <f>TEXT(Table1[[#This Row],[Order_Date]],"mmm")</f>
        <v>Oct</v>
      </c>
      <c r="P90" s="18">
        <f t="shared" si="2"/>
        <v>2024</v>
      </c>
      <c r="Q90" s="45">
        <v>45592</v>
      </c>
      <c r="R90" s="19">
        <f>'Cleaned Data'!$Q90-'Cleaned Data'!$N90</f>
        <v>4</v>
      </c>
      <c r="S90" s="19" t="str">
        <f t="shared" si="3"/>
        <v>Winter</v>
      </c>
    </row>
    <row r="91" spans="1:19" x14ac:dyDescent="0.3">
      <c r="A91" s="11" t="s">
        <v>268</v>
      </c>
      <c r="B91" s="11" t="s">
        <v>28</v>
      </c>
      <c r="C91" s="3" t="s">
        <v>34</v>
      </c>
      <c r="D91" s="3" t="s">
        <v>51</v>
      </c>
      <c r="E91" s="3" t="s">
        <v>59</v>
      </c>
      <c r="F91" s="3" t="s">
        <v>63</v>
      </c>
      <c r="G91" s="3" t="s">
        <v>75</v>
      </c>
      <c r="H91" s="37">
        <v>1771.68</v>
      </c>
      <c r="I91" s="12">
        <v>0.1</v>
      </c>
      <c r="J91" s="37">
        <v>1594.5119999999999</v>
      </c>
      <c r="K91" s="3">
        <v>1</v>
      </c>
      <c r="L91" s="61">
        <f>Table1[[#This Row],[Final_Unit_Price]]*Table1[[#This Row],[Quantity]]</f>
        <v>1594.5119999999999</v>
      </c>
      <c r="M91" s="59">
        <v>558.08000000000004</v>
      </c>
      <c r="N91" s="42">
        <v>45855</v>
      </c>
      <c r="O91" s="20" t="str">
        <f>TEXT(Table1[[#This Row],[Order_Date]],"mmm")</f>
        <v>Jul</v>
      </c>
      <c r="P91" s="20">
        <f t="shared" si="2"/>
        <v>2025</v>
      </c>
      <c r="Q91" s="46">
        <v>45862</v>
      </c>
      <c r="R91" s="20">
        <f>'Cleaned Data'!$Q91-'Cleaned Data'!$N91</f>
        <v>7</v>
      </c>
      <c r="S91" s="19" t="str">
        <f t="shared" si="3"/>
        <v>Monsoon</v>
      </c>
    </row>
    <row r="92" spans="1:19" x14ac:dyDescent="0.3">
      <c r="A92" s="13" t="s">
        <v>269</v>
      </c>
      <c r="B92" s="13" t="s">
        <v>25</v>
      </c>
      <c r="C92" s="5" t="s">
        <v>34</v>
      </c>
      <c r="D92" s="5" t="s">
        <v>55</v>
      </c>
      <c r="E92" s="5" t="s">
        <v>58</v>
      </c>
      <c r="F92" s="5" t="s">
        <v>63</v>
      </c>
      <c r="G92" s="5" t="s">
        <v>75</v>
      </c>
      <c r="H92" s="38">
        <v>779.92</v>
      </c>
      <c r="I92" s="14">
        <v>0.3</v>
      </c>
      <c r="J92" s="38">
        <v>545.94399999999996</v>
      </c>
      <c r="K92" s="5">
        <v>2</v>
      </c>
      <c r="L92" s="62">
        <f>Table1[[#This Row],[Final_Unit_Price]]*Table1[[#This Row],[Quantity]]</f>
        <v>1091.8879999999999</v>
      </c>
      <c r="M92" s="60">
        <v>272.97000000000003</v>
      </c>
      <c r="N92" s="43">
        <v>45475</v>
      </c>
      <c r="O92" s="18" t="str">
        <f>TEXT(Table1[[#This Row],[Order_Date]],"mmm")</f>
        <v>Jul</v>
      </c>
      <c r="P92" s="18">
        <f t="shared" si="2"/>
        <v>2024</v>
      </c>
      <c r="Q92" s="45">
        <v>45482</v>
      </c>
      <c r="R92" s="19">
        <f>'Cleaned Data'!$Q92-'Cleaned Data'!$N92</f>
        <v>7</v>
      </c>
      <c r="S92" s="19" t="str">
        <f t="shared" si="3"/>
        <v>Monsoon</v>
      </c>
    </row>
    <row r="93" spans="1:19" x14ac:dyDescent="0.3">
      <c r="A93" s="11" t="s">
        <v>270</v>
      </c>
      <c r="B93" s="11" t="s">
        <v>30</v>
      </c>
      <c r="C93" s="3" t="s">
        <v>33</v>
      </c>
      <c r="D93" s="3" t="s">
        <v>39</v>
      </c>
      <c r="E93" s="3" t="s">
        <v>58</v>
      </c>
      <c r="F93" s="3" t="s">
        <v>63</v>
      </c>
      <c r="G93" s="3" t="s">
        <v>75</v>
      </c>
      <c r="H93" s="37">
        <v>13857.92</v>
      </c>
      <c r="I93" s="12">
        <v>0.1</v>
      </c>
      <c r="J93" s="37">
        <v>12472.128000000001</v>
      </c>
      <c r="K93" s="3">
        <v>5</v>
      </c>
      <c r="L93" s="61">
        <f>Table1[[#This Row],[Final_Unit_Price]]*Table1[[#This Row],[Quantity]]</f>
        <v>62360.639999999999</v>
      </c>
      <c r="M93" s="59">
        <v>15590.16</v>
      </c>
      <c r="N93" s="42">
        <v>45477</v>
      </c>
      <c r="O93" s="20" t="str">
        <f>TEXT(Table1[[#This Row],[Order_Date]],"mmm")</f>
        <v>Jul</v>
      </c>
      <c r="P93" s="20">
        <f t="shared" si="2"/>
        <v>2024</v>
      </c>
      <c r="Q93" s="46">
        <v>45483</v>
      </c>
      <c r="R93" s="20">
        <f>'Cleaned Data'!$Q93-'Cleaned Data'!$N93</f>
        <v>6</v>
      </c>
      <c r="S93" s="19" t="str">
        <f t="shared" si="3"/>
        <v>Monsoon</v>
      </c>
    </row>
    <row r="94" spans="1:19" x14ac:dyDescent="0.3">
      <c r="A94" s="13" t="s">
        <v>271</v>
      </c>
      <c r="B94" s="13" t="s">
        <v>30</v>
      </c>
      <c r="C94" s="5" t="s">
        <v>33</v>
      </c>
      <c r="D94" s="5" t="s">
        <v>38</v>
      </c>
      <c r="E94" s="5" t="s">
        <v>59</v>
      </c>
      <c r="F94" s="5" t="s">
        <v>61</v>
      </c>
      <c r="G94" s="5" t="s">
        <v>71</v>
      </c>
      <c r="H94" s="38">
        <v>17036.240000000002</v>
      </c>
      <c r="I94" s="14">
        <v>0.05</v>
      </c>
      <c r="J94" s="38">
        <v>16184.428</v>
      </c>
      <c r="K94" s="5">
        <v>4</v>
      </c>
      <c r="L94" s="62">
        <f>Table1[[#This Row],[Final_Unit_Price]]*Table1[[#This Row],[Quantity]]</f>
        <v>64737.712</v>
      </c>
      <c r="M94" s="60">
        <v>22658.2</v>
      </c>
      <c r="N94" s="43">
        <v>45772</v>
      </c>
      <c r="O94" s="18" t="str">
        <f>TEXT(Table1[[#This Row],[Order_Date]],"mmm")</f>
        <v>Apr</v>
      </c>
      <c r="P94" s="18">
        <f t="shared" si="2"/>
        <v>2025</v>
      </c>
      <c r="Q94" s="45">
        <v>45775</v>
      </c>
      <c r="R94" s="19">
        <f>'Cleaned Data'!$Q94-'Cleaned Data'!$N94</f>
        <v>3</v>
      </c>
      <c r="S94" s="19" t="str">
        <f t="shared" si="3"/>
        <v>Summer</v>
      </c>
    </row>
    <row r="95" spans="1:19" x14ac:dyDescent="0.3">
      <c r="A95" s="11" t="s">
        <v>272</v>
      </c>
      <c r="B95" s="11" t="s">
        <v>22</v>
      </c>
      <c r="C95" s="3" t="s">
        <v>31</v>
      </c>
      <c r="D95" s="3" t="s">
        <v>42</v>
      </c>
      <c r="E95" s="3" t="s">
        <v>60</v>
      </c>
      <c r="F95" s="3" t="s">
        <v>63</v>
      </c>
      <c r="G95" s="3" t="s">
        <v>68</v>
      </c>
      <c r="H95" s="37">
        <v>2710.11</v>
      </c>
      <c r="I95" s="12">
        <v>0.3</v>
      </c>
      <c r="J95" s="37">
        <v>1897.077</v>
      </c>
      <c r="K95" s="3">
        <v>2</v>
      </c>
      <c r="L95" s="61">
        <f>Table1[[#This Row],[Final_Unit_Price]]*Table1[[#This Row],[Quantity]]</f>
        <v>3794.154</v>
      </c>
      <c r="M95" s="59">
        <v>569.12</v>
      </c>
      <c r="N95" s="42">
        <v>45434</v>
      </c>
      <c r="O95" s="20" t="str">
        <f>TEXT(Table1[[#This Row],[Order_Date]],"mmm")</f>
        <v>May</v>
      </c>
      <c r="P95" s="20">
        <f t="shared" si="2"/>
        <v>2024</v>
      </c>
      <c r="Q95" s="46">
        <v>45443</v>
      </c>
      <c r="R95" s="20">
        <f>'Cleaned Data'!$Q95-'Cleaned Data'!$N95</f>
        <v>9</v>
      </c>
      <c r="S95" s="19" t="str">
        <f t="shared" si="3"/>
        <v>Summer</v>
      </c>
    </row>
    <row r="96" spans="1:19" x14ac:dyDescent="0.3">
      <c r="A96" s="13" t="s">
        <v>273</v>
      </c>
      <c r="B96" s="13" t="s">
        <v>25</v>
      </c>
      <c r="C96" s="5" t="s">
        <v>34</v>
      </c>
      <c r="D96" s="5" t="s">
        <v>52</v>
      </c>
      <c r="E96" s="5" t="s">
        <v>60</v>
      </c>
      <c r="F96" s="5" t="s">
        <v>61</v>
      </c>
      <c r="G96" s="5" t="s">
        <v>70</v>
      </c>
      <c r="H96" s="38">
        <v>690.92</v>
      </c>
      <c r="I96" s="14">
        <v>0.25</v>
      </c>
      <c r="J96" s="38">
        <v>518.18999999999994</v>
      </c>
      <c r="K96" s="5">
        <v>4</v>
      </c>
      <c r="L96" s="62">
        <f>Table1[[#This Row],[Final_Unit_Price]]*Table1[[#This Row],[Quantity]]</f>
        <v>2072.7599999999998</v>
      </c>
      <c r="M96" s="60">
        <v>310.91000000000003</v>
      </c>
      <c r="N96" s="43">
        <v>45412</v>
      </c>
      <c r="O96" s="18" t="str">
        <f>TEXT(Table1[[#This Row],[Order_Date]],"mmm")</f>
        <v>Apr</v>
      </c>
      <c r="P96" s="18">
        <f t="shared" si="2"/>
        <v>2024</v>
      </c>
      <c r="Q96" s="45">
        <v>45419</v>
      </c>
      <c r="R96" s="19">
        <f>'Cleaned Data'!$Q96-'Cleaned Data'!$N96</f>
        <v>7</v>
      </c>
      <c r="S96" s="19" t="str">
        <f t="shared" si="3"/>
        <v>Summer</v>
      </c>
    </row>
    <row r="97" spans="1:19" x14ac:dyDescent="0.3">
      <c r="A97" s="11" t="s">
        <v>274</v>
      </c>
      <c r="B97" s="11" t="s">
        <v>22</v>
      </c>
      <c r="C97" s="3" t="s">
        <v>31</v>
      </c>
      <c r="D97" s="3" t="s">
        <v>36</v>
      </c>
      <c r="E97" s="3" t="s">
        <v>58</v>
      </c>
      <c r="F97" s="3" t="s">
        <v>61</v>
      </c>
      <c r="G97" s="3" t="s">
        <v>70</v>
      </c>
      <c r="H97" s="37">
        <v>3295.92</v>
      </c>
      <c r="I97" s="12">
        <v>0.3</v>
      </c>
      <c r="J97" s="37">
        <v>2307.1439999999998</v>
      </c>
      <c r="K97" s="3">
        <v>3</v>
      </c>
      <c r="L97" s="61">
        <f>Table1[[#This Row],[Final_Unit_Price]]*Table1[[#This Row],[Quantity]]</f>
        <v>6921.4319999999989</v>
      </c>
      <c r="M97" s="59">
        <v>1730.36</v>
      </c>
      <c r="N97" s="42">
        <v>45349</v>
      </c>
      <c r="O97" s="20" t="str">
        <f>TEXT(Table1[[#This Row],[Order_Date]],"mmm")</f>
        <v>Feb</v>
      </c>
      <c r="P97" s="20">
        <f t="shared" si="2"/>
        <v>2024</v>
      </c>
      <c r="Q97" s="46">
        <v>45352</v>
      </c>
      <c r="R97" s="20">
        <f>'Cleaned Data'!$Q97-'Cleaned Data'!$N97</f>
        <v>3</v>
      </c>
      <c r="S97" s="19" t="str">
        <f t="shared" si="3"/>
        <v>Summer</v>
      </c>
    </row>
    <row r="98" spans="1:19" x14ac:dyDescent="0.3">
      <c r="A98" s="13" t="s">
        <v>275</v>
      </c>
      <c r="B98" s="13" t="s">
        <v>23</v>
      </c>
      <c r="C98" s="5" t="s">
        <v>35</v>
      </c>
      <c r="D98" s="5" t="s">
        <v>48</v>
      </c>
      <c r="E98" s="5" t="s">
        <v>58</v>
      </c>
      <c r="F98" s="5" t="s">
        <v>61</v>
      </c>
      <c r="G98" s="5" t="s">
        <v>65</v>
      </c>
      <c r="H98" s="38">
        <v>24026.25</v>
      </c>
      <c r="I98" s="14">
        <v>0.2</v>
      </c>
      <c r="J98" s="38">
        <v>19221</v>
      </c>
      <c r="K98" s="5">
        <v>4</v>
      </c>
      <c r="L98" s="62">
        <f>Table1[[#This Row],[Final_Unit_Price]]*Table1[[#This Row],[Quantity]]</f>
        <v>76884</v>
      </c>
      <c r="M98" s="60">
        <v>19221</v>
      </c>
      <c r="N98" s="43">
        <v>45471</v>
      </c>
      <c r="O98" s="18" t="str">
        <f>TEXT(Table1[[#This Row],[Order_Date]],"mmm")</f>
        <v>Jun</v>
      </c>
      <c r="P98" s="18">
        <f t="shared" si="2"/>
        <v>2024</v>
      </c>
      <c r="Q98" s="45">
        <v>45476</v>
      </c>
      <c r="R98" s="19">
        <f>'Cleaned Data'!$Q98-'Cleaned Data'!$N98</f>
        <v>5</v>
      </c>
      <c r="S98" s="19" t="str">
        <f t="shared" si="3"/>
        <v>Monsoon</v>
      </c>
    </row>
    <row r="99" spans="1:19" x14ac:dyDescent="0.3">
      <c r="A99" s="11" t="s">
        <v>276</v>
      </c>
      <c r="B99" s="11" t="s">
        <v>30</v>
      </c>
      <c r="C99" s="3" t="s">
        <v>33</v>
      </c>
      <c r="D99" s="3" t="s">
        <v>38</v>
      </c>
      <c r="E99" s="3" t="s">
        <v>59</v>
      </c>
      <c r="F99" s="3" t="s">
        <v>61</v>
      </c>
      <c r="G99" s="3" t="s">
        <v>71</v>
      </c>
      <c r="H99" s="37">
        <v>18094.669999999998</v>
      </c>
      <c r="I99" s="12">
        <v>0.25</v>
      </c>
      <c r="J99" s="37">
        <v>13571.002500000001</v>
      </c>
      <c r="K99" s="3">
        <v>1</v>
      </c>
      <c r="L99" s="61">
        <f>Table1[[#This Row],[Final_Unit_Price]]*Table1[[#This Row],[Quantity]]</f>
        <v>13571.002500000001</v>
      </c>
      <c r="M99" s="59">
        <v>4749.8500000000004</v>
      </c>
      <c r="N99" s="42">
        <v>45861</v>
      </c>
      <c r="O99" s="20" t="str">
        <f>TEXT(Table1[[#This Row],[Order_Date]],"mmm")</f>
        <v>Jul</v>
      </c>
      <c r="P99" s="20">
        <f t="shared" si="2"/>
        <v>2025</v>
      </c>
      <c r="Q99" s="46">
        <v>45867</v>
      </c>
      <c r="R99" s="20">
        <f>'Cleaned Data'!$Q99-'Cleaned Data'!$N99</f>
        <v>6</v>
      </c>
      <c r="S99" s="19" t="str">
        <f t="shared" si="3"/>
        <v>Monsoon</v>
      </c>
    </row>
    <row r="100" spans="1:19" x14ac:dyDescent="0.3">
      <c r="A100" s="13" t="s">
        <v>277</v>
      </c>
      <c r="B100" s="13" t="s">
        <v>26</v>
      </c>
      <c r="C100" s="5" t="s">
        <v>32</v>
      </c>
      <c r="D100" s="5" t="s">
        <v>54</v>
      </c>
      <c r="E100" s="5" t="s">
        <v>60</v>
      </c>
      <c r="F100" s="5" t="s">
        <v>62</v>
      </c>
      <c r="G100" s="5" t="s">
        <v>67</v>
      </c>
      <c r="H100" s="38">
        <v>31619.33</v>
      </c>
      <c r="I100" s="14">
        <v>0.25</v>
      </c>
      <c r="J100" s="38">
        <v>23714.497500000001</v>
      </c>
      <c r="K100" s="5">
        <v>4</v>
      </c>
      <c r="L100" s="62">
        <f>Table1[[#This Row],[Final_Unit_Price]]*Table1[[#This Row],[Quantity]]</f>
        <v>94857.99</v>
      </c>
      <c r="M100" s="60">
        <v>14228.7</v>
      </c>
      <c r="N100" s="43">
        <v>45688</v>
      </c>
      <c r="O100" s="18" t="str">
        <f>TEXT(Table1[[#This Row],[Order_Date]],"mmm")</f>
        <v>Jan</v>
      </c>
      <c r="P100" s="18">
        <f t="shared" si="2"/>
        <v>2025</v>
      </c>
      <c r="Q100" s="45">
        <v>45692</v>
      </c>
      <c r="R100" s="19">
        <f>'Cleaned Data'!$Q100-'Cleaned Data'!$N100</f>
        <v>4</v>
      </c>
      <c r="S100" s="19" t="str">
        <f t="shared" si="3"/>
        <v>Winter</v>
      </c>
    </row>
    <row r="101" spans="1:19" x14ac:dyDescent="0.3">
      <c r="A101" s="11" t="s">
        <v>278</v>
      </c>
      <c r="B101" s="11" t="s">
        <v>17</v>
      </c>
      <c r="C101" s="3" t="s">
        <v>32</v>
      </c>
      <c r="D101" s="3" t="s">
        <v>43</v>
      </c>
      <c r="E101" s="3" t="s">
        <v>58</v>
      </c>
      <c r="F101" s="3" t="s">
        <v>64</v>
      </c>
      <c r="G101" s="3" t="s">
        <v>76</v>
      </c>
      <c r="H101" s="37">
        <v>8655.0499999999993</v>
      </c>
      <c r="I101" s="12">
        <v>0</v>
      </c>
      <c r="J101" s="37">
        <v>8655.0499999999993</v>
      </c>
      <c r="K101" s="3">
        <v>4</v>
      </c>
      <c r="L101" s="61">
        <f>Table1[[#This Row],[Final_Unit_Price]]*Table1[[#This Row],[Quantity]]</f>
        <v>34620.199999999997</v>
      </c>
      <c r="M101" s="59">
        <v>8655.0499999999993</v>
      </c>
      <c r="N101" s="42">
        <v>45359</v>
      </c>
      <c r="O101" s="20" t="str">
        <f>TEXT(Table1[[#This Row],[Order_Date]],"mmm")</f>
        <v>Mar</v>
      </c>
      <c r="P101" s="20">
        <f t="shared" si="2"/>
        <v>2024</v>
      </c>
      <c r="Q101" s="46">
        <v>45365</v>
      </c>
      <c r="R101" s="20">
        <f>'Cleaned Data'!$Q101-'Cleaned Data'!$N101</f>
        <v>6</v>
      </c>
      <c r="S101" s="19" t="str">
        <f t="shared" si="3"/>
        <v>Summer</v>
      </c>
    </row>
    <row r="102" spans="1:19" x14ac:dyDescent="0.3">
      <c r="A102" s="13" t="s">
        <v>279</v>
      </c>
      <c r="B102" s="13" t="s">
        <v>25</v>
      </c>
      <c r="C102" s="5" t="s">
        <v>34</v>
      </c>
      <c r="D102" s="5" t="s">
        <v>49</v>
      </c>
      <c r="E102" s="5" t="s">
        <v>59</v>
      </c>
      <c r="F102" s="5" t="s">
        <v>62</v>
      </c>
      <c r="G102" s="5" t="s">
        <v>66</v>
      </c>
      <c r="H102" s="38">
        <v>962.8</v>
      </c>
      <c r="I102" s="14">
        <v>0.2</v>
      </c>
      <c r="J102" s="38">
        <v>770.24</v>
      </c>
      <c r="K102" s="5">
        <v>5</v>
      </c>
      <c r="L102" s="62">
        <f>Table1[[#This Row],[Final_Unit_Price]]*Table1[[#This Row],[Quantity]]</f>
        <v>3851.2</v>
      </c>
      <c r="M102" s="60">
        <v>1347.92</v>
      </c>
      <c r="N102" s="43">
        <v>45561</v>
      </c>
      <c r="O102" s="18" t="str">
        <f>TEXT(Table1[[#This Row],[Order_Date]],"mmm")</f>
        <v>Sep</v>
      </c>
      <c r="P102" s="18">
        <f t="shared" si="2"/>
        <v>2024</v>
      </c>
      <c r="Q102" s="45">
        <v>45566</v>
      </c>
      <c r="R102" s="19">
        <f>'Cleaned Data'!$Q102-'Cleaned Data'!$N102</f>
        <v>5</v>
      </c>
      <c r="S102" s="19" t="str">
        <f t="shared" si="3"/>
        <v>Monsoon</v>
      </c>
    </row>
    <row r="103" spans="1:19" x14ac:dyDescent="0.3">
      <c r="A103" s="11" t="s">
        <v>280</v>
      </c>
      <c r="B103" s="11" t="s">
        <v>22</v>
      </c>
      <c r="C103" s="3" t="s">
        <v>31</v>
      </c>
      <c r="D103" s="3" t="s">
        <v>42</v>
      </c>
      <c r="E103" s="3" t="s">
        <v>60</v>
      </c>
      <c r="F103" s="3" t="s">
        <v>64</v>
      </c>
      <c r="G103" s="3" t="s">
        <v>74</v>
      </c>
      <c r="H103" s="37">
        <v>3284.7</v>
      </c>
      <c r="I103" s="12">
        <v>0.25</v>
      </c>
      <c r="J103" s="37">
        <v>2463.5250000000001</v>
      </c>
      <c r="K103" s="3">
        <v>2</v>
      </c>
      <c r="L103" s="61">
        <f>Table1[[#This Row],[Final_Unit_Price]]*Table1[[#This Row],[Quantity]]</f>
        <v>4927.05</v>
      </c>
      <c r="M103" s="59">
        <v>739.06</v>
      </c>
      <c r="N103" s="42">
        <v>45775</v>
      </c>
      <c r="O103" s="20" t="str">
        <f>TEXT(Table1[[#This Row],[Order_Date]],"mmm")</f>
        <v>Apr</v>
      </c>
      <c r="P103" s="20">
        <f t="shared" si="2"/>
        <v>2025</v>
      </c>
      <c r="Q103" s="46">
        <v>45783</v>
      </c>
      <c r="R103" s="20">
        <f>'Cleaned Data'!$Q103-'Cleaned Data'!$N103</f>
        <v>8</v>
      </c>
      <c r="S103" s="19" t="str">
        <f t="shared" si="3"/>
        <v>Summer</v>
      </c>
    </row>
    <row r="104" spans="1:19" x14ac:dyDescent="0.3">
      <c r="A104" s="13" t="s">
        <v>281</v>
      </c>
      <c r="B104" s="13" t="s">
        <v>26</v>
      </c>
      <c r="C104" s="5" t="s">
        <v>32</v>
      </c>
      <c r="D104" s="5" t="s">
        <v>40</v>
      </c>
      <c r="E104" s="5" t="s">
        <v>59</v>
      </c>
      <c r="F104" s="5" t="s">
        <v>62</v>
      </c>
      <c r="G104" s="5" t="s">
        <v>66</v>
      </c>
      <c r="H104" s="38">
        <v>44532.26</v>
      </c>
      <c r="I104" s="14">
        <v>0</v>
      </c>
      <c r="J104" s="38">
        <v>44532.26</v>
      </c>
      <c r="K104" s="5">
        <v>5</v>
      </c>
      <c r="L104" s="62">
        <f>Table1[[#This Row],[Final_Unit_Price]]*Table1[[#This Row],[Quantity]]</f>
        <v>222661.30000000002</v>
      </c>
      <c r="M104" s="60">
        <v>77931.45</v>
      </c>
      <c r="N104" s="43">
        <v>45522</v>
      </c>
      <c r="O104" s="18" t="str">
        <f>TEXT(Table1[[#This Row],[Order_Date]],"mmm")</f>
        <v>Aug</v>
      </c>
      <c r="P104" s="18">
        <f t="shared" si="2"/>
        <v>2024</v>
      </c>
      <c r="Q104" s="45">
        <v>45530</v>
      </c>
      <c r="R104" s="19">
        <f>'Cleaned Data'!$Q104-'Cleaned Data'!$N104</f>
        <v>8</v>
      </c>
      <c r="S104" s="19" t="str">
        <f t="shared" si="3"/>
        <v>Monsoon</v>
      </c>
    </row>
    <row r="105" spans="1:19" x14ac:dyDescent="0.3">
      <c r="A105" s="11" t="s">
        <v>282</v>
      </c>
      <c r="B105" s="11" t="s">
        <v>23</v>
      </c>
      <c r="C105" s="3" t="s">
        <v>35</v>
      </c>
      <c r="D105" s="3" t="s">
        <v>38</v>
      </c>
      <c r="E105" s="3" t="s">
        <v>59</v>
      </c>
      <c r="F105" s="3" t="s">
        <v>63</v>
      </c>
      <c r="G105" s="3" t="s">
        <v>75</v>
      </c>
      <c r="H105" s="37">
        <v>29464.09</v>
      </c>
      <c r="I105" s="12">
        <v>0.1</v>
      </c>
      <c r="J105" s="37">
        <v>26517.681</v>
      </c>
      <c r="K105" s="3">
        <v>1</v>
      </c>
      <c r="L105" s="61">
        <f>Table1[[#This Row],[Final_Unit_Price]]*Table1[[#This Row],[Quantity]]</f>
        <v>26517.681</v>
      </c>
      <c r="M105" s="59">
        <v>9281.19</v>
      </c>
      <c r="N105" s="42">
        <v>45360</v>
      </c>
      <c r="O105" s="20" t="str">
        <f>TEXT(Table1[[#This Row],[Order_Date]],"mmm")</f>
        <v>Mar</v>
      </c>
      <c r="P105" s="20">
        <f t="shared" si="2"/>
        <v>2024</v>
      </c>
      <c r="Q105" s="46">
        <v>45369</v>
      </c>
      <c r="R105" s="20">
        <f>'Cleaned Data'!$Q105-'Cleaned Data'!$N105</f>
        <v>9</v>
      </c>
      <c r="S105" s="19" t="str">
        <f t="shared" si="3"/>
        <v>Summer</v>
      </c>
    </row>
    <row r="106" spans="1:19" x14ac:dyDescent="0.3">
      <c r="A106" s="13" t="s">
        <v>283</v>
      </c>
      <c r="B106" s="13" t="s">
        <v>17</v>
      </c>
      <c r="C106" s="5" t="s">
        <v>32</v>
      </c>
      <c r="D106" s="5" t="s">
        <v>43</v>
      </c>
      <c r="E106" s="5" t="s">
        <v>58</v>
      </c>
      <c r="F106" s="5" t="s">
        <v>63</v>
      </c>
      <c r="G106" s="5" t="s">
        <v>75</v>
      </c>
      <c r="H106" s="38">
        <v>7582.32</v>
      </c>
      <c r="I106" s="14">
        <v>0.2</v>
      </c>
      <c r="J106" s="38">
        <v>6065.8559999999998</v>
      </c>
      <c r="K106" s="5">
        <v>3</v>
      </c>
      <c r="L106" s="62">
        <f>Table1[[#This Row],[Final_Unit_Price]]*Table1[[#This Row],[Quantity]]</f>
        <v>18197.567999999999</v>
      </c>
      <c r="M106" s="60">
        <v>4549.3900000000003</v>
      </c>
      <c r="N106" s="43">
        <v>45398</v>
      </c>
      <c r="O106" s="18" t="str">
        <f>TEXT(Table1[[#This Row],[Order_Date]],"mmm")</f>
        <v>Apr</v>
      </c>
      <c r="P106" s="18">
        <f t="shared" si="2"/>
        <v>2024</v>
      </c>
      <c r="Q106" s="45">
        <v>45402</v>
      </c>
      <c r="R106" s="19">
        <f>'Cleaned Data'!$Q106-'Cleaned Data'!$N106</f>
        <v>4</v>
      </c>
      <c r="S106" s="19" t="str">
        <f t="shared" si="3"/>
        <v>Summer</v>
      </c>
    </row>
    <row r="107" spans="1:19" x14ac:dyDescent="0.3">
      <c r="A107" s="11" t="s">
        <v>284</v>
      </c>
      <c r="B107" s="11" t="s">
        <v>24</v>
      </c>
      <c r="C107" s="3" t="s">
        <v>32</v>
      </c>
      <c r="D107" s="3" t="s">
        <v>37</v>
      </c>
      <c r="E107" s="3" t="s">
        <v>59</v>
      </c>
      <c r="F107" s="3" t="s">
        <v>62</v>
      </c>
      <c r="G107" s="3" t="s">
        <v>69</v>
      </c>
      <c r="H107" s="37">
        <v>32436.84</v>
      </c>
      <c r="I107" s="12">
        <v>0</v>
      </c>
      <c r="J107" s="37">
        <v>32436.84</v>
      </c>
      <c r="K107" s="3">
        <v>4</v>
      </c>
      <c r="L107" s="61">
        <f>Table1[[#This Row],[Final_Unit_Price]]*Table1[[#This Row],[Quantity]]</f>
        <v>129747.36</v>
      </c>
      <c r="M107" s="59">
        <v>45411.58</v>
      </c>
      <c r="N107" s="42">
        <v>45426</v>
      </c>
      <c r="O107" s="20" t="str">
        <f>TEXT(Table1[[#This Row],[Order_Date]],"mmm")</f>
        <v>May</v>
      </c>
      <c r="P107" s="20">
        <f t="shared" si="2"/>
        <v>2024</v>
      </c>
      <c r="Q107" s="46">
        <v>45436</v>
      </c>
      <c r="R107" s="20">
        <f>'Cleaned Data'!$Q107-'Cleaned Data'!$N107</f>
        <v>10</v>
      </c>
      <c r="S107" s="19" t="str">
        <f t="shared" si="3"/>
        <v>Summer</v>
      </c>
    </row>
    <row r="108" spans="1:19" x14ac:dyDescent="0.3">
      <c r="A108" s="13" t="s">
        <v>285</v>
      </c>
      <c r="B108" s="13" t="s">
        <v>23</v>
      </c>
      <c r="C108" s="5" t="s">
        <v>35</v>
      </c>
      <c r="D108" s="5" t="s">
        <v>46</v>
      </c>
      <c r="E108" s="5" t="s">
        <v>59</v>
      </c>
      <c r="F108" s="5" t="s">
        <v>61</v>
      </c>
      <c r="G108" s="5" t="s">
        <v>71</v>
      </c>
      <c r="H108" s="38">
        <v>28531.94</v>
      </c>
      <c r="I108" s="14">
        <v>0.05</v>
      </c>
      <c r="J108" s="38">
        <v>27105.343000000001</v>
      </c>
      <c r="K108" s="5">
        <v>2</v>
      </c>
      <c r="L108" s="62">
        <f>Table1[[#This Row],[Final_Unit_Price]]*Table1[[#This Row],[Quantity]]</f>
        <v>54210.686000000002</v>
      </c>
      <c r="M108" s="60">
        <v>18973.740000000002</v>
      </c>
      <c r="N108" s="43">
        <v>45838</v>
      </c>
      <c r="O108" s="18" t="str">
        <f>TEXT(Table1[[#This Row],[Order_Date]],"mmm")</f>
        <v>Jun</v>
      </c>
      <c r="P108" s="18">
        <f t="shared" si="2"/>
        <v>2025</v>
      </c>
      <c r="Q108" s="45">
        <v>45841</v>
      </c>
      <c r="R108" s="19">
        <f>'Cleaned Data'!$Q108-'Cleaned Data'!$N108</f>
        <v>3</v>
      </c>
      <c r="S108" s="19" t="str">
        <f t="shared" si="3"/>
        <v>Monsoon</v>
      </c>
    </row>
    <row r="109" spans="1:19" x14ac:dyDescent="0.3">
      <c r="A109" s="11" t="s">
        <v>286</v>
      </c>
      <c r="B109" s="11" t="s">
        <v>25</v>
      </c>
      <c r="C109" s="3" t="s">
        <v>34</v>
      </c>
      <c r="D109" s="3" t="s">
        <v>51</v>
      </c>
      <c r="E109" s="3" t="s">
        <v>59</v>
      </c>
      <c r="F109" s="3" t="s">
        <v>64</v>
      </c>
      <c r="G109" s="3" t="s">
        <v>76</v>
      </c>
      <c r="H109" s="37">
        <v>1081.56</v>
      </c>
      <c r="I109" s="12">
        <v>0.3</v>
      </c>
      <c r="J109" s="37">
        <v>757.09199999999987</v>
      </c>
      <c r="K109" s="3">
        <v>3</v>
      </c>
      <c r="L109" s="61">
        <f>Table1[[#This Row],[Final_Unit_Price]]*Table1[[#This Row],[Quantity]]</f>
        <v>2271.2759999999998</v>
      </c>
      <c r="M109" s="59">
        <v>794.95</v>
      </c>
      <c r="N109" s="42">
        <v>45524</v>
      </c>
      <c r="O109" s="20" t="str">
        <f>TEXT(Table1[[#This Row],[Order_Date]],"mmm")</f>
        <v>Aug</v>
      </c>
      <c r="P109" s="20">
        <f t="shared" si="2"/>
        <v>2024</v>
      </c>
      <c r="Q109" s="46">
        <v>45527</v>
      </c>
      <c r="R109" s="20">
        <f>'Cleaned Data'!$Q109-'Cleaned Data'!$N109</f>
        <v>3</v>
      </c>
      <c r="S109" s="19" t="str">
        <f t="shared" si="3"/>
        <v>Monsoon</v>
      </c>
    </row>
    <row r="110" spans="1:19" x14ac:dyDescent="0.3">
      <c r="A110" s="13" t="s">
        <v>287</v>
      </c>
      <c r="B110" s="13" t="s">
        <v>20</v>
      </c>
      <c r="C110" s="5" t="s">
        <v>32</v>
      </c>
      <c r="D110" s="5" t="s">
        <v>43</v>
      </c>
      <c r="E110" s="5" t="s">
        <v>58</v>
      </c>
      <c r="F110" s="5" t="s">
        <v>62</v>
      </c>
      <c r="G110" s="5" t="s">
        <v>66</v>
      </c>
      <c r="H110" s="38">
        <v>29854.53</v>
      </c>
      <c r="I110" s="14">
        <v>0.1</v>
      </c>
      <c r="J110" s="38">
        <v>26869.077000000001</v>
      </c>
      <c r="K110" s="5">
        <v>2</v>
      </c>
      <c r="L110" s="62">
        <f>Table1[[#This Row],[Final_Unit_Price]]*Table1[[#This Row],[Quantity]]</f>
        <v>53738.154000000002</v>
      </c>
      <c r="M110" s="60">
        <v>13434.54</v>
      </c>
      <c r="N110" s="43">
        <v>45794</v>
      </c>
      <c r="O110" s="18" t="str">
        <f>TEXT(Table1[[#This Row],[Order_Date]],"mmm")</f>
        <v>May</v>
      </c>
      <c r="P110" s="18">
        <f t="shared" si="2"/>
        <v>2025</v>
      </c>
      <c r="Q110" s="45">
        <v>45797</v>
      </c>
      <c r="R110" s="19">
        <f>'Cleaned Data'!$Q110-'Cleaned Data'!$N110</f>
        <v>3</v>
      </c>
      <c r="S110" s="19" t="str">
        <f t="shared" si="3"/>
        <v>Summer</v>
      </c>
    </row>
    <row r="111" spans="1:19" x14ac:dyDescent="0.3">
      <c r="A111" s="11" t="s">
        <v>288</v>
      </c>
      <c r="B111" s="11" t="s">
        <v>19</v>
      </c>
      <c r="C111" s="3" t="s">
        <v>33</v>
      </c>
      <c r="D111" s="3" t="s">
        <v>56</v>
      </c>
      <c r="E111" s="3" t="s">
        <v>60</v>
      </c>
      <c r="F111" s="3" t="s">
        <v>64</v>
      </c>
      <c r="G111" s="3" t="s">
        <v>74</v>
      </c>
      <c r="H111" s="37">
        <v>1811.41</v>
      </c>
      <c r="I111" s="12">
        <v>0.05</v>
      </c>
      <c r="J111" s="37">
        <v>1720.8395</v>
      </c>
      <c r="K111" s="3">
        <v>1</v>
      </c>
      <c r="L111" s="61">
        <f>Table1[[#This Row],[Final_Unit_Price]]*Table1[[#This Row],[Quantity]]</f>
        <v>1720.8395</v>
      </c>
      <c r="M111" s="59">
        <v>258.13</v>
      </c>
      <c r="N111" s="42">
        <v>45493</v>
      </c>
      <c r="O111" s="20" t="str">
        <f>TEXT(Table1[[#This Row],[Order_Date]],"mmm")</f>
        <v>Jul</v>
      </c>
      <c r="P111" s="20">
        <f t="shared" si="2"/>
        <v>2024</v>
      </c>
      <c r="Q111" s="46">
        <v>45496</v>
      </c>
      <c r="R111" s="20">
        <f>'Cleaned Data'!$Q111-'Cleaned Data'!$N111</f>
        <v>3</v>
      </c>
      <c r="S111" s="19" t="str">
        <f t="shared" si="3"/>
        <v>Monsoon</v>
      </c>
    </row>
    <row r="112" spans="1:19" x14ac:dyDescent="0.3">
      <c r="A112" s="13" t="s">
        <v>289</v>
      </c>
      <c r="B112" s="13" t="s">
        <v>17</v>
      </c>
      <c r="C112" s="5" t="s">
        <v>32</v>
      </c>
      <c r="D112" s="5" t="s">
        <v>40</v>
      </c>
      <c r="E112" s="5" t="s">
        <v>59</v>
      </c>
      <c r="F112" s="5" t="s">
        <v>62</v>
      </c>
      <c r="G112" s="5" t="s">
        <v>66</v>
      </c>
      <c r="H112" s="38">
        <v>10115.73</v>
      </c>
      <c r="I112" s="14">
        <v>0.3</v>
      </c>
      <c r="J112" s="38">
        <v>7081.0110000000004</v>
      </c>
      <c r="K112" s="5">
        <v>3</v>
      </c>
      <c r="L112" s="62">
        <f>Table1[[#This Row],[Final_Unit_Price]]*Table1[[#This Row],[Quantity]]</f>
        <v>21243.033000000003</v>
      </c>
      <c r="M112" s="60">
        <v>7435.06</v>
      </c>
      <c r="N112" s="43">
        <v>45554</v>
      </c>
      <c r="O112" s="18" t="str">
        <f>TEXT(Table1[[#This Row],[Order_Date]],"mmm")</f>
        <v>Sep</v>
      </c>
      <c r="P112" s="18">
        <f t="shared" si="2"/>
        <v>2024</v>
      </c>
      <c r="Q112" s="45">
        <v>45564</v>
      </c>
      <c r="R112" s="19">
        <f>'Cleaned Data'!$Q112-'Cleaned Data'!$N112</f>
        <v>10</v>
      </c>
      <c r="S112" s="19" t="str">
        <f t="shared" si="3"/>
        <v>Monsoon</v>
      </c>
    </row>
    <row r="113" spans="1:19" x14ac:dyDescent="0.3">
      <c r="A113" s="11" t="s">
        <v>290</v>
      </c>
      <c r="B113" s="11" t="s">
        <v>17</v>
      </c>
      <c r="C113" s="3" t="s">
        <v>32</v>
      </c>
      <c r="D113" s="3" t="s">
        <v>40</v>
      </c>
      <c r="E113" s="3" t="s">
        <v>59</v>
      </c>
      <c r="F113" s="3" t="s">
        <v>62</v>
      </c>
      <c r="G113" s="3" t="s">
        <v>67</v>
      </c>
      <c r="H113" s="37">
        <v>9732.6299999999992</v>
      </c>
      <c r="I113" s="12">
        <v>0.25</v>
      </c>
      <c r="J113" s="37">
        <v>7299.4724999999999</v>
      </c>
      <c r="K113" s="3">
        <v>2</v>
      </c>
      <c r="L113" s="61">
        <f>Table1[[#This Row],[Final_Unit_Price]]*Table1[[#This Row],[Quantity]]</f>
        <v>14598.945</v>
      </c>
      <c r="M113" s="59">
        <v>5109.63</v>
      </c>
      <c r="N113" s="42">
        <v>45547</v>
      </c>
      <c r="O113" s="20" t="str">
        <f>TEXT(Table1[[#This Row],[Order_Date]],"mmm")</f>
        <v>Sep</v>
      </c>
      <c r="P113" s="20">
        <f t="shared" si="2"/>
        <v>2024</v>
      </c>
      <c r="Q113" s="46">
        <v>45556</v>
      </c>
      <c r="R113" s="20">
        <f>'Cleaned Data'!$Q113-'Cleaned Data'!$N113</f>
        <v>9</v>
      </c>
      <c r="S113" s="19" t="str">
        <f t="shared" si="3"/>
        <v>Monsoon</v>
      </c>
    </row>
    <row r="114" spans="1:19" x14ac:dyDescent="0.3">
      <c r="A114" s="13" t="s">
        <v>291</v>
      </c>
      <c r="B114" s="13" t="s">
        <v>25</v>
      </c>
      <c r="C114" s="5" t="s">
        <v>34</v>
      </c>
      <c r="D114" s="5" t="s">
        <v>45</v>
      </c>
      <c r="E114" s="5" t="s">
        <v>59</v>
      </c>
      <c r="F114" s="5" t="s">
        <v>64</v>
      </c>
      <c r="G114" s="5" t="s">
        <v>76</v>
      </c>
      <c r="H114" s="38">
        <v>1011.73</v>
      </c>
      <c r="I114" s="14">
        <v>0.3</v>
      </c>
      <c r="J114" s="38">
        <v>708.21100000000001</v>
      </c>
      <c r="K114" s="5">
        <v>5</v>
      </c>
      <c r="L114" s="62">
        <f>Table1[[#This Row],[Final_Unit_Price]]*Table1[[#This Row],[Quantity]]</f>
        <v>3541.0550000000003</v>
      </c>
      <c r="M114" s="60">
        <v>1239.3699999999999</v>
      </c>
      <c r="N114" s="43">
        <v>45349</v>
      </c>
      <c r="O114" s="18" t="str">
        <f>TEXT(Table1[[#This Row],[Order_Date]],"mmm")</f>
        <v>Feb</v>
      </c>
      <c r="P114" s="18">
        <f t="shared" si="2"/>
        <v>2024</v>
      </c>
      <c r="Q114" s="45">
        <v>45353</v>
      </c>
      <c r="R114" s="19">
        <f>'Cleaned Data'!$Q114-'Cleaned Data'!$N114</f>
        <v>4</v>
      </c>
      <c r="S114" s="19" t="str">
        <f t="shared" si="3"/>
        <v>Summer</v>
      </c>
    </row>
    <row r="115" spans="1:19" x14ac:dyDescent="0.3">
      <c r="A115" s="11" t="s">
        <v>292</v>
      </c>
      <c r="B115" s="11" t="s">
        <v>17</v>
      </c>
      <c r="C115" s="3" t="s">
        <v>32</v>
      </c>
      <c r="D115" s="3" t="s">
        <v>40</v>
      </c>
      <c r="E115" s="3" t="s">
        <v>59</v>
      </c>
      <c r="F115" s="3" t="s">
        <v>64</v>
      </c>
      <c r="G115" s="3" t="s">
        <v>76</v>
      </c>
      <c r="H115" s="37">
        <v>10663.15</v>
      </c>
      <c r="I115" s="12">
        <v>0.25</v>
      </c>
      <c r="J115" s="37">
        <v>7997.3624999999993</v>
      </c>
      <c r="K115" s="3">
        <v>3</v>
      </c>
      <c r="L115" s="61">
        <f>Table1[[#This Row],[Final_Unit_Price]]*Table1[[#This Row],[Quantity]]</f>
        <v>23992.087499999998</v>
      </c>
      <c r="M115" s="59">
        <v>8397.23</v>
      </c>
      <c r="N115" s="42">
        <v>45365</v>
      </c>
      <c r="O115" s="20" t="str">
        <f>TEXT(Table1[[#This Row],[Order_Date]],"mmm")</f>
        <v>Mar</v>
      </c>
      <c r="P115" s="20">
        <f t="shared" si="2"/>
        <v>2024</v>
      </c>
      <c r="Q115" s="46">
        <v>45370</v>
      </c>
      <c r="R115" s="20">
        <f>'Cleaned Data'!$Q115-'Cleaned Data'!$N115</f>
        <v>5</v>
      </c>
      <c r="S115" s="19" t="str">
        <f t="shared" si="3"/>
        <v>Summer</v>
      </c>
    </row>
    <row r="116" spans="1:19" x14ac:dyDescent="0.3">
      <c r="A116" s="13" t="s">
        <v>293</v>
      </c>
      <c r="B116" s="13" t="s">
        <v>21</v>
      </c>
      <c r="C116" s="5" t="s">
        <v>34</v>
      </c>
      <c r="D116" s="5" t="s">
        <v>51</v>
      </c>
      <c r="E116" s="5" t="s">
        <v>59</v>
      </c>
      <c r="F116" s="5" t="s">
        <v>64</v>
      </c>
      <c r="G116" s="5" t="s">
        <v>76</v>
      </c>
      <c r="H116" s="38">
        <v>4012.97</v>
      </c>
      <c r="I116" s="14">
        <v>0.2</v>
      </c>
      <c r="J116" s="38">
        <v>3210.3760000000002</v>
      </c>
      <c r="K116" s="5">
        <v>10</v>
      </c>
      <c r="L116" s="62">
        <f>Table1[[#This Row],[Final_Unit_Price]]*Table1[[#This Row],[Quantity]]</f>
        <v>32103.760000000002</v>
      </c>
      <c r="M116" s="60">
        <v>5618.16</v>
      </c>
      <c r="N116" s="43">
        <v>45311</v>
      </c>
      <c r="O116" s="18" t="str">
        <f>TEXT(Table1[[#This Row],[Order_Date]],"mmm")</f>
        <v>Jan</v>
      </c>
      <c r="P116" s="18">
        <f t="shared" si="2"/>
        <v>2024</v>
      </c>
      <c r="Q116" s="45">
        <v>45317</v>
      </c>
      <c r="R116" s="19">
        <f>'Cleaned Data'!$Q116-'Cleaned Data'!$N116</f>
        <v>6</v>
      </c>
      <c r="S116" s="19" t="str">
        <f t="shared" si="3"/>
        <v>Winter</v>
      </c>
    </row>
    <row r="117" spans="1:19" x14ac:dyDescent="0.3">
      <c r="A117" s="11" t="s">
        <v>294</v>
      </c>
      <c r="B117" s="11" t="s">
        <v>28</v>
      </c>
      <c r="C117" s="3" t="s">
        <v>34</v>
      </c>
      <c r="D117" s="3" t="s">
        <v>45</v>
      </c>
      <c r="E117" s="3" t="s">
        <v>59</v>
      </c>
      <c r="F117" s="3" t="s">
        <v>63</v>
      </c>
      <c r="G117" s="3" t="s">
        <v>73</v>
      </c>
      <c r="H117" s="37">
        <v>1670.33</v>
      </c>
      <c r="I117" s="12">
        <v>0.2</v>
      </c>
      <c r="J117" s="37">
        <v>1336.2639999999999</v>
      </c>
      <c r="K117" s="3">
        <v>4</v>
      </c>
      <c r="L117" s="61">
        <f>Table1[[#This Row],[Final_Unit_Price]]*Table1[[#This Row],[Quantity]]</f>
        <v>5345.0559999999996</v>
      </c>
      <c r="M117" s="59">
        <v>1870.77</v>
      </c>
      <c r="N117" s="42">
        <v>45347</v>
      </c>
      <c r="O117" s="20" t="str">
        <f>TEXT(Table1[[#This Row],[Order_Date]],"mmm")</f>
        <v>Feb</v>
      </c>
      <c r="P117" s="20">
        <f t="shared" si="2"/>
        <v>2024</v>
      </c>
      <c r="Q117" s="46">
        <v>45350</v>
      </c>
      <c r="R117" s="20">
        <f>'Cleaned Data'!$Q117-'Cleaned Data'!$N117</f>
        <v>3</v>
      </c>
      <c r="S117" s="19" t="str">
        <f t="shared" si="3"/>
        <v>Summer</v>
      </c>
    </row>
    <row r="118" spans="1:19" x14ac:dyDescent="0.3">
      <c r="A118" s="13" t="s">
        <v>295</v>
      </c>
      <c r="B118" s="13" t="s">
        <v>23</v>
      </c>
      <c r="C118" s="5" t="s">
        <v>35</v>
      </c>
      <c r="D118" s="5" t="s">
        <v>46</v>
      </c>
      <c r="E118" s="5" t="s">
        <v>59</v>
      </c>
      <c r="F118" s="5" t="s">
        <v>64</v>
      </c>
      <c r="G118" s="5" t="s">
        <v>74</v>
      </c>
      <c r="H118" s="38">
        <v>33191.550000000003</v>
      </c>
      <c r="I118" s="14">
        <v>0.05</v>
      </c>
      <c r="J118" s="38">
        <v>31531.9725</v>
      </c>
      <c r="K118" s="5">
        <v>5</v>
      </c>
      <c r="L118" s="62">
        <f>Table1[[#This Row],[Final_Unit_Price]]*Table1[[#This Row],[Quantity]]</f>
        <v>157659.86249999999</v>
      </c>
      <c r="M118" s="60">
        <v>55180.95</v>
      </c>
      <c r="N118" s="43">
        <v>45596</v>
      </c>
      <c r="O118" s="18" t="str">
        <f>TEXT(Table1[[#This Row],[Order_Date]],"mmm")</f>
        <v>Oct</v>
      </c>
      <c r="P118" s="18">
        <f t="shared" si="2"/>
        <v>2024</v>
      </c>
      <c r="Q118" s="45">
        <v>45602</v>
      </c>
      <c r="R118" s="19">
        <f>'Cleaned Data'!$Q118-'Cleaned Data'!$N118</f>
        <v>6</v>
      </c>
      <c r="S118" s="19" t="str">
        <f t="shared" si="3"/>
        <v>Winter</v>
      </c>
    </row>
    <row r="119" spans="1:19" x14ac:dyDescent="0.3">
      <c r="A119" s="11" t="s">
        <v>296</v>
      </c>
      <c r="B119" s="11" t="s">
        <v>24</v>
      </c>
      <c r="C119" s="3" t="s">
        <v>32</v>
      </c>
      <c r="D119" s="3" t="s">
        <v>37</v>
      </c>
      <c r="E119" s="3" t="s">
        <v>59</v>
      </c>
      <c r="F119" s="3" t="s">
        <v>62</v>
      </c>
      <c r="G119" s="3" t="s">
        <v>66</v>
      </c>
      <c r="H119" s="37">
        <v>30969.97</v>
      </c>
      <c r="I119" s="12">
        <v>0.05</v>
      </c>
      <c r="J119" s="37">
        <v>29421.4715</v>
      </c>
      <c r="K119" s="3">
        <v>1</v>
      </c>
      <c r="L119" s="61">
        <f>Table1[[#This Row],[Final_Unit_Price]]*Table1[[#This Row],[Quantity]]</f>
        <v>29421.4715</v>
      </c>
      <c r="M119" s="59">
        <v>10297.51</v>
      </c>
      <c r="N119" s="42">
        <v>45472</v>
      </c>
      <c r="O119" s="20" t="str">
        <f>TEXT(Table1[[#This Row],[Order_Date]],"mmm")</f>
        <v>Jun</v>
      </c>
      <c r="P119" s="20">
        <f t="shared" si="2"/>
        <v>2024</v>
      </c>
      <c r="Q119" s="46">
        <v>45476</v>
      </c>
      <c r="R119" s="20">
        <f>'Cleaned Data'!$Q119-'Cleaned Data'!$N119</f>
        <v>4</v>
      </c>
      <c r="S119" s="19" t="str">
        <f t="shared" si="3"/>
        <v>Monsoon</v>
      </c>
    </row>
    <row r="120" spans="1:19" x14ac:dyDescent="0.3">
      <c r="A120" s="13" t="s">
        <v>297</v>
      </c>
      <c r="B120" s="13" t="s">
        <v>27</v>
      </c>
      <c r="C120" s="5" t="s">
        <v>35</v>
      </c>
      <c r="D120" s="5" t="s">
        <v>46</v>
      </c>
      <c r="E120" s="5" t="s">
        <v>59</v>
      </c>
      <c r="F120" s="5" t="s">
        <v>61</v>
      </c>
      <c r="G120" s="5" t="s">
        <v>71</v>
      </c>
      <c r="H120" s="38">
        <v>9107.0300000000007</v>
      </c>
      <c r="I120" s="14">
        <v>0.15</v>
      </c>
      <c r="J120" s="38">
        <v>7740.9754999999996</v>
      </c>
      <c r="K120" s="5">
        <v>1</v>
      </c>
      <c r="L120" s="62">
        <f>Table1[[#This Row],[Final_Unit_Price]]*Table1[[#This Row],[Quantity]]</f>
        <v>7740.9754999999996</v>
      </c>
      <c r="M120" s="60">
        <v>2709.34</v>
      </c>
      <c r="N120" s="43">
        <v>45407</v>
      </c>
      <c r="O120" s="18" t="str">
        <f>TEXT(Table1[[#This Row],[Order_Date]],"mmm")</f>
        <v>Apr</v>
      </c>
      <c r="P120" s="18">
        <f t="shared" si="2"/>
        <v>2024</v>
      </c>
      <c r="Q120" s="45">
        <v>45414</v>
      </c>
      <c r="R120" s="19">
        <f>'Cleaned Data'!$Q120-'Cleaned Data'!$N120</f>
        <v>7</v>
      </c>
      <c r="S120" s="19" t="str">
        <f t="shared" si="3"/>
        <v>Summer</v>
      </c>
    </row>
    <row r="121" spans="1:19" x14ac:dyDescent="0.3">
      <c r="A121" s="11" t="s">
        <v>298</v>
      </c>
      <c r="B121" s="11" t="s">
        <v>18</v>
      </c>
      <c r="C121" s="3" t="s">
        <v>33</v>
      </c>
      <c r="D121" s="3" t="s">
        <v>38</v>
      </c>
      <c r="E121" s="3" t="s">
        <v>59</v>
      </c>
      <c r="F121" s="3" t="s">
        <v>61</v>
      </c>
      <c r="G121" s="3" t="s">
        <v>70</v>
      </c>
      <c r="H121" s="37">
        <v>60202.06</v>
      </c>
      <c r="I121" s="12">
        <v>0</v>
      </c>
      <c r="J121" s="37">
        <v>60202.06</v>
      </c>
      <c r="K121" s="3">
        <v>1</v>
      </c>
      <c r="L121" s="61">
        <f>Table1[[#This Row],[Final_Unit_Price]]*Table1[[#This Row],[Quantity]]</f>
        <v>60202.06</v>
      </c>
      <c r="M121" s="59">
        <v>21070.720000000001</v>
      </c>
      <c r="N121" s="42">
        <v>45625</v>
      </c>
      <c r="O121" s="20" t="str">
        <f>TEXT(Table1[[#This Row],[Order_Date]],"mmm")</f>
        <v>Nov</v>
      </c>
      <c r="P121" s="20">
        <f t="shared" si="2"/>
        <v>2024</v>
      </c>
      <c r="Q121" s="46">
        <v>45634</v>
      </c>
      <c r="R121" s="20">
        <f>'Cleaned Data'!$Q121-'Cleaned Data'!$N121</f>
        <v>9</v>
      </c>
      <c r="S121" s="19" t="str">
        <f t="shared" si="3"/>
        <v>Winter</v>
      </c>
    </row>
    <row r="122" spans="1:19" x14ac:dyDescent="0.3">
      <c r="A122" s="13" t="s">
        <v>299</v>
      </c>
      <c r="B122" s="13" t="s">
        <v>28</v>
      </c>
      <c r="C122" s="5" t="s">
        <v>34</v>
      </c>
      <c r="D122" s="5" t="s">
        <v>52</v>
      </c>
      <c r="E122" s="5" t="s">
        <v>60</v>
      </c>
      <c r="F122" s="5" t="s">
        <v>63</v>
      </c>
      <c r="G122" s="5" t="s">
        <v>68</v>
      </c>
      <c r="H122" s="38">
        <v>1177.9000000000001</v>
      </c>
      <c r="I122" s="14">
        <v>0.05</v>
      </c>
      <c r="J122" s="38">
        <v>1119.0050000000001</v>
      </c>
      <c r="K122" s="5">
        <v>3</v>
      </c>
      <c r="L122" s="62">
        <f>Table1[[#This Row],[Final_Unit_Price]]*Table1[[#This Row],[Quantity]]</f>
        <v>3357.0150000000003</v>
      </c>
      <c r="M122" s="60">
        <v>503.55</v>
      </c>
      <c r="N122" s="43">
        <v>45777</v>
      </c>
      <c r="O122" s="18" t="str">
        <f>TEXT(Table1[[#This Row],[Order_Date]],"mmm")</f>
        <v>Apr</v>
      </c>
      <c r="P122" s="18">
        <f t="shared" si="2"/>
        <v>2025</v>
      </c>
      <c r="Q122" s="45">
        <v>45785</v>
      </c>
      <c r="R122" s="19">
        <f>'Cleaned Data'!$Q122-'Cleaned Data'!$N122</f>
        <v>8</v>
      </c>
      <c r="S122" s="19" t="str">
        <f t="shared" si="3"/>
        <v>Summer</v>
      </c>
    </row>
    <row r="123" spans="1:19" x14ac:dyDescent="0.3">
      <c r="A123" s="11" t="s">
        <v>300</v>
      </c>
      <c r="B123" s="11" t="s">
        <v>18</v>
      </c>
      <c r="C123" s="3" t="s">
        <v>33</v>
      </c>
      <c r="D123" s="3" t="s">
        <v>39</v>
      </c>
      <c r="E123" s="3" t="s">
        <v>58</v>
      </c>
      <c r="F123" s="3" t="s">
        <v>61</v>
      </c>
      <c r="G123" s="3" t="s">
        <v>71</v>
      </c>
      <c r="H123" s="37">
        <v>51046.35</v>
      </c>
      <c r="I123" s="12">
        <v>0</v>
      </c>
      <c r="J123" s="37">
        <v>51046.35</v>
      </c>
      <c r="K123" s="3">
        <v>1</v>
      </c>
      <c r="L123" s="61">
        <f>Table1[[#This Row],[Final_Unit_Price]]*Table1[[#This Row],[Quantity]]</f>
        <v>51046.35</v>
      </c>
      <c r="M123" s="59">
        <v>12761.59</v>
      </c>
      <c r="N123" s="42">
        <v>45783</v>
      </c>
      <c r="O123" s="20" t="str">
        <f>TEXT(Table1[[#This Row],[Order_Date]],"mmm")</f>
        <v>May</v>
      </c>
      <c r="P123" s="20">
        <f t="shared" si="2"/>
        <v>2025</v>
      </c>
      <c r="Q123" s="46">
        <v>45791</v>
      </c>
      <c r="R123" s="20">
        <f>'Cleaned Data'!$Q123-'Cleaned Data'!$N123</f>
        <v>8</v>
      </c>
      <c r="S123" s="19" t="str">
        <f t="shared" si="3"/>
        <v>Summer</v>
      </c>
    </row>
    <row r="124" spans="1:19" x14ac:dyDescent="0.3">
      <c r="A124" s="13" t="s">
        <v>301</v>
      </c>
      <c r="B124" s="13" t="s">
        <v>26</v>
      </c>
      <c r="C124" s="5" t="s">
        <v>32</v>
      </c>
      <c r="D124" s="5" t="s">
        <v>40</v>
      </c>
      <c r="E124" s="5" t="s">
        <v>59</v>
      </c>
      <c r="F124" s="5" t="s">
        <v>64</v>
      </c>
      <c r="G124" s="5" t="s">
        <v>74</v>
      </c>
      <c r="H124" s="38">
        <v>45161.440000000002</v>
      </c>
      <c r="I124" s="14">
        <v>0.25</v>
      </c>
      <c r="J124" s="38">
        <v>33871.08</v>
      </c>
      <c r="K124" s="5">
        <v>4</v>
      </c>
      <c r="L124" s="62">
        <f>Table1[[#This Row],[Final_Unit_Price]]*Table1[[#This Row],[Quantity]]</f>
        <v>135484.32</v>
      </c>
      <c r="M124" s="60">
        <v>47419.51</v>
      </c>
      <c r="N124" s="43">
        <v>45726</v>
      </c>
      <c r="O124" s="18" t="str">
        <f>TEXT(Table1[[#This Row],[Order_Date]],"mmm")</f>
        <v>Mar</v>
      </c>
      <c r="P124" s="18">
        <f t="shared" si="2"/>
        <v>2025</v>
      </c>
      <c r="Q124" s="45">
        <v>45736</v>
      </c>
      <c r="R124" s="19">
        <f>'Cleaned Data'!$Q124-'Cleaned Data'!$N124</f>
        <v>10</v>
      </c>
      <c r="S124" s="19" t="str">
        <f t="shared" si="3"/>
        <v>Summer</v>
      </c>
    </row>
    <row r="125" spans="1:19" x14ac:dyDescent="0.3">
      <c r="A125" s="11" t="s">
        <v>302</v>
      </c>
      <c r="B125" s="11" t="s">
        <v>27</v>
      </c>
      <c r="C125" s="3" t="s">
        <v>35</v>
      </c>
      <c r="D125" s="3" t="s">
        <v>48</v>
      </c>
      <c r="E125" s="3" t="s">
        <v>58</v>
      </c>
      <c r="F125" s="3" t="s">
        <v>64</v>
      </c>
      <c r="G125" s="3" t="s">
        <v>76</v>
      </c>
      <c r="H125" s="37">
        <v>8655.56</v>
      </c>
      <c r="I125" s="12">
        <v>0.1</v>
      </c>
      <c r="J125" s="37">
        <v>7790.0039999999999</v>
      </c>
      <c r="K125" s="3">
        <v>5</v>
      </c>
      <c r="L125" s="61">
        <f>Table1[[#This Row],[Final_Unit_Price]]*Table1[[#This Row],[Quantity]]</f>
        <v>38950.019999999997</v>
      </c>
      <c r="M125" s="59">
        <v>9737.5</v>
      </c>
      <c r="N125" s="42">
        <v>45795</v>
      </c>
      <c r="O125" s="20" t="str">
        <f>TEXT(Table1[[#This Row],[Order_Date]],"mmm")</f>
        <v>May</v>
      </c>
      <c r="P125" s="20">
        <f t="shared" si="2"/>
        <v>2025</v>
      </c>
      <c r="Q125" s="46">
        <v>45801</v>
      </c>
      <c r="R125" s="20">
        <f>'Cleaned Data'!$Q125-'Cleaned Data'!$N125</f>
        <v>6</v>
      </c>
      <c r="S125" s="19" t="str">
        <f t="shared" si="3"/>
        <v>Summer</v>
      </c>
    </row>
    <row r="126" spans="1:19" x14ac:dyDescent="0.3">
      <c r="A126" s="13" t="s">
        <v>303</v>
      </c>
      <c r="B126" s="13" t="s">
        <v>20</v>
      </c>
      <c r="C126" s="5" t="s">
        <v>32</v>
      </c>
      <c r="D126" s="5" t="s">
        <v>37</v>
      </c>
      <c r="E126" s="5" t="s">
        <v>59</v>
      </c>
      <c r="F126" s="5" t="s">
        <v>63</v>
      </c>
      <c r="G126" s="5" t="s">
        <v>73</v>
      </c>
      <c r="H126" s="38">
        <v>35902.81</v>
      </c>
      <c r="I126" s="14">
        <v>0.05</v>
      </c>
      <c r="J126" s="38">
        <v>34107.669500000004</v>
      </c>
      <c r="K126" s="5">
        <v>4</v>
      </c>
      <c r="L126" s="62">
        <f>Table1[[#This Row],[Final_Unit_Price]]*Table1[[#This Row],[Quantity]]</f>
        <v>136430.67800000001</v>
      </c>
      <c r="M126" s="60">
        <v>47750.74</v>
      </c>
      <c r="N126" s="43">
        <v>45625</v>
      </c>
      <c r="O126" s="18" t="str">
        <f>TEXT(Table1[[#This Row],[Order_Date]],"mmm")</f>
        <v>Nov</v>
      </c>
      <c r="P126" s="18">
        <f t="shared" si="2"/>
        <v>2024</v>
      </c>
      <c r="Q126" s="45">
        <v>45635</v>
      </c>
      <c r="R126" s="19">
        <f>'Cleaned Data'!$Q126-'Cleaned Data'!$N126</f>
        <v>10</v>
      </c>
      <c r="S126" s="19" t="str">
        <f t="shared" si="3"/>
        <v>Winter</v>
      </c>
    </row>
    <row r="127" spans="1:19" x14ac:dyDescent="0.3">
      <c r="A127" s="11" t="s">
        <v>304</v>
      </c>
      <c r="B127" s="11" t="s">
        <v>20</v>
      </c>
      <c r="C127" s="3" t="s">
        <v>32</v>
      </c>
      <c r="D127" s="3" t="s">
        <v>43</v>
      </c>
      <c r="E127" s="3" t="s">
        <v>58</v>
      </c>
      <c r="F127" s="3" t="s">
        <v>61</v>
      </c>
      <c r="G127" s="3" t="s">
        <v>70</v>
      </c>
      <c r="H127" s="37">
        <v>28761.19</v>
      </c>
      <c r="I127" s="12">
        <v>0.1</v>
      </c>
      <c r="J127" s="37">
        <v>25885.071</v>
      </c>
      <c r="K127" s="3">
        <v>5</v>
      </c>
      <c r="L127" s="61">
        <f>Table1[[#This Row],[Final_Unit_Price]]*Table1[[#This Row],[Quantity]]</f>
        <v>129425.355</v>
      </c>
      <c r="M127" s="59">
        <v>32356.34</v>
      </c>
      <c r="N127" s="42">
        <v>45849</v>
      </c>
      <c r="O127" s="20" t="str">
        <f>TEXT(Table1[[#This Row],[Order_Date]],"mmm")</f>
        <v>Jul</v>
      </c>
      <c r="P127" s="20">
        <f t="shared" si="2"/>
        <v>2025</v>
      </c>
      <c r="Q127" s="46">
        <v>45857</v>
      </c>
      <c r="R127" s="20">
        <f>'Cleaned Data'!$Q127-'Cleaned Data'!$N127</f>
        <v>8</v>
      </c>
      <c r="S127" s="19" t="str">
        <f t="shared" si="3"/>
        <v>Monsoon</v>
      </c>
    </row>
    <row r="128" spans="1:19" x14ac:dyDescent="0.3">
      <c r="A128" s="13" t="s">
        <v>305</v>
      </c>
      <c r="B128" s="13" t="s">
        <v>22</v>
      </c>
      <c r="C128" s="5" t="s">
        <v>31</v>
      </c>
      <c r="D128" s="5" t="s">
        <v>42</v>
      </c>
      <c r="E128" s="5" t="s">
        <v>60</v>
      </c>
      <c r="F128" s="5" t="s">
        <v>62</v>
      </c>
      <c r="G128" s="5" t="s">
        <v>69</v>
      </c>
      <c r="H128" s="38">
        <v>3029.47</v>
      </c>
      <c r="I128" s="14">
        <v>0.1</v>
      </c>
      <c r="J128" s="38">
        <v>2726.5230000000001</v>
      </c>
      <c r="K128" s="5">
        <v>4</v>
      </c>
      <c r="L128" s="62">
        <f>Table1[[#This Row],[Final_Unit_Price]]*Table1[[#This Row],[Quantity]]</f>
        <v>10906.092000000001</v>
      </c>
      <c r="M128" s="60">
        <v>1635.91</v>
      </c>
      <c r="N128" s="43">
        <v>45780</v>
      </c>
      <c r="O128" s="18" t="str">
        <f>TEXT(Table1[[#This Row],[Order_Date]],"mmm")</f>
        <v>May</v>
      </c>
      <c r="P128" s="18">
        <f t="shared" si="2"/>
        <v>2025</v>
      </c>
      <c r="Q128" s="45">
        <v>45782</v>
      </c>
      <c r="R128" s="19">
        <f>'Cleaned Data'!$Q128-'Cleaned Data'!$N128</f>
        <v>2</v>
      </c>
      <c r="S128" s="19" t="str">
        <f t="shared" si="3"/>
        <v>Summer</v>
      </c>
    </row>
    <row r="129" spans="1:19" x14ac:dyDescent="0.3">
      <c r="A129" s="11" t="s">
        <v>306</v>
      </c>
      <c r="B129" s="11" t="s">
        <v>18</v>
      </c>
      <c r="C129" s="3" t="s">
        <v>33</v>
      </c>
      <c r="D129" s="3" t="s">
        <v>53</v>
      </c>
      <c r="E129" s="3" t="s">
        <v>58</v>
      </c>
      <c r="F129" s="3" t="s">
        <v>61</v>
      </c>
      <c r="G129" s="3" t="s">
        <v>65</v>
      </c>
      <c r="H129" s="37">
        <v>51389.67</v>
      </c>
      <c r="I129" s="12">
        <v>0.1</v>
      </c>
      <c r="J129" s="37">
        <v>46250.703000000001</v>
      </c>
      <c r="K129" s="3">
        <v>3</v>
      </c>
      <c r="L129" s="61">
        <f>Table1[[#This Row],[Final_Unit_Price]]*Table1[[#This Row],[Quantity]]</f>
        <v>138752.109</v>
      </c>
      <c r="M129" s="59">
        <v>34688.03</v>
      </c>
      <c r="N129" s="42">
        <v>45679</v>
      </c>
      <c r="O129" s="20" t="str">
        <f>TEXT(Table1[[#This Row],[Order_Date]],"mmm")</f>
        <v>Jan</v>
      </c>
      <c r="P129" s="20">
        <f t="shared" si="2"/>
        <v>2025</v>
      </c>
      <c r="Q129" s="46">
        <v>45688</v>
      </c>
      <c r="R129" s="20">
        <f>'Cleaned Data'!$Q129-'Cleaned Data'!$N129</f>
        <v>9</v>
      </c>
      <c r="S129" s="19" t="str">
        <f t="shared" si="3"/>
        <v>Winter</v>
      </c>
    </row>
    <row r="130" spans="1:19" x14ac:dyDescent="0.3">
      <c r="A130" s="13" t="s">
        <v>307</v>
      </c>
      <c r="B130" s="13" t="s">
        <v>24</v>
      </c>
      <c r="C130" s="5" t="s">
        <v>32</v>
      </c>
      <c r="D130" s="5" t="s">
        <v>40</v>
      </c>
      <c r="E130" s="5" t="s">
        <v>59</v>
      </c>
      <c r="F130" s="5" t="s">
        <v>62</v>
      </c>
      <c r="G130" s="5" t="s">
        <v>66</v>
      </c>
      <c r="H130" s="38">
        <v>31914.62</v>
      </c>
      <c r="I130" s="14">
        <v>0.1</v>
      </c>
      <c r="J130" s="38">
        <v>28723.157999999999</v>
      </c>
      <c r="K130" s="5">
        <v>1</v>
      </c>
      <c r="L130" s="62">
        <f>Table1[[#This Row],[Final_Unit_Price]]*Table1[[#This Row],[Quantity]]</f>
        <v>28723.157999999999</v>
      </c>
      <c r="M130" s="60">
        <v>10053.11</v>
      </c>
      <c r="N130" s="43">
        <v>45377</v>
      </c>
      <c r="O130" s="18" t="str">
        <f>TEXT(Table1[[#This Row],[Order_Date]],"mmm")</f>
        <v>Mar</v>
      </c>
      <c r="P130" s="18">
        <f t="shared" si="2"/>
        <v>2024</v>
      </c>
      <c r="Q130" s="45">
        <v>45386</v>
      </c>
      <c r="R130" s="19">
        <f>'Cleaned Data'!$Q130-'Cleaned Data'!$N130</f>
        <v>9</v>
      </c>
      <c r="S130" s="19" t="str">
        <f t="shared" si="3"/>
        <v>Summer</v>
      </c>
    </row>
    <row r="131" spans="1:19" x14ac:dyDescent="0.3">
      <c r="A131" s="11" t="s">
        <v>308</v>
      </c>
      <c r="B131" s="11" t="s">
        <v>19</v>
      </c>
      <c r="C131" s="3" t="s">
        <v>33</v>
      </c>
      <c r="D131" s="3" t="s">
        <v>56</v>
      </c>
      <c r="E131" s="3" t="s">
        <v>60</v>
      </c>
      <c r="F131" s="3" t="s">
        <v>63</v>
      </c>
      <c r="G131" s="3" t="s">
        <v>75</v>
      </c>
      <c r="H131" s="37">
        <v>1606.18</v>
      </c>
      <c r="I131" s="12">
        <v>0.25</v>
      </c>
      <c r="J131" s="37">
        <v>1204.635</v>
      </c>
      <c r="K131" s="3">
        <v>1</v>
      </c>
      <c r="L131" s="61">
        <f>Table1[[#This Row],[Final_Unit_Price]]*Table1[[#This Row],[Quantity]]</f>
        <v>1204.635</v>
      </c>
      <c r="M131" s="59">
        <v>180.69</v>
      </c>
      <c r="N131" s="42">
        <v>45745</v>
      </c>
      <c r="O131" s="20" t="str">
        <f>TEXT(Table1[[#This Row],[Order_Date]],"mmm")</f>
        <v>Mar</v>
      </c>
      <c r="P131" s="20">
        <f t="shared" ref="P131:P194" si="4">YEAR(N131)</f>
        <v>2025</v>
      </c>
      <c r="Q131" s="46">
        <v>45750</v>
      </c>
      <c r="R131" s="20">
        <f>'Cleaned Data'!$Q131-'Cleaned Data'!$N131</f>
        <v>5</v>
      </c>
      <c r="S131" s="19" t="str">
        <f t="shared" ref="S131:S194" si="5">IF(OR(O131="Feb",O131="Mar",O131="Apr",O131="May"),"Summer",
   IF(OR(O131="Jun",O131="Jul",O131="Aug",O131="Sep"),"Monsoon",
   IF(OR(O131="Oct",O131="Nov",O131="Dec",O131= "Jan"),"Winter","Invalid")))</f>
        <v>Summer</v>
      </c>
    </row>
    <row r="132" spans="1:19" x14ac:dyDescent="0.3">
      <c r="A132" s="13" t="s">
        <v>309</v>
      </c>
      <c r="B132" s="13" t="s">
        <v>19</v>
      </c>
      <c r="C132" s="5" t="s">
        <v>33</v>
      </c>
      <c r="D132" s="5" t="s">
        <v>50</v>
      </c>
      <c r="E132" s="5" t="s">
        <v>59</v>
      </c>
      <c r="F132" s="5" t="s">
        <v>62</v>
      </c>
      <c r="G132" s="5" t="s">
        <v>67</v>
      </c>
      <c r="H132" s="38">
        <v>2371.38</v>
      </c>
      <c r="I132" s="14">
        <v>0.15</v>
      </c>
      <c r="J132" s="38">
        <v>2015.673</v>
      </c>
      <c r="K132" s="5">
        <v>4</v>
      </c>
      <c r="L132" s="62">
        <f>Table1[[#This Row],[Final_Unit_Price]]*Table1[[#This Row],[Quantity]]</f>
        <v>8062.692</v>
      </c>
      <c r="M132" s="60">
        <v>2821.94</v>
      </c>
      <c r="N132" s="43">
        <v>45614</v>
      </c>
      <c r="O132" s="18" t="str">
        <f>TEXT(Table1[[#This Row],[Order_Date]],"mmm")</f>
        <v>Nov</v>
      </c>
      <c r="P132" s="18">
        <f t="shared" si="4"/>
        <v>2024</v>
      </c>
      <c r="Q132" s="45">
        <v>45617</v>
      </c>
      <c r="R132" s="19">
        <f>'Cleaned Data'!$Q132-'Cleaned Data'!$N132</f>
        <v>3</v>
      </c>
      <c r="S132" s="19" t="str">
        <f t="shared" si="5"/>
        <v>Winter</v>
      </c>
    </row>
    <row r="133" spans="1:19" x14ac:dyDescent="0.3">
      <c r="A133" s="11" t="s">
        <v>310</v>
      </c>
      <c r="B133" s="11" t="s">
        <v>29</v>
      </c>
      <c r="C133" s="3" t="s">
        <v>35</v>
      </c>
      <c r="D133" s="3" t="s">
        <v>46</v>
      </c>
      <c r="E133" s="3" t="s">
        <v>59</v>
      </c>
      <c r="F133" s="3" t="s">
        <v>61</v>
      </c>
      <c r="G133" s="3" t="s">
        <v>71</v>
      </c>
      <c r="H133" s="37">
        <v>21479.43</v>
      </c>
      <c r="I133" s="12">
        <v>0.2</v>
      </c>
      <c r="J133" s="37">
        <v>17183.544000000002</v>
      </c>
      <c r="K133" s="3">
        <v>1</v>
      </c>
      <c r="L133" s="61">
        <f>Table1[[#This Row],[Final_Unit_Price]]*Table1[[#This Row],[Quantity]]</f>
        <v>17183.544000000002</v>
      </c>
      <c r="M133" s="59">
        <v>6014.24</v>
      </c>
      <c r="N133" s="42">
        <v>45491</v>
      </c>
      <c r="O133" s="20" t="str">
        <f>TEXT(Table1[[#This Row],[Order_Date]],"mmm")</f>
        <v>Jul</v>
      </c>
      <c r="P133" s="20">
        <f t="shared" si="4"/>
        <v>2024</v>
      </c>
      <c r="Q133" s="46">
        <v>45493</v>
      </c>
      <c r="R133" s="20">
        <f>'Cleaned Data'!$Q133-'Cleaned Data'!$N133</f>
        <v>2</v>
      </c>
      <c r="S133" s="19" t="str">
        <f t="shared" si="5"/>
        <v>Monsoon</v>
      </c>
    </row>
    <row r="134" spans="1:19" x14ac:dyDescent="0.3">
      <c r="A134" s="13" t="s">
        <v>311</v>
      </c>
      <c r="B134" s="13" t="s">
        <v>17</v>
      </c>
      <c r="C134" s="5" t="s">
        <v>32</v>
      </c>
      <c r="D134" s="5" t="s">
        <v>43</v>
      </c>
      <c r="E134" s="5" t="s">
        <v>58</v>
      </c>
      <c r="F134" s="5" t="s">
        <v>61</v>
      </c>
      <c r="G134" s="5" t="s">
        <v>70</v>
      </c>
      <c r="H134" s="38">
        <v>7627.93</v>
      </c>
      <c r="I134" s="14">
        <v>0.15</v>
      </c>
      <c r="J134" s="38">
        <v>6483.7404999999999</v>
      </c>
      <c r="K134" s="5">
        <v>5</v>
      </c>
      <c r="L134" s="62">
        <f>Table1[[#This Row],[Final_Unit_Price]]*Table1[[#This Row],[Quantity]]</f>
        <v>32418.702499999999</v>
      </c>
      <c r="M134" s="60">
        <v>8104.68</v>
      </c>
      <c r="N134" s="43">
        <v>45835</v>
      </c>
      <c r="O134" s="18" t="str">
        <f>TEXT(Table1[[#This Row],[Order_Date]],"mmm")</f>
        <v>Jun</v>
      </c>
      <c r="P134" s="18">
        <f t="shared" si="4"/>
        <v>2025</v>
      </c>
      <c r="Q134" s="45">
        <v>45838</v>
      </c>
      <c r="R134" s="19">
        <f>'Cleaned Data'!$Q134-'Cleaned Data'!$N134</f>
        <v>3</v>
      </c>
      <c r="S134" s="19" t="str">
        <f t="shared" si="5"/>
        <v>Monsoon</v>
      </c>
    </row>
    <row r="135" spans="1:19" x14ac:dyDescent="0.3">
      <c r="A135" s="11" t="s">
        <v>312</v>
      </c>
      <c r="B135" s="11" t="s">
        <v>29</v>
      </c>
      <c r="C135" s="3" t="s">
        <v>35</v>
      </c>
      <c r="D135" s="3" t="s">
        <v>38</v>
      </c>
      <c r="E135" s="3" t="s">
        <v>59</v>
      </c>
      <c r="F135" s="3" t="s">
        <v>63</v>
      </c>
      <c r="G135" s="3" t="s">
        <v>75</v>
      </c>
      <c r="H135" s="37">
        <v>21213.02</v>
      </c>
      <c r="I135" s="12">
        <v>0</v>
      </c>
      <c r="J135" s="37">
        <v>21213.02</v>
      </c>
      <c r="K135" s="3">
        <v>5</v>
      </c>
      <c r="L135" s="61">
        <f>Table1[[#This Row],[Final_Unit_Price]]*Table1[[#This Row],[Quantity]]</f>
        <v>106065.1</v>
      </c>
      <c r="M135" s="59">
        <v>37122.78</v>
      </c>
      <c r="N135" s="42">
        <v>45540</v>
      </c>
      <c r="O135" s="20" t="str">
        <f>TEXT(Table1[[#This Row],[Order_Date]],"mmm")</f>
        <v>Sep</v>
      </c>
      <c r="P135" s="20">
        <f t="shared" si="4"/>
        <v>2024</v>
      </c>
      <c r="Q135" s="46">
        <v>45544</v>
      </c>
      <c r="R135" s="20">
        <f>'Cleaned Data'!$Q135-'Cleaned Data'!$N135</f>
        <v>4</v>
      </c>
      <c r="S135" s="19" t="str">
        <f t="shared" si="5"/>
        <v>Monsoon</v>
      </c>
    </row>
    <row r="136" spans="1:19" x14ac:dyDescent="0.3">
      <c r="A136" s="13" t="s">
        <v>313</v>
      </c>
      <c r="B136" s="13" t="s">
        <v>20</v>
      </c>
      <c r="C136" s="5" t="s">
        <v>32</v>
      </c>
      <c r="D136" s="5" t="s">
        <v>40</v>
      </c>
      <c r="E136" s="5" t="s">
        <v>59</v>
      </c>
      <c r="F136" s="5" t="s">
        <v>62</v>
      </c>
      <c r="G136" s="5" t="s">
        <v>67</v>
      </c>
      <c r="H136" s="38">
        <v>38305.269999999997</v>
      </c>
      <c r="I136" s="14">
        <v>0.2</v>
      </c>
      <c r="J136" s="38">
        <v>30644.216</v>
      </c>
      <c r="K136" s="5">
        <v>2</v>
      </c>
      <c r="L136" s="62">
        <f>Table1[[#This Row],[Final_Unit_Price]]*Table1[[#This Row],[Quantity]]</f>
        <v>61288.432000000001</v>
      </c>
      <c r="M136" s="60">
        <v>21450.95</v>
      </c>
      <c r="N136" s="43">
        <v>45835</v>
      </c>
      <c r="O136" s="18" t="str">
        <f>TEXT(Table1[[#This Row],[Order_Date]],"mmm")</f>
        <v>Jun</v>
      </c>
      <c r="P136" s="18">
        <f t="shared" si="4"/>
        <v>2025</v>
      </c>
      <c r="Q136" s="45">
        <v>45843</v>
      </c>
      <c r="R136" s="19">
        <f>'Cleaned Data'!$Q136-'Cleaned Data'!$N136</f>
        <v>8</v>
      </c>
      <c r="S136" s="19" t="str">
        <f t="shared" si="5"/>
        <v>Monsoon</v>
      </c>
    </row>
    <row r="137" spans="1:19" x14ac:dyDescent="0.3">
      <c r="A137" s="11" t="s">
        <v>314</v>
      </c>
      <c r="B137" s="11" t="s">
        <v>23</v>
      </c>
      <c r="C137" s="3" t="s">
        <v>35</v>
      </c>
      <c r="D137" s="3" t="s">
        <v>48</v>
      </c>
      <c r="E137" s="3" t="s">
        <v>58</v>
      </c>
      <c r="F137" s="3" t="s">
        <v>63</v>
      </c>
      <c r="G137" s="3" t="s">
        <v>68</v>
      </c>
      <c r="H137" s="37">
        <v>24530.69</v>
      </c>
      <c r="I137" s="12">
        <v>0</v>
      </c>
      <c r="J137" s="37">
        <v>24530.69</v>
      </c>
      <c r="K137" s="3">
        <v>4</v>
      </c>
      <c r="L137" s="61">
        <f>Table1[[#This Row],[Final_Unit_Price]]*Table1[[#This Row],[Quantity]]</f>
        <v>98122.76</v>
      </c>
      <c r="M137" s="59">
        <v>24530.69</v>
      </c>
      <c r="N137" s="42">
        <v>45606</v>
      </c>
      <c r="O137" s="20" t="str">
        <f>TEXT(Table1[[#This Row],[Order_Date]],"mmm")</f>
        <v>Nov</v>
      </c>
      <c r="P137" s="20">
        <f t="shared" si="4"/>
        <v>2024</v>
      </c>
      <c r="Q137" s="46">
        <v>45614</v>
      </c>
      <c r="R137" s="20">
        <f>'Cleaned Data'!$Q137-'Cleaned Data'!$N137</f>
        <v>8</v>
      </c>
      <c r="S137" s="19" t="str">
        <f t="shared" si="5"/>
        <v>Winter</v>
      </c>
    </row>
    <row r="138" spans="1:19" x14ac:dyDescent="0.3">
      <c r="A138" s="13" t="s">
        <v>315</v>
      </c>
      <c r="B138" s="13" t="s">
        <v>24</v>
      </c>
      <c r="C138" s="5" t="s">
        <v>32</v>
      </c>
      <c r="D138" s="5" t="s">
        <v>43</v>
      </c>
      <c r="E138" s="5" t="s">
        <v>58</v>
      </c>
      <c r="F138" s="5" t="s">
        <v>63</v>
      </c>
      <c r="G138" s="5" t="s">
        <v>68</v>
      </c>
      <c r="H138" s="38">
        <v>23167.87</v>
      </c>
      <c r="I138" s="14">
        <v>0.2</v>
      </c>
      <c r="J138" s="38">
        <v>18534.295999999998</v>
      </c>
      <c r="K138" s="5">
        <v>4</v>
      </c>
      <c r="L138" s="62">
        <f>Table1[[#This Row],[Final_Unit_Price]]*Table1[[#This Row],[Quantity]]</f>
        <v>74137.183999999994</v>
      </c>
      <c r="M138" s="60">
        <v>18534.29</v>
      </c>
      <c r="N138" s="43">
        <v>45716</v>
      </c>
      <c r="O138" s="18" t="str">
        <f>TEXT(Table1[[#This Row],[Order_Date]],"mmm")</f>
        <v>Feb</v>
      </c>
      <c r="P138" s="18">
        <f t="shared" si="4"/>
        <v>2025</v>
      </c>
      <c r="Q138" s="45">
        <v>45719</v>
      </c>
      <c r="R138" s="19">
        <f>'Cleaned Data'!$Q138-'Cleaned Data'!$N138</f>
        <v>3</v>
      </c>
      <c r="S138" s="19" t="str">
        <f t="shared" si="5"/>
        <v>Summer</v>
      </c>
    </row>
    <row r="139" spans="1:19" x14ac:dyDescent="0.3">
      <c r="A139" s="11" t="s">
        <v>316</v>
      </c>
      <c r="B139" s="11" t="s">
        <v>20</v>
      </c>
      <c r="C139" s="3" t="s">
        <v>32</v>
      </c>
      <c r="D139" s="3" t="s">
        <v>43</v>
      </c>
      <c r="E139" s="3" t="s">
        <v>58</v>
      </c>
      <c r="F139" s="3" t="s">
        <v>63</v>
      </c>
      <c r="G139" s="3" t="s">
        <v>73</v>
      </c>
      <c r="H139" s="37">
        <v>29338.62</v>
      </c>
      <c r="I139" s="12">
        <v>0.05</v>
      </c>
      <c r="J139" s="37">
        <v>27871.688999999998</v>
      </c>
      <c r="K139" s="3">
        <v>4</v>
      </c>
      <c r="L139" s="61">
        <f>Table1[[#This Row],[Final_Unit_Price]]*Table1[[#This Row],[Quantity]]</f>
        <v>111486.75599999999</v>
      </c>
      <c r="M139" s="59">
        <v>27871.69</v>
      </c>
      <c r="N139" s="42">
        <v>45735</v>
      </c>
      <c r="O139" s="20" t="str">
        <f>TEXT(Table1[[#This Row],[Order_Date]],"mmm")</f>
        <v>Mar</v>
      </c>
      <c r="P139" s="20">
        <f t="shared" si="4"/>
        <v>2025</v>
      </c>
      <c r="Q139" s="46">
        <v>45740</v>
      </c>
      <c r="R139" s="20">
        <f>'Cleaned Data'!$Q139-'Cleaned Data'!$N139</f>
        <v>5</v>
      </c>
      <c r="S139" s="19" t="str">
        <f t="shared" si="5"/>
        <v>Summer</v>
      </c>
    </row>
    <row r="140" spans="1:19" x14ac:dyDescent="0.3">
      <c r="A140" s="13" t="s">
        <v>317</v>
      </c>
      <c r="B140" s="13" t="s">
        <v>29</v>
      </c>
      <c r="C140" s="5" t="s">
        <v>35</v>
      </c>
      <c r="D140" s="5" t="s">
        <v>46</v>
      </c>
      <c r="E140" s="5" t="s">
        <v>59</v>
      </c>
      <c r="F140" s="5" t="s">
        <v>63</v>
      </c>
      <c r="G140" s="5" t="s">
        <v>68</v>
      </c>
      <c r="H140" s="38">
        <v>19963.52</v>
      </c>
      <c r="I140" s="14">
        <v>0.25</v>
      </c>
      <c r="J140" s="38">
        <v>14972.64</v>
      </c>
      <c r="K140" s="5">
        <v>1</v>
      </c>
      <c r="L140" s="62">
        <f>Table1[[#This Row],[Final_Unit_Price]]*Table1[[#This Row],[Quantity]]</f>
        <v>14972.64</v>
      </c>
      <c r="M140" s="60">
        <v>5240.42</v>
      </c>
      <c r="N140" s="43">
        <v>45627</v>
      </c>
      <c r="O140" s="18" t="str">
        <f>TEXT(Table1[[#This Row],[Order_Date]],"mmm")</f>
        <v>Dec</v>
      </c>
      <c r="P140" s="18">
        <f t="shared" si="4"/>
        <v>2024</v>
      </c>
      <c r="Q140" s="45">
        <v>45632</v>
      </c>
      <c r="R140" s="19">
        <f>'Cleaned Data'!$Q140-'Cleaned Data'!$N140</f>
        <v>5</v>
      </c>
      <c r="S140" s="19" t="str">
        <f t="shared" si="5"/>
        <v>Winter</v>
      </c>
    </row>
    <row r="141" spans="1:19" x14ac:dyDescent="0.3">
      <c r="A141" s="11" t="s">
        <v>318</v>
      </c>
      <c r="B141" s="11" t="s">
        <v>28</v>
      </c>
      <c r="C141" s="3" t="s">
        <v>34</v>
      </c>
      <c r="D141" s="3" t="s">
        <v>49</v>
      </c>
      <c r="E141" s="3" t="s">
        <v>59</v>
      </c>
      <c r="F141" s="3" t="s">
        <v>62</v>
      </c>
      <c r="G141" s="3" t="s">
        <v>67</v>
      </c>
      <c r="H141" s="37">
        <v>1915.25</v>
      </c>
      <c r="I141" s="12">
        <v>0.2</v>
      </c>
      <c r="J141" s="37">
        <v>1532.2</v>
      </c>
      <c r="K141" s="3">
        <v>1</v>
      </c>
      <c r="L141" s="61">
        <f>Table1[[#This Row],[Final_Unit_Price]]*Table1[[#This Row],[Quantity]]</f>
        <v>1532.2</v>
      </c>
      <c r="M141" s="59">
        <v>536.27</v>
      </c>
      <c r="N141" s="42">
        <v>45560</v>
      </c>
      <c r="O141" s="20" t="str">
        <f>TEXT(Table1[[#This Row],[Order_Date]],"mmm")</f>
        <v>Sep</v>
      </c>
      <c r="P141" s="20">
        <f t="shared" si="4"/>
        <v>2024</v>
      </c>
      <c r="Q141" s="46">
        <v>45567</v>
      </c>
      <c r="R141" s="20">
        <f>'Cleaned Data'!$Q141-'Cleaned Data'!$N141</f>
        <v>7</v>
      </c>
      <c r="S141" s="19" t="str">
        <f t="shared" si="5"/>
        <v>Monsoon</v>
      </c>
    </row>
    <row r="142" spans="1:19" x14ac:dyDescent="0.3">
      <c r="A142" s="13" t="s">
        <v>319</v>
      </c>
      <c r="B142" s="13" t="s">
        <v>16</v>
      </c>
      <c r="C142" s="5" t="s">
        <v>31</v>
      </c>
      <c r="D142" s="5" t="s">
        <v>42</v>
      </c>
      <c r="E142" s="5" t="s">
        <v>60</v>
      </c>
      <c r="F142" s="5" t="s">
        <v>64</v>
      </c>
      <c r="G142" s="5" t="s">
        <v>74</v>
      </c>
      <c r="H142" s="38">
        <v>2304.21</v>
      </c>
      <c r="I142" s="14">
        <v>0.2</v>
      </c>
      <c r="J142" s="38">
        <v>1843.3679999999999</v>
      </c>
      <c r="K142" s="5">
        <v>4</v>
      </c>
      <c r="L142" s="62">
        <f>Table1[[#This Row],[Final_Unit_Price]]*Table1[[#This Row],[Quantity]]</f>
        <v>7373.4719999999998</v>
      </c>
      <c r="M142" s="60">
        <v>1106.02</v>
      </c>
      <c r="N142" s="43">
        <v>45807</v>
      </c>
      <c r="O142" s="18" t="str">
        <f>TEXT(Table1[[#This Row],[Order_Date]],"mmm")</f>
        <v>May</v>
      </c>
      <c r="P142" s="18">
        <f t="shared" si="4"/>
        <v>2025</v>
      </c>
      <c r="Q142" s="45">
        <v>45810</v>
      </c>
      <c r="R142" s="19">
        <f>'Cleaned Data'!$Q142-'Cleaned Data'!$N142</f>
        <v>3</v>
      </c>
      <c r="S142" s="19" t="str">
        <f t="shared" si="5"/>
        <v>Summer</v>
      </c>
    </row>
    <row r="143" spans="1:19" x14ac:dyDescent="0.3">
      <c r="A143" s="11" t="s">
        <v>320</v>
      </c>
      <c r="B143" s="11" t="s">
        <v>27</v>
      </c>
      <c r="C143" s="3" t="s">
        <v>35</v>
      </c>
      <c r="D143" s="3" t="s">
        <v>38</v>
      </c>
      <c r="E143" s="3" t="s">
        <v>59</v>
      </c>
      <c r="F143" s="3" t="s">
        <v>64</v>
      </c>
      <c r="G143" s="3" t="s">
        <v>72</v>
      </c>
      <c r="H143" s="37">
        <v>10129.48</v>
      </c>
      <c r="I143" s="12">
        <v>0.05</v>
      </c>
      <c r="J143" s="37">
        <v>9623.0059999999994</v>
      </c>
      <c r="K143" s="3">
        <v>5</v>
      </c>
      <c r="L143" s="61">
        <f>Table1[[#This Row],[Final_Unit_Price]]*Table1[[#This Row],[Quantity]]</f>
        <v>48115.03</v>
      </c>
      <c r="M143" s="59">
        <v>16840.259999999998</v>
      </c>
      <c r="N143" s="42">
        <v>45318</v>
      </c>
      <c r="O143" s="20" t="str">
        <f>TEXT(Table1[[#This Row],[Order_Date]],"mmm")</f>
        <v>Jan</v>
      </c>
      <c r="P143" s="20">
        <f t="shared" si="4"/>
        <v>2024</v>
      </c>
      <c r="Q143" s="46">
        <v>45320</v>
      </c>
      <c r="R143" s="20">
        <f>'Cleaned Data'!$Q143-'Cleaned Data'!$N143</f>
        <v>2</v>
      </c>
      <c r="S143" s="19" t="str">
        <f t="shared" si="5"/>
        <v>Winter</v>
      </c>
    </row>
    <row r="144" spans="1:19" x14ac:dyDescent="0.3">
      <c r="A144" s="13" t="s">
        <v>321</v>
      </c>
      <c r="B144" s="13" t="s">
        <v>20</v>
      </c>
      <c r="C144" s="5" t="s">
        <v>32</v>
      </c>
      <c r="D144" s="5" t="s">
        <v>43</v>
      </c>
      <c r="E144" s="5" t="s">
        <v>58</v>
      </c>
      <c r="F144" s="5" t="s">
        <v>63</v>
      </c>
      <c r="G144" s="5" t="s">
        <v>73</v>
      </c>
      <c r="H144" s="38">
        <v>27275.06</v>
      </c>
      <c r="I144" s="14">
        <v>0</v>
      </c>
      <c r="J144" s="38">
        <v>27275.06</v>
      </c>
      <c r="K144" s="5">
        <v>3</v>
      </c>
      <c r="L144" s="62">
        <f>Table1[[#This Row],[Final_Unit_Price]]*Table1[[#This Row],[Quantity]]</f>
        <v>81825.180000000008</v>
      </c>
      <c r="M144" s="60">
        <v>20456.29</v>
      </c>
      <c r="N144" s="43">
        <v>45541</v>
      </c>
      <c r="O144" s="18" t="str">
        <f>TEXT(Table1[[#This Row],[Order_Date]],"mmm")</f>
        <v>Sep</v>
      </c>
      <c r="P144" s="18">
        <f t="shared" si="4"/>
        <v>2024</v>
      </c>
      <c r="Q144" s="45">
        <v>45547</v>
      </c>
      <c r="R144" s="19">
        <f>'Cleaned Data'!$Q144-'Cleaned Data'!$N144</f>
        <v>6</v>
      </c>
      <c r="S144" s="19" t="str">
        <f t="shared" si="5"/>
        <v>Monsoon</v>
      </c>
    </row>
    <row r="145" spans="1:19" x14ac:dyDescent="0.3">
      <c r="A145" s="11" t="s">
        <v>322</v>
      </c>
      <c r="B145" s="11" t="s">
        <v>30</v>
      </c>
      <c r="C145" s="3" t="s">
        <v>33</v>
      </c>
      <c r="D145" s="3" t="s">
        <v>57</v>
      </c>
      <c r="E145" s="3" t="s">
        <v>60</v>
      </c>
      <c r="F145" s="3" t="s">
        <v>61</v>
      </c>
      <c r="G145" s="3" t="s">
        <v>71</v>
      </c>
      <c r="H145" s="37">
        <v>12960.34</v>
      </c>
      <c r="I145" s="12">
        <v>0.2</v>
      </c>
      <c r="J145" s="37">
        <v>10368.272000000001</v>
      </c>
      <c r="K145" s="3">
        <v>3</v>
      </c>
      <c r="L145" s="61">
        <f>Table1[[#This Row],[Final_Unit_Price]]*Table1[[#This Row],[Quantity]]</f>
        <v>31104.816000000003</v>
      </c>
      <c r="M145" s="59">
        <v>4665.72</v>
      </c>
      <c r="N145" s="42">
        <v>45840</v>
      </c>
      <c r="O145" s="20" t="str">
        <f>TEXT(Table1[[#This Row],[Order_Date]],"mmm")</f>
        <v>Jul</v>
      </c>
      <c r="P145" s="20">
        <f t="shared" si="4"/>
        <v>2025</v>
      </c>
      <c r="Q145" s="46">
        <v>45844</v>
      </c>
      <c r="R145" s="20">
        <f>'Cleaned Data'!$Q145-'Cleaned Data'!$N145</f>
        <v>4</v>
      </c>
      <c r="S145" s="19" t="str">
        <f t="shared" si="5"/>
        <v>Monsoon</v>
      </c>
    </row>
    <row r="146" spans="1:19" x14ac:dyDescent="0.3">
      <c r="A146" s="13" t="s">
        <v>323</v>
      </c>
      <c r="B146" s="13" t="s">
        <v>22</v>
      </c>
      <c r="C146" s="5" t="s">
        <v>31</v>
      </c>
      <c r="D146" s="5" t="s">
        <v>36</v>
      </c>
      <c r="E146" s="5" t="s">
        <v>58</v>
      </c>
      <c r="F146" s="5" t="s">
        <v>64</v>
      </c>
      <c r="G146" s="5" t="s">
        <v>74</v>
      </c>
      <c r="H146" s="38">
        <v>3783.03</v>
      </c>
      <c r="I146" s="14">
        <v>0.25</v>
      </c>
      <c r="J146" s="38">
        <v>2837.2725</v>
      </c>
      <c r="K146" s="5">
        <v>5</v>
      </c>
      <c r="L146" s="62">
        <f>Table1[[#This Row],[Final_Unit_Price]]*Table1[[#This Row],[Quantity]]</f>
        <v>14186.362499999999</v>
      </c>
      <c r="M146" s="60">
        <v>3546.59</v>
      </c>
      <c r="N146" s="43">
        <v>45799</v>
      </c>
      <c r="O146" s="18" t="str">
        <f>TEXT(Table1[[#This Row],[Order_Date]],"mmm")</f>
        <v>May</v>
      </c>
      <c r="P146" s="18">
        <f t="shared" si="4"/>
        <v>2025</v>
      </c>
      <c r="Q146" s="45">
        <v>45807</v>
      </c>
      <c r="R146" s="19">
        <f>'Cleaned Data'!$Q146-'Cleaned Data'!$N146</f>
        <v>8</v>
      </c>
      <c r="S146" s="19" t="str">
        <f t="shared" si="5"/>
        <v>Summer</v>
      </c>
    </row>
    <row r="147" spans="1:19" x14ac:dyDescent="0.3">
      <c r="A147" s="11" t="s">
        <v>324</v>
      </c>
      <c r="B147" s="11" t="s">
        <v>19</v>
      </c>
      <c r="C147" s="3" t="s">
        <v>33</v>
      </c>
      <c r="D147" s="3" t="s">
        <v>53</v>
      </c>
      <c r="E147" s="3" t="s">
        <v>58</v>
      </c>
      <c r="F147" s="3" t="s">
        <v>61</v>
      </c>
      <c r="G147" s="3" t="s">
        <v>65</v>
      </c>
      <c r="H147" s="37">
        <v>1970.09</v>
      </c>
      <c r="I147" s="12">
        <v>0.25</v>
      </c>
      <c r="J147" s="37">
        <v>1477.5675000000001</v>
      </c>
      <c r="K147" s="3">
        <v>2</v>
      </c>
      <c r="L147" s="61">
        <f>Table1[[#This Row],[Final_Unit_Price]]*Table1[[#This Row],[Quantity]]</f>
        <v>2955.1350000000002</v>
      </c>
      <c r="M147" s="59">
        <v>738.78</v>
      </c>
      <c r="N147" s="42">
        <v>45585</v>
      </c>
      <c r="O147" s="20" t="str">
        <f>TEXT(Table1[[#This Row],[Order_Date]],"mmm")</f>
        <v>Oct</v>
      </c>
      <c r="P147" s="20">
        <f t="shared" si="4"/>
        <v>2024</v>
      </c>
      <c r="Q147" s="46">
        <v>45592</v>
      </c>
      <c r="R147" s="20">
        <f>'Cleaned Data'!$Q147-'Cleaned Data'!$N147</f>
        <v>7</v>
      </c>
      <c r="S147" s="19" t="str">
        <f t="shared" si="5"/>
        <v>Winter</v>
      </c>
    </row>
    <row r="148" spans="1:19" x14ac:dyDescent="0.3">
      <c r="A148" s="13" t="s">
        <v>325</v>
      </c>
      <c r="B148" s="13" t="s">
        <v>23</v>
      </c>
      <c r="C148" s="5" t="s">
        <v>35</v>
      </c>
      <c r="D148" s="5" t="s">
        <v>48</v>
      </c>
      <c r="E148" s="5" t="s">
        <v>58</v>
      </c>
      <c r="F148" s="5" t="s">
        <v>63</v>
      </c>
      <c r="G148" s="5" t="s">
        <v>68</v>
      </c>
      <c r="H148" s="38">
        <v>24664</v>
      </c>
      <c r="I148" s="14">
        <v>0.3</v>
      </c>
      <c r="J148" s="38">
        <v>17264.8</v>
      </c>
      <c r="K148" s="5">
        <v>3</v>
      </c>
      <c r="L148" s="62">
        <f>Table1[[#This Row],[Final_Unit_Price]]*Table1[[#This Row],[Quantity]]</f>
        <v>51794.399999999994</v>
      </c>
      <c r="M148" s="60">
        <v>12948.6</v>
      </c>
      <c r="N148" s="43">
        <v>45713</v>
      </c>
      <c r="O148" s="18" t="str">
        <f>TEXT(Table1[[#This Row],[Order_Date]],"mmm")</f>
        <v>Feb</v>
      </c>
      <c r="P148" s="18">
        <f t="shared" si="4"/>
        <v>2025</v>
      </c>
      <c r="Q148" s="45">
        <v>45719</v>
      </c>
      <c r="R148" s="19">
        <f>'Cleaned Data'!$Q148-'Cleaned Data'!$N148</f>
        <v>6</v>
      </c>
      <c r="S148" s="19" t="str">
        <f t="shared" si="5"/>
        <v>Summer</v>
      </c>
    </row>
    <row r="149" spans="1:19" x14ac:dyDescent="0.3">
      <c r="A149" s="11" t="s">
        <v>326</v>
      </c>
      <c r="B149" s="11" t="s">
        <v>29</v>
      </c>
      <c r="C149" s="3" t="s">
        <v>35</v>
      </c>
      <c r="D149" s="3" t="s">
        <v>46</v>
      </c>
      <c r="E149" s="3" t="s">
        <v>59</v>
      </c>
      <c r="F149" s="3" t="s">
        <v>63</v>
      </c>
      <c r="G149" s="3" t="s">
        <v>68</v>
      </c>
      <c r="H149" s="37">
        <v>21249.4</v>
      </c>
      <c r="I149" s="12">
        <v>0.3</v>
      </c>
      <c r="J149" s="37">
        <v>14874.58</v>
      </c>
      <c r="K149" s="3">
        <v>5</v>
      </c>
      <c r="L149" s="61">
        <f>Table1[[#This Row],[Final_Unit_Price]]*Table1[[#This Row],[Quantity]]</f>
        <v>74372.899999999994</v>
      </c>
      <c r="M149" s="59">
        <v>26030.51</v>
      </c>
      <c r="N149" s="42">
        <v>45826</v>
      </c>
      <c r="O149" s="20" t="str">
        <f>TEXT(Table1[[#This Row],[Order_Date]],"mmm")</f>
        <v>Jun</v>
      </c>
      <c r="P149" s="20">
        <f t="shared" si="4"/>
        <v>2025</v>
      </c>
      <c r="Q149" s="46">
        <v>45834</v>
      </c>
      <c r="R149" s="20">
        <f>'Cleaned Data'!$Q149-'Cleaned Data'!$N149</f>
        <v>8</v>
      </c>
      <c r="S149" s="19" t="str">
        <f t="shared" si="5"/>
        <v>Monsoon</v>
      </c>
    </row>
    <row r="150" spans="1:19" x14ac:dyDescent="0.3">
      <c r="A150" s="13" t="s">
        <v>327</v>
      </c>
      <c r="B150" s="13" t="s">
        <v>19</v>
      </c>
      <c r="C150" s="5" t="s">
        <v>33</v>
      </c>
      <c r="D150" s="5" t="s">
        <v>53</v>
      </c>
      <c r="E150" s="5" t="s">
        <v>58</v>
      </c>
      <c r="F150" s="5" t="s">
        <v>64</v>
      </c>
      <c r="G150" s="5" t="s">
        <v>72</v>
      </c>
      <c r="H150" s="38">
        <v>2141.9499999999998</v>
      </c>
      <c r="I150" s="14">
        <v>0.3</v>
      </c>
      <c r="J150" s="38">
        <v>1499.365</v>
      </c>
      <c r="K150" s="5">
        <v>4</v>
      </c>
      <c r="L150" s="62">
        <f>Table1[[#This Row],[Final_Unit_Price]]*Table1[[#This Row],[Quantity]]</f>
        <v>5997.46</v>
      </c>
      <c r="M150" s="60">
        <v>1499.37</v>
      </c>
      <c r="N150" s="43">
        <v>45485</v>
      </c>
      <c r="O150" s="18" t="str">
        <f>TEXT(Table1[[#This Row],[Order_Date]],"mmm")</f>
        <v>Jul</v>
      </c>
      <c r="P150" s="18">
        <f t="shared" si="4"/>
        <v>2024</v>
      </c>
      <c r="Q150" s="45">
        <v>45487</v>
      </c>
      <c r="R150" s="19">
        <f>'Cleaned Data'!$Q150-'Cleaned Data'!$N150</f>
        <v>2</v>
      </c>
      <c r="S150" s="19" t="str">
        <f t="shared" si="5"/>
        <v>Monsoon</v>
      </c>
    </row>
    <row r="151" spans="1:19" x14ac:dyDescent="0.3">
      <c r="A151" s="11" t="s">
        <v>328</v>
      </c>
      <c r="B151" s="11" t="s">
        <v>29</v>
      </c>
      <c r="C151" s="3" t="s">
        <v>35</v>
      </c>
      <c r="D151" s="3" t="s">
        <v>48</v>
      </c>
      <c r="E151" s="3" t="s">
        <v>58</v>
      </c>
      <c r="F151" s="3" t="s">
        <v>64</v>
      </c>
      <c r="G151" s="3" t="s">
        <v>72</v>
      </c>
      <c r="H151" s="37">
        <v>19781.11</v>
      </c>
      <c r="I151" s="12">
        <v>0.05</v>
      </c>
      <c r="J151" s="37">
        <v>18792.054499999998</v>
      </c>
      <c r="K151" s="3">
        <v>2</v>
      </c>
      <c r="L151" s="61">
        <f>Table1[[#This Row],[Final_Unit_Price]]*Table1[[#This Row],[Quantity]]</f>
        <v>37584.108999999997</v>
      </c>
      <c r="M151" s="59">
        <v>9396.0300000000007</v>
      </c>
      <c r="N151" s="42">
        <v>45731</v>
      </c>
      <c r="O151" s="20" t="str">
        <f>TEXT(Table1[[#This Row],[Order_Date]],"mmm")</f>
        <v>Mar</v>
      </c>
      <c r="P151" s="20">
        <f t="shared" si="4"/>
        <v>2025</v>
      </c>
      <c r="Q151" s="46">
        <v>45741</v>
      </c>
      <c r="R151" s="20">
        <f>'Cleaned Data'!$Q151-'Cleaned Data'!$N151</f>
        <v>10</v>
      </c>
      <c r="S151" s="19" t="str">
        <f t="shared" si="5"/>
        <v>Summer</v>
      </c>
    </row>
    <row r="152" spans="1:19" x14ac:dyDescent="0.3">
      <c r="A152" s="13" t="s">
        <v>329</v>
      </c>
      <c r="B152" s="13" t="s">
        <v>19</v>
      </c>
      <c r="C152" s="5" t="s">
        <v>33</v>
      </c>
      <c r="D152" s="5" t="s">
        <v>39</v>
      </c>
      <c r="E152" s="5" t="s">
        <v>58</v>
      </c>
      <c r="F152" s="5" t="s">
        <v>61</v>
      </c>
      <c r="G152" s="5" t="s">
        <v>65</v>
      </c>
      <c r="H152" s="38">
        <v>1995.79</v>
      </c>
      <c r="I152" s="14">
        <v>0.3</v>
      </c>
      <c r="J152" s="38">
        <v>1397.0530000000001</v>
      </c>
      <c r="K152" s="5">
        <v>2</v>
      </c>
      <c r="L152" s="62">
        <f>Table1[[#This Row],[Final_Unit_Price]]*Table1[[#This Row],[Quantity]]</f>
        <v>2794.1060000000002</v>
      </c>
      <c r="M152" s="60">
        <v>698.53</v>
      </c>
      <c r="N152" s="43">
        <v>45865</v>
      </c>
      <c r="O152" s="18" t="str">
        <f>TEXT(Table1[[#This Row],[Order_Date]],"mmm")</f>
        <v>Jul</v>
      </c>
      <c r="P152" s="18">
        <f t="shared" si="4"/>
        <v>2025</v>
      </c>
      <c r="Q152" s="45">
        <v>45869</v>
      </c>
      <c r="R152" s="19">
        <f>'Cleaned Data'!$Q152-'Cleaned Data'!$N152</f>
        <v>4</v>
      </c>
      <c r="S152" s="19" t="str">
        <f t="shared" si="5"/>
        <v>Monsoon</v>
      </c>
    </row>
    <row r="153" spans="1:19" x14ac:dyDescent="0.3">
      <c r="A153" s="11" t="s">
        <v>330</v>
      </c>
      <c r="B153" s="11" t="s">
        <v>18</v>
      </c>
      <c r="C153" s="3" t="s">
        <v>33</v>
      </c>
      <c r="D153" s="3" t="s">
        <v>56</v>
      </c>
      <c r="E153" s="3" t="s">
        <v>60</v>
      </c>
      <c r="F153" s="3" t="s">
        <v>61</v>
      </c>
      <c r="G153" s="3" t="s">
        <v>70</v>
      </c>
      <c r="H153" s="37">
        <v>43710.07</v>
      </c>
      <c r="I153" s="12">
        <v>0.25</v>
      </c>
      <c r="J153" s="37">
        <v>32782.552499999998</v>
      </c>
      <c r="K153" s="3">
        <v>4</v>
      </c>
      <c r="L153" s="61">
        <f>Table1[[#This Row],[Final_Unit_Price]]*Table1[[#This Row],[Quantity]]</f>
        <v>131130.21</v>
      </c>
      <c r="M153" s="59">
        <v>19669.53</v>
      </c>
      <c r="N153" s="42">
        <v>45704</v>
      </c>
      <c r="O153" s="20" t="str">
        <f>TEXT(Table1[[#This Row],[Order_Date]],"mmm")</f>
        <v>Feb</v>
      </c>
      <c r="P153" s="20">
        <f t="shared" si="4"/>
        <v>2025</v>
      </c>
      <c r="Q153" s="46">
        <v>45706</v>
      </c>
      <c r="R153" s="20">
        <f>'Cleaned Data'!$Q153-'Cleaned Data'!$N153</f>
        <v>2</v>
      </c>
      <c r="S153" s="19" t="str">
        <f t="shared" si="5"/>
        <v>Summer</v>
      </c>
    </row>
    <row r="154" spans="1:19" x14ac:dyDescent="0.3">
      <c r="A154" s="13" t="s">
        <v>331</v>
      </c>
      <c r="B154" s="13" t="s">
        <v>25</v>
      </c>
      <c r="C154" s="5" t="s">
        <v>34</v>
      </c>
      <c r="D154" s="5" t="s">
        <v>51</v>
      </c>
      <c r="E154" s="5" t="s">
        <v>59</v>
      </c>
      <c r="F154" s="5" t="s">
        <v>61</v>
      </c>
      <c r="G154" s="5" t="s">
        <v>65</v>
      </c>
      <c r="H154" s="38">
        <v>981.44</v>
      </c>
      <c r="I154" s="14">
        <v>0.2</v>
      </c>
      <c r="J154" s="38">
        <v>785.15200000000004</v>
      </c>
      <c r="K154" s="5">
        <v>4</v>
      </c>
      <c r="L154" s="62">
        <f>Table1[[#This Row],[Final_Unit_Price]]*Table1[[#This Row],[Quantity]]</f>
        <v>3140.6080000000002</v>
      </c>
      <c r="M154" s="60">
        <v>1099.21</v>
      </c>
      <c r="N154" s="43">
        <v>45811</v>
      </c>
      <c r="O154" s="18" t="str">
        <f>TEXT(Table1[[#This Row],[Order_Date]],"mmm")</f>
        <v>Jun</v>
      </c>
      <c r="P154" s="18">
        <f t="shared" si="4"/>
        <v>2025</v>
      </c>
      <c r="Q154" s="45">
        <v>45818</v>
      </c>
      <c r="R154" s="19">
        <f>'Cleaned Data'!$Q154-'Cleaned Data'!$N154</f>
        <v>7</v>
      </c>
      <c r="S154" s="19" t="str">
        <f t="shared" si="5"/>
        <v>Monsoon</v>
      </c>
    </row>
    <row r="155" spans="1:19" x14ac:dyDescent="0.3">
      <c r="A155" s="11" t="s">
        <v>332</v>
      </c>
      <c r="B155" s="11" t="s">
        <v>18</v>
      </c>
      <c r="C155" s="3" t="s">
        <v>33</v>
      </c>
      <c r="D155" s="3" t="s">
        <v>53</v>
      </c>
      <c r="E155" s="3" t="s">
        <v>58</v>
      </c>
      <c r="F155" s="3" t="s">
        <v>64</v>
      </c>
      <c r="G155" s="3" t="s">
        <v>72</v>
      </c>
      <c r="H155" s="37">
        <v>55826.45</v>
      </c>
      <c r="I155" s="12">
        <v>0.15</v>
      </c>
      <c r="J155" s="37">
        <v>47452.482499999998</v>
      </c>
      <c r="K155" s="3">
        <v>2</v>
      </c>
      <c r="L155" s="61">
        <f>Table1[[#This Row],[Final_Unit_Price]]*Table1[[#This Row],[Quantity]]</f>
        <v>94904.964999999997</v>
      </c>
      <c r="M155" s="59">
        <v>23726.240000000002</v>
      </c>
      <c r="N155" s="42">
        <v>45368</v>
      </c>
      <c r="O155" s="20" t="str">
        <f>TEXT(Table1[[#This Row],[Order_Date]],"mmm")</f>
        <v>Mar</v>
      </c>
      <c r="P155" s="20">
        <f t="shared" si="4"/>
        <v>2024</v>
      </c>
      <c r="Q155" s="46">
        <v>45374</v>
      </c>
      <c r="R155" s="20">
        <f>'Cleaned Data'!$Q155-'Cleaned Data'!$N155</f>
        <v>6</v>
      </c>
      <c r="S155" s="19" t="str">
        <f t="shared" si="5"/>
        <v>Summer</v>
      </c>
    </row>
    <row r="156" spans="1:19" x14ac:dyDescent="0.3">
      <c r="A156" s="13" t="s">
        <v>333</v>
      </c>
      <c r="B156" s="13" t="s">
        <v>28</v>
      </c>
      <c r="C156" s="5" t="s">
        <v>34</v>
      </c>
      <c r="D156" s="5" t="s">
        <v>51</v>
      </c>
      <c r="E156" s="5" t="s">
        <v>59</v>
      </c>
      <c r="F156" s="5" t="s">
        <v>64</v>
      </c>
      <c r="G156" s="5" t="s">
        <v>76</v>
      </c>
      <c r="H156" s="38">
        <v>1864.87</v>
      </c>
      <c r="I156" s="14">
        <v>0.25</v>
      </c>
      <c r="J156" s="38">
        <v>1398.6524999999999</v>
      </c>
      <c r="K156" s="5">
        <v>5</v>
      </c>
      <c r="L156" s="62">
        <f>Table1[[#This Row],[Final_Unit_Price]]*Table1[[#This Row],[Quantity]]</f>
        <v>6993.2624999999998</v>
      </c>
      <c r="M156" s="60">
        <v>1958.11</v>
      </c>
      <c r="N156" s="43">
        <v>45667</v>
      </c>
      <c r="O156" s="18" t="str">
        <f>TEXT(Table1[[#This Row],[Order_Date]],"mmm")</f>
        <v>Jan</v>
      </c>
      <c r="P156" s="18">
        <f t="shared" si="4"/>
        <v>2025</v>
      </c>
      <c r="Q156" s="45">
        <v>45676</v>
      </c>
      <c r="R156" s="19">
        <f>'Cleaned Data'!$Q156-'Cleaned Data'!$N156</f>
        <v>9</v>
      </c>
      <c r="S156" s="19" t="str">
        <f t="shared" si="5"/>
        <v>Winter</v>
      </c>
    </row>
    <row r="157" spans="1:19" x14ac:dyDescent="0.3">
      <c r="A157" s="11" t="s">
        <v>334</v>
      </c>
      <c r="B157" s="11" t="s">
        <v>21</v>
      </c>
      <c r="C157" s="3" t="s">
        <v>34</v>
      </c>
      <c r="D157" s="3" t="s">
        <v>41</v>
      </c>
      <c r="E157" s="3" t="s">
        <v>60</v>
      </c>
      <c r="F157" s="3" t="s">
        <v>61</v>
      </c>
      <c r="G157" s="3" t="s">
        <v>71</v>
      </c>
      <c r="H157" s="37">
        <v>2466.38</v>
      </c>
      <c r="I157" s="12">
        <v>0.25</v>
      </c>
      <c r="J157" s="37">
        <v>1849.7850000000001</v>
      </c>
      <c r="K157" s="3">
        <v>2</v>
      </c>
      <c r="L157" s="61">
        <f>Table1[[#This Row],[Final_Unit_Price]]*Table1[[#This Row],[Quantity]]</f>
        <v>3699.57</v>
      </c>
      <c r="M157" s="59">
        <v>554.94000000000005</v>
      </c>
      <c r="N157" s="42">
        <v>45777</v>
      </c>
      <c r="O157" s="20" t="str">
        <f>TEXT(Table1[[#This Row],[Order_Date]],"mmm")</f>
        <v>Apr</v>
      </c>
      <c r="P157" s="20">
        <f t="shared" si="4"/>
        <v>2025</v>
      </c>
      <c r="Q157" s="46">
        <v>45784</v>
      </c>
      <c r="R157" s="20">
        <f>'Cleaned Data'!$Q157-'Cleaned Data'!$N157</f>
        <v>7</v>
      </c>
      <c r="S157" s="19" t="str">
        <f t="shared" si="5"/>
        <v>Summer</v>
      </c>
    </row>
    <row r="158" spans="1:19" x14ac:dyDescent="0.3">
      <c r="A158" s="13" t="s">
        <v>335</v>
      </c>
      <c r="B158" s="13" t="s">
        <v>17</v>
      </c>
      <c r="C158" s="5" t="s">
        <v>32</v>
      </c>
      <c r="D158" s="5" t="s">
        <v>54</v>
      </c>
      <c r="E158" s="5" t="s">
        <v>60</v>
      </c>
      <c r="F158" s="5" t="s">
        <v>63</v>
      </c>
      <c r="G158" s="5" t="s">
        <v>75</v>
      </c>
      <c r="H158" s="38">
        <v>6626.59</v>
      </c>
      <c r="I158" s="14">
        <v>0.05</v>
      </c>
      <c r="J158" s="38">
        <v>6295.2604999999994</v>
      </c>
      <c r="K158" s="5">
        <v>3</v>
      </c>
      <c r="L158" s="62">
        <f>Table1[[#This Row],[Final_Unit_Price]]*Table1[[#This Row],[Quantity]]</f>
        <v>18885.781499999997</v>
      </c>
      <c r="M158" s="60">
        <v>2832.87</v>
      </c>
      <c r="N158" s="43">
        <v>45563</v>
      </c>
      <c r="O158" s="18" t="str">
        <f>TEXT(Table1[[#This Row],[Order_Date]],"mmm")</f>
        <v>Sep</v>
      </c>
      <c r="P158" s="18">
        <f t="shared" si="4"/>
        <v>2024</v>
      </c>
      <c r="Q158" s="45">
        <v>45573</v>
      </c>
      <c r="R158" s="19">
        <f>'Cleaned Data'!$Q158-'Cleaned Data'!$N158</f>
        <v>10</v>
      </c>
      <c r="S158" s="19" t="str">
        <f t="shared" si="5"/>
        <v>Monsoon</v>
      </c>
    </row>
    <row r="159" spans="1:19" x14ac:dyDescent="0.3">
      <c r="A159" s="11" t="s">
        <v>336</v>
      </c>
      <c r="B159" s="11" t="s">
        <v>22</v>
      </c>
      <c r="C159" s="3" t="s">
        <v>31</v>
      </c>
      <c r="D159" s="3" t="s">
        <v>47</v>
      </c>
      <c r="E159" s="3" t="s">
        <v>59</v>
      </c>
      <c r="F159" s="3" t="s">
        <v>62</v>
      </c>
      <c r="G159" s="3" t="s">
        <v>67</v>
      </c>
      <c r="H159" s="37">
        <v>4216.32</v>
      </c>
      <c r="I159" s="12">
        <v>0.3</v>
      </c>
      <c r="J159" s="37">
        <v>2951.424</v>
      </c>
      <c r="K159" s="3">
        <v>1</v>
      </c>
      <c r="L159" s="61">
        <f>Table1[[#This Row],[Final_Unit_Price]]*Table1[[#This Row],[Quantity]]</f>
        <v>2951.424</v>
      </c>
      <c r="M159" s="59">
        <v>1033</v>
      </c>
      <c r="N159" s="42">
        <v>45472</v>
      </c>
      <c r="O159" s="20" t="str">
        <f>TEXT(Table1[[#This Row],[Order_Date]],"mmm")</f>
        <v>Jun</v>
      </c>
      <c r="P159" s="20">
        <f t="shared" si="4"/>
        <v>2024</v>
      </c>
      <c r="Q159" s="46">
        <v>45481</v>
      </c>
      <c r="R159" s="20">
        <f>'Cleaned Data'!$Q159-'Cleaned Data'!$N159</f>
        <v>9</v>
      </c>
      <c r="S159" s="19" t="str">
        <f t="shared" si="5"/>
        <v>Monsoon</v>
      </c>
    </row>
    <row r="160" spans="1:19" x14ac:dyDescent="0.3">
      <c r="A160" s="13" t="s">
        <v>337</v>
      </c>
      <c r="B160" s="13" t="s">
        <v>28</v>
      </c>
      <c r="C160" s="5" t="s">
        <v>34</v>
      </c>
      <c r="D160" s="5" t="s">
        <v>41</v>
      </c>
      <c r="E160" s="5" t="s">
        <v>60</v>
      </c>
      <c r="F160" s="5" t="s">
        <v>63</v>
      </c>
      <c r="G160" s="5" t="s">
        <v>68</v>
      </c>
      <c r="H160" s="38">
        <v>1250.69</v>
      </c>
      <c r="I160" s="14">
        <v>0.05</v>
      </c>
      <c r="J160" s="38">
        <v>1188.1555000000001</v>
      </c>
      <c r="K160" s="5">
        <v>3</v>
      </c>
      <c r="L160" s="62">
        <f>Table1[[#This Row],[Final_Unit_Price]]*Table1[[#This Row],[Quantity]]</f>
        <v>3564.4665000000005</v>
      </c>
      <c r="M160" s="60">
        <v>534.66999999999996</v>
      </c>
      <c r="N160" s="43">
        <v>45545</v>
      </c>
      <c r="O160" s="18" t="str">
        <f>TEXT(Table1[[#This Row],[Order_Date]],"mmm")</f>
        <v>Sep</v>
      </c>
      <c r="P160" s="18">
        <f t="shared" si="4"/>
        <v>2024</v>
      </c>
      <c r="Q160" s="45">
        <v>45552</v>
      </c>
      <c r="R160" s="19">
        <f>'Cleaned Data'!$Q160-'Cleaned Data'!$N160</f>
        <v>7</v>
      </c>
      <c r="S160" s="19" t="str">
        <f t="shared" si="5"/>
        <v>Monsoon</v>
      </c>
    </row>
    <row r="161" spans="1:19" x14ac:dyDescent="0.3">
      <c r="A161" s="11" t="s">
        <v>338</v>
      </c>
      <c r="B161" s="11" t="s">
        <v>28</v>
      </c>
      <c r="C161" s="3" t="s">
        <v>34</v>
      </c>
      <c r="D161" s="3" t="s">
        <v>49</v>
      </c>
      <c r="E161" s="3" t="s">
        <v>59</v>
      </c>
      <c r="F161" s="3" t="s">
        <v>64</v>
      </c>
      <c r="G161" s="3" t="s">
        <v>72</v>
      </c>
      <c r="H161" s="37">
        <v>1876.96</v>
      </c>
      <c r="I161" s="12">
        <v>0.15</v>
      </c>
      <c r="J161" s="37">
        <v>1595.4159999999999</v>
      </c>
      <c r="K161" s="3">
        <v>5</v>
      </c>
      <c r="L161" s="61">
        <f>Table1[[#This Row],[Final_Unit_Price]]*Table1[[#This Row],[Quantity]]</f>
        <v>7977.08</v>
      </c>
      <c r="M161" s="59">
        <v>2791.98</v>
      </c>
      <c r="N161" s="42">
        <v>45347</v>
      </c>
      <c r="O161" s="20" t="str">
        <f>TEXT(Table1[[#This Row],[Order_Date]],"mmm")</f>
        <v>Feb</v>
      </c>
      <c r="P161" s="20">
        <f t="shared" si="4"/>
        <v>2024</v>
      </c>
      <c r="Q161" s="46">
        <v>45349</v>
      </c>
      <c r="R161" s="20">
        <f>'Cleaned Data'!$Q161-'Cleaned Data'!$N161</f>
        <v>2</v>
      </c>
      <c r="S161" s="19" t="str">
        <f t="shared" si="5"/>
        <v>Summer</v>
      </c>
    </row>
    <row r="162" spans="1:19" x14ac:dyDescent="0.3">
      <c r="A162" s="13" t="s">
        <v>339</v>
      </c>
      <c r="B162" s="13" t="s">
        <v>20</v>
      </c>
      <c r="C162" s="5" t="s">
        <v>32</v>
      </c>
      <c r="D162" s="5" t="s">
        <v>40</v>
      </c>
      <c r="E162" s="5" t="s">
        <v>59</v>
      </c>
      <c r="F162" s="5" t="s">
        <v>64</v>
      </c>
      <c r="G162" s="5" t="s">
        <v>76</v>
      </c>
      <c r="H162" s="38">
        <v>37616.82</v>
      </c>
      <c r="I162" s="14">
        <v>0</v>
      </c>
      <c r="J162" s="38">
        <v>37616.82</v>
      </c>
      <c r="K162" s="5">
        <v>2</v>
      </c>
      <c r="L162" s="62">
        <f>Table1[[#This Row],[Final_Unit_Price]]*Table1[[#This Row],[Quantity]]</f>
        <v>75233.64</v>
      </c>
      <c r="M162" s="60">
        <v>26331.77</v>
      </c>
      <c r="N162" s="43">
        <v>45559</v>
      </c>
      <c r="O162" s="18" t="str">
        <f>TEXT(Table1[[#This Row],[Order_Date]],"mmm")</f>
        <v>Sep</v>
      </c>
      <c r="P162" s="18">
        <f t="shared" si="4"/>
        <v>2024</v>
      </c>
      <c r="Q162" s="45">
        <v>45561</v>
      </c>
      <c r="R162" s="19">
        <f>'Cleaned Data'!$Q162-'Cleaned Data'!$N162</f>
        <v>2</v>
      </c>
      <c r="S162" s="19" t="str">
        <f t="shared" si="5"/>
        <v>Monsoon</v>
      </c>
    </row>
    <row r="163" spans="1:19" x14ac:dyDescent="0.3">
      <c r="A163" s="11" t="s">
        <v>340</v>
      </c>
      <c r="B163" s="11" t="s">
        <v>17</v>
      </c>
      <c r="C163" s="3" t="s">
        <v>32</v>
      </c>
      <c r="D163" s="3" t="s">
        <v>40</v>
      </c>
      <c r="E163" s="3" t="s">
        <v>59</v>
      </c>
      <c r="F163" s="3" t="s">
        <v>62</v>
      </c>
      <c r="G163" s="3" t="s">
        <v>69</v>
      </c>
      <c r="H163" s="37">
        <v>9695.11</v>
      </c>
      <c r="I163" s="12">
        <v>0.05</v>
      </c>
      <c r="J163" s="37">
        <v>9210.3544999999995</v>
      </c>
      <c r="K163" s="3">
        <v>2</v>
      </c>
      <c r="L163" s="61">
        <f>Table1[[#This Row],[Final_Unit_Price]]*Table1[[#This Row],[Quantity]]</f>
        <v>18420.708999999999</v>
      </c>
      <c r="M163" s="59">
        <v>6447.25</v>
      </c>
      <c r="N163" s="42">
        <v>45392</v>
      </c>
      <c r="O163" s="20" t="str">
        <f>TEXT(Table1[[#This Row],[Order_Date]],"mmm")</f>
        <v>Apr</v>
      </c>
      <c r="P163" s="20">
        <f t="shared" si="4"/>
        <v>2024</v>
      </c>
      <c r="Q163" s="46">
        <v>45401</v>
      </c>
      <c r="R163" s="20">
        <f>'Cleaned Data'!$Q163-'Cleaned Data'!$N163</f>
        <v>9</v>
      </c>
      <c r="S163" s="19" t="str">
        <f t="shared" si="5"/>
        <v>Summer</v>
      </c>
    </row>
    <row r="164" spans="1:19" x14ac:dyDescent="0.3">
      <c r="A164" s="13" t="s">
        <v>341</v>
      </c>
      <c r="B164" s="13" t="s">
        <v>26</v>
      </c>
      <c r="C164" s="5" t="s">
        <v>32</v>
      </c>
      <c r="D164" s="5" t="s">
        <v>43</v>
      </c>
      <c r="E164" s="5" t="s">
        <v>58</v>
      </c>
      <c r="F164" s="5" t="s">
        <v>64</v>
      </c>
      <c r="G164" s="5" t="s">
        <v>74</v>
      </c>
      <c r="H164" s="38">
        <v>36265.07</v>
      </c>
      <c r="I164" s="14">
        <v>0.3</v>
      </c>
      <c r="J164" s="38">
        <v>25385.548999999999</v>
      </c>
      <c r="K164" s="5">
        <v>1</v>
      </c>
      <c r="L164" s="62">
        <f>Table1[[#This Row],[Final_Unit_Price]]*Table1[[#This Row],[Quantity]]</f>
        <v>25385.548999999999</v>
      </c>
      <c r="M164" s="60">
        <v>6346.39</v>
      </c>
      <c r="N164" s="43">
        <v>45825</v>
      </c>
      <c r="O164" s="18" t="str">
        <f>TEXT(Table1[[#This Row],[Order_Date]],"mmm")</f>
        <v>Jun</v>
      </c>
      <c r="P164" s="18">
        <f t="shared" si="4"/>
        <v>2025</v>
      </c>
      <c r="Q164" s="45">
        <v>45834</v>
      </c>
      <c r="R164" s="19">
        <f>'Cleaned Data'!$Q164-'Cleaned Data'!$N164</f>
        <v>9</v>
      </c>
      <c r="S164" s="19" t="str">
        <f t="shared" si="5"/>
        <v>Monsoon</v>
      </c>
    </row>
    <row r="165" spans="1:19" x14ac:dyDescent="0.3">
      <c r="A165" s="11" t="s">
        <v>342</v>
      </c>
      <c r="B165" s="11" t="s">
        <v>23</v>
      </c>
      <c r="C165" s="3" t="s">
        <v>35</v>
      </c>
      <c r="D165" s="3" t="s">
        <v>46</v>
      </c>
      <c r="E165" s="3" t="s">
        <v>59</v>
      </c>
      <c r="F165" s="3" t="s">
        <v>62</v>
      </c>
      <c r="G165" s="3" t="s">
        <v>66</v>
      </c>
      <c r="H165" s="37">
        <v>32483.43</v>
      </c>
      <c r="I165" s="12">
        <v>0.2</v>
      </c>
      <c r="J165" s="37">
        <v>25986.743999999999</v>
      </c>
      <c r="K165" s="3">
        <v>2</v>
      </c>
      <c r="L165" s="61">
        <f>Table1[[#This Row],[Final_Unit_Price]]*Table1[[#This Row],[Quantity]]</f>
        <v>51973.487999999998</v>
      </c>
      <c r="M165" s="59">
        <v>18190.72</v>
      </c>
      <c r="N165" s="42">
        <v>45334</v>
      </c>
      <c r="O165" s="20" t="str">
        <f>TEXT(Table1[[#This Row],[Order_Date]],"mmm")</f>
        <v>Feb</v>
      </c>
      <c r="P165" s="20">
        <f t="shared" si="4"/>
        <v>2024</v>
      </c>
      <c r="Q165" s="46">
        <v>45343</v>
      </c>
      <c r="R165" s="20">
        <f>'Cleaned Data'!$Q165-'Cleaned Data'!$N165</f>
        <v>9</v>
      </c>
      <c r="S165" s="19" t="str">
        <f t="shared" si="5"/>
        <v>Summer</v>
      </c>
    </row>
    <row r="166" spans="1:19" x14ac:dyDescent="0.3">
      <c r="A166" s="13" t="s">
        <v>343</v>
      </c>
      <c r="B166" s="13" t="s">
        <v>28</v>
      </c>
      <c r="C166" s="5" t="s">
        <v>34</v>
      </c>
      <c r="D166" s="5" t="s">
        <v>51</v>
      </c>
      <c r="E166" s="5" t="s">
        <v>59</v>
      </c>
      <c r="F166" s="5" t="s">
        <v>61</v>
      </c>
      <c r="G166" s="5" t="s">
        <v>70</v>
      </c>
      <c r="H166" s="38">
        <v>1698.07</v>
      </c>
      <c r="I166" s="14">
        <v>0.1</v>
      </c>
      <c r="J166" s="38">
        <v>1528.2629999999999</v>
      </c>
      <c r="K166" s="5">
        <v>20</v>
      </c>
      <c r="L166" s="62">
        <f>Table1[[#This Row],[Final_Unit_Price]]*Table1[[#This Row],[Quantity]]</f>
        <v>30565.26</v>
      </c>
      <c r="M166" s="60">
        <v>1069.79</v>
      </c>
      <c r="N166" s="43">
        <v>45578</v>
      </c>
      <c r="O166" s="18" t="str">
        <f>TEXT(Table1[[#This Row],[Order_Date]],"mmm")</f>
        <v>Oct</v>
      </c>
      <c r="P166" s="18">
        <f t="shared" si="4"/>
        <v>2024</v>
      </c>
      <c r="Q166" s="45">
        <v>45586</v>
      </c>
      <c r="R166" s="19">
        <f>'Cleaned Data'!$Q166-'Cleaned Data'!$N166</f>
        <v>8</v>
      </c>
      <c r="S166" s="19" t="str">
        <f t="shared" si="5"/>
        <v>Winter</v>
      </c>
    </row>
    <row r="167" spans="1:19" x14ac:dyDescent="0.3">
      <c r="A167" s="11" t="s">
        <v>344</v>
      </c>
      <c r="B167" s="11" t="s">
        <v>23</v>
      </c>
      <c r="C167" s="3" t="s">
        <v>35</v>
      </c>
      <c r="D167" s="3" t="s">
        <v>48</v>
      </c>
      <c r="E167" s="3" t="s">
        <v>58</v>
      </c>
      <c r="F167" s="3" t="s">
        <v>64</v>
      </c>
      <c r="G167" s="3" t="s">
        <v>76</v>
      </c>
      <c r="H167" s="37">
        <v>27639.54</v>
      </c>
      <c r="I167" s="12">
        <v>0.3</v>
      </c>
      <c r="J167" s="37">
        <v>19347.678</v>
      </c>
      <c r="K167" s="3">
        <v>5</v>
      </c>
      <c r="L167" s="61">
        <f>Table1[[#This Row],[Final_Unit_Price]]*Table1[[#This Row],[Quantity]]</f>
        <v>96738.39</v>
      </c>
      <c r="M167" s="59">
        <v>24184.6</v>
      </c>
      <c r="N167" s="42">
        <v>45442</v>
      </c>
      <c r="O167" s="20" t="str">
        <f>TEXT(Table1[[#This Row],[Order_Date]],"mmm")</f>
        <v>May</v>
      </c>
      <c r="P167" s="20">
        <f t="shared" si="4"/>
        <v>2024</v>
      </c>
      <c r="Q167" s="46">
        <v>45445</v>
      </c>
      <c r="R167" s="20">
        <f>'Cleaned Data'!$Q167-'Cleaned Data'!$N167</f>
        <v>3</v>
      </c>
      <c r="S167" s="19" t="str">
        <f t="shared" si="5"/>
        <v>Summer</v>
      </c>
    </row>
    <row r="168" spans="1:19" x14ac:dyDescent="0.3">
      <c r="A168" s="13" t="s">
        <v>345</v>
      </c>
      <c r="B168" s="13" t="s">
        <v>27</v>
      </c>
      <c r="C168" s="5" t="s">
        <v>35</v>
      </c>
      <c r="D168" s="5" t="s">
        <v>44</v>
      </c>
      <c r="E168" s="5" t="s">
        <v>60</v>
      </c>
      <c r="F168" s="5" t="s">
        <v>61</v>
      </c>
      <c r="G168" s="5" t="s">
        <v>65</v>
      </c>
      <c r="H168" s="38">
        <v>6518.32</v>
      </c>
      <c r="I168" s="14">
        <v>0.25</v>
      </c>
      <c r="J168" s="38">
        <v>4888.74</v>
      </c>
      <c r="K168" s="5">
        <v>1</v>
      </c>
      <c r="L168" s="62">
        <f>Table1[[#This Row],[Final_Unit_Price]]*Table1[[#This Row],[Quantity]]</f>
        <v>4888.74</v>
      </c>
      <c r="M168" s="60">
        <v>733.31</v>
      </c>
      <c r="N168" s="43">
        <v>45402</v>
      </c>
      <c r="O168" s="18" t="str">
        <f>TEXT(Table1[[#This Row],[Order_Date]],"mmm")</f>
        <v>Apr</v>
      </c>
      <c r="P168" s="18">
        <f t="shared" si="4"/>
        <v>2024</v>
      </c>
      <c r="Q168" s="45">
        <v>45408</v>
      </c>
      <c r="R168" s="19">
        <f>'Cleaned Data'!$Q168-'Cleaned Data'!$N168</f>
        <v>6</v>
      </c>
      <c r="S168" s="19" t="str">
        <f t="shared" si="5"/>
        <v>Summer</v>
      </c>
    </row>
    <row r="169" spans="1:19" x14ac:dyDescent="0.3">
      <c r="A169" s="11" t="s">
        <v>346</v>
      </c>
      <c r="B169" s="11" t="s">
        <v>29</v>
      </c>
      <c r="C169" s="3" t="s">
        <v>35</v>
      </c>
      <c r="D169" s="3" t="s">
        <v>46</v>
      </c>
      <c r="E169" s="3" t="s">
        <v>59</v>
      </c>
      <c r="F169" s="3" t="s">
        <v>62</v>
      </c>
      <c r="G169" s="3" t="s">
        <v>69</v>
      </c>
      <c r="H169" s="37">
        <v>21834.07</v>
      </c>
      <c r="I169" s="12">
        <v>0.15</v>
      </c>
      <c r="J169" s="37">
        <v>18558.959500000001</v>
      </c>
      <c r="K169" s="3">
        <v>1</v>
      </c>
      <c r="L169" s="61">
        <f>Table1[[#This Row],[Final_Unit_Price]]*Table1[[#This Row],[Quantity]]</f>
        <v>18558.959500000001</v>
      </c>
      <c r="M169" s="59">
        <v>6495.64</v>
      </c>
      <c r="N169" s="42">
        <v>45587</v>
      </c>
      <c r="O169" s="20" t="str">
        <f>TEXT(Table1[[#This Row],[Order_Date]],"mmm")</f>
        <v>Oct</v>
      </c>
      <c r="P169" s="20">
        <f t="shared" si="4"/>
        <v>2024</v>
      </c>
      <c r="Q169" s="46">
        <v>45591</v>
      </c>
      <c r="R169" s="20">
        <f>'Cleaned Data'!$Q169-'Cleaned Data'!$N169</f>
        <v>4</v>
      </c>
      <c r="S169" s="19" t="str">
        <f t="shared" si="5"/>
        <v>Winter</v>
      </c>
    </row>
    <row r="170" spans="1:19" x14ac:dyDescent="0.3">
      <c r="A170" s="13" t="s">
        <v>347</v>
      </c>
      <c r="B170" s="13" t="s">
        <v>19</v>
      </c>
      <c r="C170" s="5" t="s">
        <v>33</v>
      </c>
      <c r="D170" s="5" t="s">
        <v>57</v>
      </c>
      <c r="E170" s="5" t="s">
        <v>60</v>
      </c>
      <c r="F170" s="5" t="s">
        <v>62</v>
      </c>
      <c r="G170" s="5" t="s">
        <v>69</v>
      </c>
      <c r="H170" s="38">
        <v>1696.27</v>
      </c>
      <c r="I170" s="14">
        <v>0.25</v>
      </c>
      <c r="J170" s="38">
        <v>1272.2025000000001</v>
      </c>
      <c r="K170" s="5">
        <v>4</v>
      </c>
      <c r="L170" s="62">
        <f>Table1[[#This Row],[Final_Unit_Price]]*Table1[[#This Row],[Quantity]]</f>
        <v>5088.8100000000004</v>
      </c>
      <c r="M170" s="60">
        <v>763.32</v>
      </c>
      <c r="N170" s="43">
        <v>45453</v>
      </c>
      <c r="O170" s="18" t="str">
        <f>TEXT(Table1[[#This Row],[Order_Date]],"mmm")</f>
        <v>Jun</v>
      </c>
      <c r="P170" s="18">
        <f t="shared" si="4"/>
        <v>2024</v>
      </c>
      <c r="Q170" s="45">
        <v>45463</v>
      </c>
      <c r="R170" s="19">
        <f>'Cleaned Data'!$Q170-'Cleaned Data'!$N170</f>
        <v>10</v>
      </c>
      <c r="S170" s="19" t="str">
        <f t="shared" si="5"/>
        <v>Monsoon</v>
      </c>
    </row>
    <row r="171" spans="1:19" x14ac:dyDescent="0.3">
      <c r="A171" s="11" t="s">
        <v>348</v>
      </c>
      <c r="B171" s="11" t="s">
        <v>30</v>
      </c>
      <c r="C171" s="3" t="s">
        <v>33</v>
      </c>
      <c r="D171" s="3" t="s">
        <v>39</v>
      </c>
      <c r="E171" s="3" t="s">
        <v>58</v>
      </c>
      <c r="F171" s="3" t="s">
        <v>63</v>
      </c>
      <c r="G171" s="3" t="s">
        <v>75</v>
      </c>
      <c r="H171" s="37">
        <v>13831.39</v>
      </c>
      <c r="I171" s="12">
        <v>0.3</v>
      </c>
      <c r="J171" s="37">
        <v>9681.9729999999981</v>
      </c>
      <c r="K171" s="3">
        <v>2</v>
      </c>
      <c r="L171" s="61">
        <f>Table1[[#This Row],[Final_Unit_Price]]*Table1[[#This Row],[Quantity]]</f>
        <v>19363.945999999996</v>
      </c>
      <c r="M171" s="59">
        <v>4840.99</v>
      </c>
      <c r="N171" s="42">
        <v>45395</v>
      </c>
      <c r="O171" s="20" t="str">
        <f>TEXT(Table1[[#This Row],[Order_Date]],"mmm")</f>
        <v>Apr</v>
      </c>
      <c r="P171" s="20">
        <f t="shared" si="4"/>
        <v>2024</v>
      </c>
      <c r="Q171" s="46">
        <v>45401</v>
      </c>
      <c r="R171" s="20">
        <f>'Cleaned Data'!$Q171-'Cleaned Data'!$N171</f>
        <v>6</v>
      </c>
      <c r="S171" s="19" t="str">
        <f t="shared" si="5"/>
        <v>Summer</v>
      </c>
    </row>
    <row r="172" spans="1:19" x14ac:dyDescent="0.3">
      <c r="A172" s="13" t="s">
        <v>349</v>
      </c>
      <c r="B172" s="13" t="s">
        <v>24</v>
      </c>
      <c r="C172" s="5" t="s">
        <v>32</v>
      </c>
      <c r="D172" s="5" t="s">
        <v>40</v>
      </c>
      <c r="E172" s="5" t="s">
        <v>59</v>
      </c>
      <c r="F172" s="5" t="s">
        <v>64</v>
      </c>
      <c r="G172" s="5" t="s">
        <v>76</v>
      </c>
      <c r="H172" s="38">
        <v>32157.64</v>
      </c>
      <c r="I172" s="14">
        <v>0.2</v>
      </c>
      <c r="J172" s="38">
        <v>25726.112000000001</v>
      </c>
      <c r="K172" s="5">
        <v>4</v>
      </c>
      <c r="L172" s="62">
        <f>Table1[[#This Row],[Final_Unit_Price]]*Table1[[#This Row],[Quantity]]</f>
        <v>102904.448</v>
      </c>
      <c r="M172" s="60">
        <v>36016.559999999998</v>
      </c>
      <c r="N172" s="43">
        <v>45402</v>
      </c>
      <c r="O172" s="18" t="str">
        <f>TEXT(Table1[[#This Row],[Order_Date]],"mmm")</f>
        <v>Apr</v>
      </c>
      <c r="P172" s="18">
        <f t="shared" si="4"/>
        <v>2024</v>
      </c>
      <c r="Q172" s="45">
        <v>45409</v>
      </c>
      <c r="R172" s="19">
        <f>'Cleaned Data'!$Q172-'Cleaned Data'!$N172</f>
        <v>7</v>
      </c>
      <c r="S172" s="19" t="str">
        <f t="shared" si="5"/>
        <v>Summer</v>
      </c>
    </row>
    <row r="173" spans="1:19" x14ac:dyDescent="0.3">
      <c r="A173" s="11" t="s">
        <v>350</v>
      </c>
      <c r="B173" s="11" t="s">
        <v>20</v>
      </c>
      <c r="C173" s="3" t="s">
        <v>32</v>
      </c>
      <c r="D173" s="3" t="s">
        <v>40</v>
      </c>
      <c r="E173" s="3" t="s">
        <v>59</v>
      </c>
      <c r="F173" s="3" t="s">
        <v>63</v>
      </c>
      <c r="G173" s="3" t="s">
        <v>73</v>
      </c>
      <c r="H173" s="37">
        <v>33924.870000000003</v>
      </c>
      <c r="I173" s="12">
        <v>0.25</v>
      </c>
      <c r="J173" s="37">
        <v>25443.6525</v>
      </c>
      <c r="K173" s="3">
        <v>1</v>
      </c>
      <c r="L173" s="61">
        <f>Table1[[#This Row],[Final_Unit_Price]]*Table1[[#This Row],[Quantity]]</f>
        <v>25443.6525</v>
      </c>
      <c r="M173" s="59">
        <v>8905.2800000000007</v>
      </c>
      <c r="N173" s="42">
        <v>45706</v>
      </c>
      <c r="O173" s="20" t="str">
        <f>TEXT(Table1[[#This Row],[Order_Date]],"mmm")</f>
        <v>Feb</v>
      </c>
      <c r="P173" s="20">
        <f t="shared" si="4"/>
        <v>2025</v>
      </c>
      <c r="Q173" s="46">
        <v>45710</v>
      </c>
      <c r="R173" s="20">
        <f>'Cleaned Data'!$Q173-'Cleaned Data'!$N173</f>
        <v>4</v>
      </c>
      <c r="S173" s="19" t="str">
        <f t="shared" si="5"/>
        <v>Summer</v>
      </c>
    </row>
    <row r="174" spans="1:19" x14ac:dyDescent="0.3">
      <c r="A174" s="13" t="s">
        <v>351</v>
      </c>
      <c r="B174" s="13" t="s">
        <v>17</v>
      </c>
      <c r="C174" s="5" t="s">
        <v>32</v>
      </c>
      <c r="D174" s="5" t="s">
        <v>37</v>
      </c>
      <c r="E174" s="5" t="s">
        <v>59</v>
      </c>
      <c r="F174" s="5" t="s">
        <v>64</v>
      </c>
      <c r="G174" s="5" t="s">
        <v>76</v>
      </c>
      <c r="H174" s="38">
        <v>10505.33</v>
      </c>
      <c r="I174" s="14">
        <v>0.1</v>
      </c>
      <c r="J174" s="38">
        <v>9454.7970000000005</v>
      </c>
      <c r="K174" s="5">
        <v>3</v>
      </c>
      <c r="L174" s="62">
        <f>Table1[[#This Row],[Final_Unit_Price]]*Table1[[#This Row],[Quantity]]</f>
        <v>28364.391000000003</v>
      </c>
      <c r="M174" s="60">
        <v>9927.5400000000009</v>
      </c>
      <c r="N174" s="43">
        <v>45320</v>
      </c>
      <c r="O174" s="18" t="str">
        <f>TEXT(Table1[[#This Row],[Order_Date]],"mmm")</f>
        <v>Jan</v>
      </c>
      <c r="P174" s="18">
        <f t="shared" si="4"/>
        <v>2024</v>
      </c>
      <c r="Q174" s="45">
        <v>45324</v>
      </c>
      <c r="R174" s="19">
        <f>'Cleaned Data'!$Q174-'Cleaned Data'!$N174</f>
        <v>4</v>
      </c>
      <c r="S174" s="19" t="str">
        <f t="shared" si="5"/>
        <v>Winter</v>
      </c>
    </row>
    <row r="175" spans="1:19" x14ac:dyDescent="0.3">
      <c r="A175" s="11" t="s">
        <v>352</v>
      </c>
      <c r="B175" s="11" t="s">
        <v>26</v>
      </c>
      <c r="C175" s="3" t="s">
        <v>32</v>
      </c>
      <c r="D175" s="3" t="s">
        <v>54</v>
      </c>
      <c r="E175" s="3" t="s">
        <v>60</v>
      </c>
      <c r="F175" s="3" t="s">
        <v>61</v>
      </c>
      <c r="G175" s="3" t="s">
        <v>70</v>
      </c>
      <c r="H175" s="37">
        <v>28048.34</v>
      </c>
      <c r="I175" s="12">
        <v>0.3</v>
      </c>
      <c r="J175" s="37">
        <v>19633.838</v>
      </c>
      <c r="K175" s="3">
        <v>5</v>
      </c>
      <c r="L175" s="61">
        <f>Table1[[#This Row],[Final_Unit_Price]]*Table1[[#This Row],[Quantity]]</f>
        <v>98169.19</v>
      </c>
      <c r="M175" s="59">
        <v>14725.38</v>
      </c>
      <c r="N175" s="42">
        <v>45397</v>
      </c>
      <c r="O175" s="20" t="str">
        <f>TEXT(Table1[[#This Row],[Order_Date]],"mmm")</f>
        <v>Apr</v>
      </c>
      <c r="P175" s="20">
        <f t="shared" si="4"/>
        <v>2024</v>
      </c>
      <c r="Q175" s="46">
        <v>45400</v>
      </c>
      <c r="R175" s="20">
        <f>'Cleaned Data'!$Q175-'Cleaned Data'!$N175</f>
        <v>3</v>
      </c>
      <c r="S175" s="19" t="str">
        <f t="shared" si="5"/>
        <v>Summer</v>
      </c>
    </row>
    <row r="176" spans="1:19" x14ac:dyDescent="0.3">
      <c r="A176" s="13" t="s">
        <v>353</v>
      </c>
      <c r="B176" s="13" t="s">
        <v>30</v>
      </c>
      <c r="C176" s="5" t="s">
        <v>33</v>
      </c>
      <c r="D176" s="5" t="s">
        <v>56</v>
      </c>
      <c r="E176" s="5" t="s">
        <v>60</v>
      </c>
      <c r="F176" s="5" t="s">
        <v>61</v>
      </c>
      <c r="G176" s="5" t="s">
        <v>70</v>
      </c>
      <c r="H176" s="38">
        <v>12375.37</v>
      </c>
      <c r="I176" s="14">
        <v>0.2</v>
      </c>
      <c r="J176" s="38">
        <v>9900.2960000000021</v>
      </c>
      <c r="K176" s="5">
        <v>4</v>
      </c>
      <c r="L176" s="62">
        <f>Table1[[#This Row],[Final_Unit_Price]]*Table1[[#This Row],[Quantity]]</f>
        <v>39601.184000000008</v>
      </c>
      <c r="M176" s="60">
        <v>5940.18</v>
      </c>
      <c r="N176" s="43">
        <v>45382</v>
      </c>
      <c r="O176" s="18" t="str">
        <f>TEXT(Table1[[#This Row],[Order_Date]],"mmm")</f>
        <v>Mar</v>
      </c>
      <c r="P176" s="18">
        <f t="shared" si="4"/>
        <v>2024</v>
      </c>
      <c r="Q176" s="45">
        <v>45388</v>
      </c>
      <c r="R176" s="19">
        <f>'Cleaned Data'!$Q176-'Cleaned Data'!$N176</f>
        <v>6</v>
      </c>
      <c r="S176" s="19" t="str">
        <f t="shared" si="5"/>
        <v>Summer</v>
      </c>
    </row>
    <row r="177" spans="1:19" x14ac:dyDescent="0.3">
      <c r="A177" s="11" t="s">
        <v>354</v>
      </c>
      <c r="B177" s="11" t="s">
        <v>24</v>
      </c>
      <c r="C177" s="3" t="s">
        <v>32</v>
      </c>
      <c r="D177" s="3" t="s">
        <v>54</v>
      </c>
      <c r="E177" s="3" t="s">
        <v>60</v>
      </c>
      <c r="F177" s="3" t="s">
        <v>64</v>
      </c>
      <c r="G177" s="3" t="s">
        <v>72</v>
      </c>
      <c r="H177" s="37">
        <v>23936.34</v>
      </c>
      <c r="I177" s="12">
        <v>0.1</v>
      </c>
      <c r="J177" s="37">
        <v>21542.705999999998</v>
      </c>
      <c r="K177" s="3">
        <v>2</v>
      </c>
      <c r="L177" s="61">
        <f>Table1[[#This Row],[Final_Unit_Price]]*Table1[[#This Row],[Quantity]]</f>
        <v>43085.411999999997</v>
      </c>
      <c r="M177" s="59">
        <v>6462.81</v>
      </c>
      <c r="N177" s="42">
        <v>45357</v>
      </c>
      <c r="O177" s="20" t="str">
        <f>TEXT(Table1[[#This Row],[Order_Date]],"mmm")</f>
        <v>Mar</v>
      </c>
      <c r="P177" s="20">
        <f t="shared" si="4"/>
        <v>2024</v>
      </c>
      <c r="Q177" s="46">
        <v>45365</v>
      </c>
      <c r="R177" s="20">
        <f>'Cleaned Data'!$Q177-'Cleaned Data'!$N177</f>
        <v>8</v>
      </c>
      <c r="S177" s="19" t="str">
        <f t="shared" si="5"/>
        <v>Summer</v>
      </c>
    </row>
    <row r="178" spans="1:19" x14ac:dyDescent="0.3">
      <c r="A178" s="13" t="s">
        <v>355</v>
      </c>
      <c r="B178" s="13" t="s">
        <v>25</v>
      </c>
      <c r="C178" s="5" t="s">
        <v>34</v>
      </c>
      <c r="D178" s="5" t="s">
        <v>55</v>
      </c>
      <c r="E178" s="5" t="s">
        <v>58</v>
      </c>
      <c r="F178" s="5" t="s">
        <v>61</v>
      </c>
      <c r="G178" s="5" t="s">
        <v>71</v>
      </c>
      <c r="H178" s="38">
        <v>756.31</v>
      </c>
      <c r="I178" s="14">
        <v>0.1</v>
      </c>
      <c r="J178" s="38">
        <v>680.67899999999997</v>
      </c>
      <c r="K178" s="5">
        <v>2</v>
      </c>
      <c r="L178" s="62">
        <f>Table1[[#This Row],[Final_Unit_Price]]*Table1[[#This Row],[Quantity]]</f>
        <v>1361.3579999999999</v>
      </c>
      <c r="M178" s="60">
        <v>340.34</v>
      </c>
      <c r="N178" s="43">
        <v>45733</v>
      </c>
      <c r="O178" s="18" t="str">
        <f>TEXT(Table1[[#This Row],[Order_Date]],"mmm")</f>
        <v>Mar</v>
      </c>
      <c r="P178" s="18">
        <f t="shared" si="4"/>
        <v>2025</v>
      </c>
      <c r="Q178" s="45">
        <v>45740</v>
      </c>
      <c r="R178" s="19">
        <f>'Cleaned Data'!$Q178-'Cleaned Data'!$N178</f>
        <v>7</v>
      </c>
      <c r="S178" s="19" t="str">
        <f t="shared" si="5"/>
        <v>Summer</v>
      </c>
    </row>
    <row r="179" spans="1:19" x14ac:dyDescent="0.3">
      <c r="A179" s="11" t="s">
        <v>356</v>
      </c>
      <c r="B179" s="11" t="s">
        <v>18</v>
      </c>
      <c r="C179" s="3" t="s">
        <v>33</v>
      </c>
      <c r="D179" s="3" t="s">
        <v>56</v>
      </c>
      <c r="E179" s="3" t="s">
        <v>60</v>
      </c>
      <c r="F179" s="3" t="s">
        <v>64</v>
      </c>
      <c r="G179" s="3" t="s">
        <v>74</v>
      </c>
      <c r="H179" s="37">
        <v>43654.51</v>
      </c>
      <c r="I179" s="12">
        <v>0.05</v>
      </c>
      <c r="J179" s="37">
        <v>41471.784500000002</v>
      </c>
      <c r="K179" s="3">
        <v>2</v>
      </c>
      <c r="L179" s="61">
        <f>Table1[[#This Row],[Final_Unit_Price]]*Table1[[#This Row],[Quantity]]</f>
        <v>82943.569000000003</v>
      </c>
      <c r="M179" s="59">
        <v>12441.54</v>
      </c>
      <c r="N179" s="42">
        <v>45411</v>
      </c>
      <c r="O179" s="20" t="str">
        <f>TEXT(Table1[[#This Row],[Order_Date]],"mmm")</f>
        <v>Apr</v>
      </c>
      <c r="P179" s="20">
        <f t="shared" si="4"/>
        <v>2024</v>
      </c>
      <c r="Q179" s="46">
        <v>45421</v>
      </c>
      <c r="R179" s="20">
        <f>'Cleaned Data'!$Q179-'Cleaned Data'!$N179</f>
        <v>10</v>
      </c>
      <c r="S179" s="19" t="str">
        <f t="shared" si="5"/>
        <v>Summer</v>
      </c>
    </row>
    <row r="180" spans="1:19" x14ac:dyDescent="0.3">
      <c r="A180" s="13" t="s">
        <v>357</v>
      </c>
      <c r="B180" s="13" t="s">
        <v>19</v>
      </c>
      <c r="C180" s="5" t="s">
        <v>33</v>
      </c>
      <c r="D180" s="5" t="s">
        <v>53</v>
      </c>
      <c r="E180" s="5" t="s">
        <v>58</v>
      </c>
      <c r="F180" s="5" t="s">
        <v>62</v>
      </c>
      <c r="G180" s="5" t="s">
        <v>67</v>
      </c>
      <c r="H180" s="38">
        <v>2138.38</v>
      </c>
      <c r="I180" s="14">
        <v>0.1</v>
      </c>
      <c r="J180" s="38">
        <v>1924.5419999999999</v>
      </c>
      <c r="K180" s="5">
        <v>5</v>
      </c>
      <c r="L180" s="62">
        <f>Table1[[#This Row],[Final_Unit_Price]]*Table1[[#This Row],[Quantity]]</f>
        <v>9622.7099999999991</v>
      </c>
      <c r="M180" s="60">
        <v>2405.6799999999998</v>
      </c>
      <c r="N180" s="43">
        <v>45336</v>
      </c>
      <c r="O180" s="18" t="str">
        <f>TEXT(Table1[[#This Row],[Order_Date]],"mmm")</f>
        <v>Feb</v>
      </c>
      <c r="P180" s="18">
        <f t="shared" si="4"/>
        <v>2024</v>
      </c>
      <c r="Q180" s="45">
        <v>45345</v>
      </c>
      <c r="R180" s="19">
        <f>'Cleaned Data'!$Q180-'Cleaned Data'!$N180</f>
        <v>9</v>
      </c>
      <c r="S180" s="19" t="str">
        <f t="shared" si="5"/>
        <v>Summer</v>
      </c>
    </row>
    <row r="181" spans="1:19" x14ac:dyDescent="0.3">
      <c r="A181" s="11" t="s">
        <v>358</v>
      </c>
      <c r="B181" s="11" t="s">
        <v>16</v>
      </c>
      <c r="C181" s="3" t="s">
        <v>31</v>
      </c>
      <c r="D181" s="3" t="s">
        <v>47</v>
      </c>
      <c r="E181" s="3" t="s">
        <v>59</v>
      </c>
      <c r="F181" s="3" t="s">
        <v>64</v>
      </c>
      <c r="G181" s="3" t="s">
        <v>74</v>
      </c>
      <c r="H181" s="37">
        <v>3215.95</v>
      </c>
      <c r="I181" s="12">
        <v>0.05</v>
      </c>
      <c r="J181" s="37">
        <v>3055.1525000000001</v>
      </c>
      <c r="K181" s="3">
        <v>2</v>
      </c>
      <c r="L181" s="61">
        <f>Table1[[#This Row],[Final_Unit_Price]]*Table1[[#This Row],[Quantity]]</f>
        <v>6110.3050000000003</v>
      </c>
      <c r="M181" s="59">
        <v>2138.61</v>
      </c>
      <c r="N181" s="42">
        <v>45599</v>
      </c>
      <c r="O181" s="20" t="str">
        <f>TEXT(Table1[[#This Row],[Order_Date]],"mmm")</f>
        <v>Nov</v>
      </c>
      <c r="P181" s="20">
        <f t="shared" si="4"/>
        <v>2024</v>
      </c>
      <c r="Q181" s="46">
        <v>45601</v>
      </c>
      <c r="R181" s="20">
        <f>'Cleaned Data'!$Q181-'Cleaned Data'!$N181</f>
        <v>2</v>
      </c>
      <c r="S181" s="19" t="str">
        <f t="shared" si="5"/>
        <v>Winter</v>
      </c>
    </row>
    <row r="182" spans="1:19" x14ac:dyDescent="0.3">
      <c r="A182" s="13" t="s">
        <v>359</v>
      </c>
      <c r="B182" s="13" t="s">
        <v>20</v>
      </c>
      <c r="C182" s="5" t="s">
        <v>32</v>
      </c>
      <c r="D182" s="5" t="s">
        <v>40</v>
      </c>
      <c r="E182" s="5" t="s">
        <v>59</v>
      </c>
      <c r="F182" s="5" t="s">
        <v>61</v>
      </c>
      <c r="G182" s="5" t="s">
        <v>70</v>
      </c>
      <c r="H182" s="38">
        <v>36006.089999999997</v>
      </c>
      <c r="I182" s="14">
        <v>0.1</v>
      </c>
      <c r="J182" s="38">
        <v>32405.481</v>
      </c>
      <c r="K182" s="5">
        <v>4</v>
      </c>
      <c r="L182" s="62">
        <f>Table1[[#This Row],[Final_Unit_Price]]*Table1[[#This Row],[Quantity]]</f>
        <v>129621.924</v>
      </c>
      <c r="M182" s="60">
        <v>45367.67</v>
      </c>
      <c r="N182" s="43">
        <v>45568</v>
      </c>
      <c r="O182" s="18" t="str">
        <f>TEXT(Table1[[#This Row],[Order_Date]],"mmm")</f>
        <v>Oct</v>
      </c>
      <c r="P182" s="18">
        <f t="shared" si="4"/>
        <v>2024</v>
      </c>
      <c r="Q182" s="45">
        <v>45576</v>
      </c>
      <c r="R182" s="19">
        <f>'Cleaned Data'!$Q182-'Cleaned Data'!$N182</f>
        <v>8</v>
      </c>
      <c r="S182" s="19" t="str">
        <f t="shared" si="5"/>
        <v>Winter</v>
      </c>
    </row>
    <row r="183" spans="1:19" x14ac:dyDescent="0.3">
      <c r="A183" s="11" t="s">
        <v>360</v>
      </c>
      <c r="B183" s="11" t="s">
        <v>30</v>
      </c>
      <c r="C183" s="3" t="s">
        <v>33</v>
      </c>
      <c r="D183" s="3" t="s">
        <v>50</v>
      </c>
      <c r="E183" s="3" t="s">
        <v>59</v>
      </c>
      <c r="F183" s="3" t="s">
        <v>61</v>
      </c>
      <c r="G183" s="3" t="s">
        <v>65</v>
      </c>
      <c r="H183" s="37">
        <v>16847.75</v>
      </c>
      <c r="I183" s="12">
        <v>0.15</v>
      </c>
      <c r="J183" s="37">
        <v>14320.5875</v>
      </c>
      <c r="K183" s="3">
        <v>2</v>
      </c>
      <c r="L183" s="61">
        <f>Table1[[#This Row],[Final_Unit_Price]]*Table1[[#This Row],[Quantity]]</f>
        <v>28641.174999999999</v>
      </c>
      <c r="M183" s="59">
        <v>10024.41</v>
      </c>
      <c r="N183" s="42">
        <v>45305</v>
      </c>
      <c r="O183" s="20" t="str">
        <f>TEXT(Table1[[#This Row],[Order_Date]],"mmm")</f>
        <v>Jan</v>
      </c>
      <c r="P183" s="20">
        <f t="shared" si="4"/>
        <v>2024</v>
      </c>
      <c r="Q183" s="46">
        <v>45311</v>
      </c>
      <c r="R183" s="20">
        <f>'Cleaned Data'!$Q183-'Cleaned Data'!$N183</f>
        <v>6</v>
      </c>
      <c r="S183" s="19" t="str">
        <f t="shared" si="5"/>
        <v>Winter</v>
      </c>
    </row>
    <row r="184" spans="1:19" x14ac:dyDescent="0.3">
      <c r="A184" s="13" t="s">
        <v>361</v>
      </c>
      <c r="B184" s="13" t="s">
        <v>26</v>
      </c>
      <c r="C184" s="5" t="s">
        <v>32</v>
      </c>
      <c r="D184" s="5" t="s">
        <v>37</v>
      </c>
      <c r="E184" s="5" t="s">
        <v>59</v>
      </c>
      <c r="F184" s="5" t="s">
        <v>62</v>
      </c>
      <c r="G184" s="5" t="s">
        <v>67</v>
      </c>
      <c r="H184" s="38">
        <v>43926.27</v>
      </c>
      <c r="I184" s="14">
        <v>0.3</v>
      </c>
      <c r="J184" s="38">
        <v>30748.388999999999</v>
      </c>
      <c r="K184" s="5">
        <v>1</v>
      </c>
      <c r="L184" s="62">
        <f>Table1[[#This Row],[Final_Unit_Price]]*Table1[[#This Row],[Quantity]]</f>
        <v>30748.388999999999</v>
      </c>
      <c r="M184" s="60">
        <v>10761.94</v>
      </c>
      <c r="N184" s="43">
        <v>45844</v>
      </c>
      <c r="O184" s="18" t="str">
        <f>TEXT(Table1[[#This Row],[Order_Date]],"mmm")</f>
        <v>Jul</v>
      </c>
      <c r="P184" s="18">
        <f t="shared" si="4"/>
        <v>2025</v>
      </c>
      <c r="Q184" s="45">
        <v>45853</v>
      </c>
      <c r="R184" s="19">
        <f>'Cleaned Data'!$Q184-'Cleaned Data'!$N184</f>
        <v>9</v>
      </c>
      <c r="S184" s="19" t="str">
        <f t="shared" si="5"/>
        <v>Monsoon</v>
      </c>
    </row>
    <row r="185" spans="1:19" x14ac:dyDescent="0.3">
      <c r="A185" s="11" t="s">
        <v>362</v>
      </c>
      <c r="B185" s="11" t="s">
        <v>16</v>
      </c>
      <c r="C185" s="3" t="s">
        <v>31</v>
      </c>
      <c r="D185" s="3" t="s">
        <v>42</v>
      </c>
      <c r="E185" s="3" t="s">
        <v>60</v>
      </c>
      <c r="F185" s="3" t="s">
        <v>61</v>
      </c>
      <c r="G185" s="3" t="s">
        <v>71</v>
      </c>
      <c r="H185" s="37">
        <v>1983.63</v>
      </c>
      <c r="I185" s="12">
        <v>0</v>
      </c>
      <c r="J185" s="37">
        <v>1983.63</v>
      </c>
      <c r="K185" s="3">
        <v>1</v>
      </c>
      <c r="L185" s="61">
        <f>Table1[[#This Row],[Final_Unit_Price]]*Table1[[#This Row],[Quantity]]</f>
        <v>1983.63</v>
      </c>
      <c r="M185" s="59">
        <v>297.54000000000002</v>
      </c>
      <c r="N185" s="42">
        <v>45695</v>
      </c>
      <c r="O185" s="20" t="str">
        <f>TEXT(Table1[[#This Row],[Order_Date]],"mmm")</f>
        <v>Feb</v>
      </c>
      <c r="P185" s="20">
        <f t="shared" si="4"/>
        <v>2025</v>
      </c>
      <c r="Q185" s="46">
        <v>45700</v>
      </c>
      <c r="R185" s="20">
        <f>'Cleaned Data'!$Q185-'Cleaned Data'!$N185</f>
        <v>5</v>
      </c>
      <c r="S185" s="19" t="str">
        <f t="shared" si="5"/>
        <v>Summer</v>
      </c>
    </row>
    <row r="186" spans="1:19" x14ac:dyDescent="0.3">
      <c r="A186" s="13" t="s">
        <v>363</v>
      </c>
      <c r="B186" s="13" t="s">
        <v>17</v>
      </c>
      <c r="C186" s="5" t="s">
        <v>32</v>
      </c>
      <c r="D186" s="5" t="s">
        <v>54</v>
      </c>
      <c r="E186" s="5" t="s">
        <v>60</v>
      </c>
      <c r="F186" s="5" t="s">
        <v>63</v>
      </c>
      <c r="G186" s="5" t="s">
        <v>68</v>
      </c>
      <c r="H186" s="38">
        <v>6744.25</v>
      </c>
      <c r="I186" s="14">
        <v>0.15</v>
      </c>
      <c r="J186" s="38">
        <v>5732.6125000000002</v>
      </c>
      <c r="K186" s="5">
        <v>1</v>
      </c>
      <c r="L186" s="62">
        <f>Table1[[#This Row],[Final_Unit_Price]]*Table1[[#This Row],[Quantity]]</f>
        <v>5732.6125000000002</v>
      </c>
      <c r="M186" s="60">
        <v>859.89</v>
      </c>
      <c r="N186" s="43">
        <v>45751</v>
      </c>
      <c r="O186" s="18" t="str">
        <f>TEXT(Table1[[#This Row],[Order_Date]],"mmm")</f>
        <v>Apr</v>
      </c>
      <c r="P186" s="18">
        <f t="shared" si="4"/>
        <v>2025</v>
      </c>
      <c r="Q186" s="45">
        <v>45759</v>
      </c>
      <c r="R186" s="19">
        <f>'Cleaned Data'!$Q186-'Cleaned Data'!$N186</f>
        <v>8</v>
      </c>
      <c r="S186" s="19" t="str">
        <f t="shared" si="5"/>
        <v>Summer</v>
      </c>
    </row>
    <row r="187" spans="1:19" x14ac:dyDescent="0.3">
      <c r="A187" s="11" t="s">
        <v>364</v>
      </c>
      <c r="B187" s="11" t="s">
        <v>17</v>
      </c>
      <c r="C187" s="3" t="s">
        <v>32</v>
      </c>
      <c r="D187" s="3" t="s">
        <v>43</v>
      </c>
      <c r="E187" s="3" t="s">
        <v>58</v>
      </c>
      <c r="F187" s="3" t="s">
        <v>63</v>
      </c>
      <c r="G187" s="3" t="s">
        <v>75</v>
      </c>
      <c r="H187" s="37">
        <v>7708.43</v>
      </c>
      <c r="I187" s="12">
        <v>0.3</v>
      </c>
      <c r="J187" s="37">
        <v>5395.9009999999998</v>
      </c>
      <c r="K187" s="3">
        <v>3</v>
      </c>
      <c r="L187" s="61">
        <f>Table1[[#This Row],[Final_Unit_Price]]*Table1[[#This Row],[Quantity]]</f>
        <v>16187.703</v>
      </c>
      <c r="M187" s="59">
        <v>4046.93</v>
      </c>
      <c r="N187" s="42">
        <v>45641</v>
      </c>
      <c r="O187" s="20" t="str">
        <f>TEXT(Table1[[#This Row],[Order_Date]],"mmm")</f>
        <v>Dec</v>
      </c>
      <c r="P187" s="20">
        <f t="shared" si="4"/>
        <v>2024</v>
      </c>
      <c r="Q187" s="46">
        <v>45646</v>
      </c>
      <c r="R187" s="20">
        <f>'Cleaned Data'!$Q187-'Cleaned Data'!$N187</f>
        <v>5</v>
      </c>
      <c r="S187" s="19" t="str">
        <f t="shared" si="5"/>
        <v>Winter</v>
      </c>
    </row>
    <row r="188" spans="1:19" x14ac:dyDescent="0.3">
      <c r="A188" s="13" t="s">
        <v>365</v>
      </c>
      <c r="B188" s="13" t="s">
        <v>20</v>
      </c>
      <c r="C188" s="5" t="s">
        <v>32</v>
      </c>
      <c r="D188" s="5" t="s">
        <v>37</v>
      </c>
      <c r="E188" s="5" t="s">
        <v>59</v>
      </c>
      <c r="F188" s="5" t="s">
        <v>61</v>
      </c>
      <c r="G188" s="5" t="s">
        <v>65</v>
      </c>
      <c r="H188" s="38">
        <v>36305.15</v>
      </c>
      <c r="I188" s="14">
        <v>0.2</v>
      </c>
      <c r="J188" s="38">
        <v>29044.12</v>
      </c>
      <c r="K188" s="5">
        <v>5</v>
      </c>
      <c r="L188" s="62">
        <f>Table1[[#This Row],[Final_Unit_Price]]*Table1[[#This Row],[Quantity]]</f>
        <v>145220.6</v>
      </c>
      <c r="M188" s="60">
        <v>50827.21</v>
      </c>
      <c r="N188" s="43">
        <v>45577</v>
      </c>
      <c r="O188" s="18" t="str">
        <f>TEXT(Table1[[#This Row],[Order_Date]],"mmm")</f>
        <v>Oct</v>
      </c>
      <c r="P188" s="18">
        <f t="shared" si="4"/>
        <v>2024</v>
      </c>
      <c r="Q188" s="45">
        <v>45584</v>
      </c>
      <c r="R188" s="19">
        <f>'Cleaned Data'!$Q188-'Cleaned Data'!$N188</f>
        <v>7</v>
      </c>
      <c r="S188" s="19" t="str">
        <f t="shared" si="5"/>
        <v>Winter</v>
      </c>
    </row>
    <row r="189" spans="1:19" x14ac:dyDescent="0.3">
      <c r="A189" s="11" t="s">
        <v>366</v>
      </c>
      <c r="B189" s="11" t="s">
        <v>20</v>
      </c>
      <c r="C189" s="3" t="s">
        <v>32</v>
      </c>
      <c r="D189" s="3" t="s">
        <v>54</v>
      </c>
      <c r="E189" s="3" t="s">
        <v>60</v>
      </c>
      <c r="F189" s="3" t="s">
        <v>63</v>
      </c>
      <c r="G189" s="3" t="s">
        <v>68</v>
      </c>
      <c r="H189" s="37">
        <v>24936.43</v>
      </c>
      <c r="I189" s="12">
        <v>0.2</v>
      </c>
      <c r="J189" s="37">
        <v>19949.144</v>
      </c>
      <c r="K189" s="3">
        <v>3</v>
      </c>
      <c r="L189" s="61">
        <f>Table1[[#This Row],[Final_Unit_Price]]*Table1[[#This Row],[Quantity]]</f>
        <v>59847.432000000001</v>
      </c>
      <c r="M189" s="59">
        <v>8977.11</v>
      </c>
      <c r="N189" s="42">
        <v>45743</v>
      </c>
      <c r="O189" s="20" t="str">
        <f>TEXT(Table1[[#This Row],[Order_Date]],"mmm")</f>
        <v>Mar</v>
      </c>
      <c r="P189" s="20">
        <f t="shared" si="4"/>
        <v>2025</v>
      </c>
      <c r="Q189" s="46">
        <v>45753</v>
      </c>
      <c r="R189" s="20">
        <f>'Cleaned Data'!$Q189-'Cleaned Data'!$N189</f>
        <v>10</v>
      </c>
      <c r="S189" s="19" t="str">
        <f t="shared" si="5"/>
        <v>Summer</v>
      </c>
    </row>
    <row r="190" spans="1:19" x14ac:dyDescent="0.3">
      <c r="A190" s="13" t="s">
        <v>367</v>
      </c>
      <c r="B190" s="13" t="s">
        <v>23</v>
      </c>
      <c r="C190" s="5" t="s">
        <v>35</v>
      </c>
      <c r="D190" s="5" t="s">
        <v>46</v>
      </c>
      <c r="E190" s="5" t="s">
        <v>59</v>
      </c>
      <c r="F190" s="5" t="s">
        <v>64</v>
      </c>
      <c r="G190" s="5" t="s">
        <v>72</v>
      </c>
      <c r="H190" s="38">
        <v>32230.71</v>
      </c>
      <c r="I190" s="14">
        <v>0</v>
      </c>
      <c r="J190" s="38">
        <v>32230.71</v>
      </c>
      <c r="K190" s="5">
        <v>4</v>
      </c>
      <c r="L190" s="62">
        <f>Table1[[#This Row],[Final_Unit_Price]]*Table1[[#This Row],[Quantity]]</f>
        <v>128922.84</v>
      </c>
      <c r="M190" s="60">
        <v>45122.99</v>
      </c>
      <c r="N190" s="43">
        <v>45535</v>
      </c>
      <c r="O190" s="18" t="str">
        <f>TEXT(Table1[[#This Row],[Order_Date]],"mmm")</f>
        <v>Aug</v>
      </c>
      <c r="P190" s="18">
        <f t="shared" si="4"/>
        <v>2024</v>
      </c>
      <c r="Q190" s="45">
        <v>45538</v>
      </c>
      <c r="R190" s="19">
        <f>'Cleaned Data'!$Q190-'Cleaned Data'!$N190</f>
        <v>3</v>
      </c>
      <c r="S190" s="19" t="str">
        <f t="shared" si="5"/>
        <v>Monsoon</v>
      </c>
    </row>
    <row r="191" spans="1:19" x14ac:dyDescent="0.3">
      <c r="A191" s="11" t="s">
        <v>368</v>
      </c>
      <c r="B191" s="11" t="s">
        <v>20</v>
      </c>
      <c r="C191" s="3" t="s">
        <v>32</v>
      </c>
      <c r="D191" s="3" t="s">
        <v>54</v>
      </c>
      <c r="E191" s="3" t="s">
        <v>60</v>
      </c>
      <c r="F191" s="3" t="s">
        <v>63</v>
      </c>
      <c r="G191" s="3" t="s">
        <v>68</v>
      </c>
      <c r="H191" s="37">
        <v>24778.080000000002</v>
      </c>
      <c r="I191" s="12">
        <v>0.15</v>
      </c>
      <c r="J191" s="37">
        <v>21061.367999999999</v>
      </c>
      <c r="K191" s="3">
        <v>5</v>
      </c>
      <c r="L191" s="61">
        <f>Table1[[#This Row],[Final_Unit_Price]]*Table1[[#This Row],[Quantity]]</f>
        <v>105306.84</v>
      </c>
      <c r="M191" s="59">
        <v>15796.03</v>
      </c>
      <c r="N191" s="42">
        <v>45598</v>
      </c>
      <c r="O191" s="20" t="str">
        <f>TEXT(Table1[[#This Row],[Order_Date]],"mmm")</f>
        <v>Nov</v>
      </c>
      <c r="P191" s="20">
        <f t="shared" si="4"/>
        <v>2024</v>
      </c>
      <c r="Q191" s="46">
        <v>45602</v>
      </c>
      <c r="R191" s="20">
        <f>'Cleaned Data'!$Q191-'Cleaned Data'!$N191</f>
        <v>4</v>
      </c>
      <c r="S191" s="19" t="str">
        <f t="shared" si="5"/>
        <v>Winter</v>
      </c>
    </row>
    <row r="192" spans="1:19" x14ac:dyDescent="0.3">
      <c r="A192" s="13" t="s">
        <v>369</v>
      </c>
      <c r="B192" s="13" t="s">
        <v>27</v>
      </c>
      <c r="C192" s="5" t="s">
        <v>35</v>
      </c>
      <c r="D192" s="5" t="s">
        <v>46</v>
      </c>
      <c r="E192" s="5" t="s">
        <v>59</v>
      </c>
      <c r="F192" s="5" t="s">
        <v>61</v>
      </c>
      <c r="G192" s="5" t="s">
        <v>65</v>
      </c>
      <c r="H192" s="38">
        <v>9576.11</v>
      </c>
      <c r="I192" s="14">
        <v>0</v>
      </c>
      <c r="J192" s="38">
        <v>9576.11</v>
      </c>
      <c r="K192" s="5">
        <v>5</v>
      </c>
      <c r="L192" s="62">
        <f>Table1[[#This Row],[Final_Unit_Price]]*Table1[[#This Row],[Quantity]]</f>
        <v>47880.55</v>
      </c>
      <c r="M192" s="60">
        <v>16758.189999999999</v>
      </c>
      <c r="N192" s="43">
        <v>45405</v>
      </c>
      <c r="O192" s="18" t="str">
        <f>TEXT(Table1[[#This Row],[Order_Date]],"mmm")</f>
        <v>Apr</v>
      </c>
      <c r="P192" s="18">
        <f t="shared" si="4"/>
        <v>2024</v>
      </c>
      <c r="Q192" s="45">
        <v>45412</v>
      </c>
      <c r="R192" s="19">
        <f>'Cleaned Data'!$Q192-'Cleaned Data'!$N192</f>
        <v>7</v>
      </c>
      <c r="S192" s="19" t="str">
        <f t="shared" si="5"/>
        <v>Summer</v>
      </c>
    </row>
    <row r="193" spans="1:19" x14ac:dyDescent="0.3">
      <c r="A193" s="11" t="s">
        <v>370</v>
      </c>
      <c r="B193" s="11" t="s">
        <v>29</v>
      </c>
      <c r="C193" s="3" t="s">
        <v>35</v>
      </c>
      <c r="D193" s="3" t="s">
        <v>48</v>
      </c>
      <c r="E193" s="3" t="s">
        <v>58</v>
      </c>
      <c r="F193" s="3" t="s">
        <v>64</v>
      </c>
      <c r="G193" s="3" t="s">
        <v>76</v>
      </c>
      <c r="H193" s="37">
        <v>19267.490000000002</v>
      </c>
      <c r="I193" s="12">
        <v>0.3</v>
      </c>
      <c r="J193" s="37">
        <v>13487.243</v>
      </c>
      <c r="K193" s="3">
        <v>5</v>
      </c>
      <c r="L193" s="61">
        <f>Table1[[#This Row],[Final_Unit_Price]]*Table1[[#This Row],[Quantity]]</f>
        <v>67436.214999999997</v>
      </c>
      <c r="M193" s="59">
        <v>16859.05</v>
      </c>
      <c r="N193" s="42">
        <v>45453</v>
      </c>
      <c r="O193" s="20" t="str">
        <f>TEXT(Table1[[#This Row],[Order_Date]],"mmm")</f>
        <v>Jun</v>
      </c>
      <c r="P193" s="20">
        <f t="shared" si="4"/>
        <v>2024</v>
      </c>
      <c r="Q193" s="46">
        <v>45456</v>
      </c>
      <c r="R193" s="20">
        <f>'Cleaned Data'!$Q193-'Cleaned Data'!$N193</f>
        <v>3</v>
      </c>
      <c r="S193" s="19" t="str">
        <f t="shared" si="5"/>
        <v>Monsoon</v>
      </c>
    </row>
    <row r="194" spans="1:19" x14ac:dyDescent="0.3">
      <c r="A194" s="13" t="s">
        <v>371</v>
      </c>
      <c r="B194" s="13" t="s">
        <v>24</v>
      </c>
      <c r="C194" s="5" t="s">
        <v>32</v>
      </c>
      <c r="D194" s="5" t="s">
        <v>43</v>
      </c>
      <c r="E194" s="5" t="s">
        <v>58</v>
      </c>
      <c r="F194" s="5" t="s">
        <v>62</v>
      </c>
      <c r="G194" s="5" t="s">
        <v>69</v>
      </c>
      <c r="H194" s="38">
        <v>25489.09</v>
      </c>
      <c r="I194" s="14">
        <v>0.25</v>
      </c>
      <c r="J194" s="38">
        <v>19116.817500000001</v>
      </c>
      <c r="K194" s="5">
        <v>4</v>
      </c>
      <c r="L194" s="62">
        <f>Table1[[#This Row],[Final_Unit_Price]]*Table1[[#This Row],[Quantity]]</f>
        <v>76467.27</v>
      </c>
      <c r="M194" s="60">
        <v>19116.82</v>
      </c>
      <c r="N194" s="43">
        <v>45635</v>
      </c>
      <c r="O194" s="18" t="str">
        <f>TEXT(Table1[[#This Row],[Order_Date]],"mmm")</f>
        <v>Dec</v>
      </c>
      <c r="P194" s="18">
        <f t="shared" si="4"/>
        <v>2024</v>
      </c>
      <c r="Q194" s="45">
        <v>45643</v>
      </c>
      <c r="R194" s="19">
        <f>'Cleaned Data'!$Q194-'Cleaned Data'!$N194</f>
        <v>8</v>
      </c>
      <c r="S194" s="19" t="str">
        <f t="shared" si="5"/>
        <v>Winter</v>
      </c>
    </row>
    <row r="195" spans="1:19" x14ac:dyDescent="0.3">
      <c r="A195" s="11" t="s">
        <v>372</v>
      </c>
      <c r="B195" s="11" t="s">
        <v>20</v>
      </c>
      <c r="C195" s="3" t="s">
        <v>32</v>
      </c>
      <c r="D195" s="3" t="s">
        <v>40</v>
      </c>
      <c r="E195" s="3" t="s">
        <v>59</v>
      </c>
      <c r="F195" s="3" t="s">
        <v>61</v>
      </c>
      <c r="G195" s="3" t="s">
        <v>65</v>
      </c>
      <c r="H195" s="37">
        <v>33997.68</v>
      </c>
      <c r="I195" s="12">
        <v>0.15</v>
      </c>
      <c r="J195" s="37">
        <v>28898.027999999998</v>
      </c>
      <c r="K195" s="3">
        <v>3</v>
      </c>
      <c r="L195" s="61">
        <f>Table1[[#This Row],[Final_Unit_Price]]*Table1[[#This Row],[Quantity]]</f>
        <v>86694.084000000003</v>
      </c>
      <c r="M195" s="59">
        <v>30342.93</v>
      </c>
      <c r="N195" s="42">
        <v>45586</v>
      </c>
      <c r="O195" s="20" t="str">
        <f>TEXT(Table1[[#This Row],[Order_Date]],"mmm")</f>
        <v>Oct</v>
      </c>
      <c r="P195" s="20">
        <f t="shared" ref="P195:P258" si="6">YEAR(N195)</f>
        <v>2024</v>
      </c>
      <c r="Q195" s="46">
        <v>45589</v>
      </c>
      <c r="R195" s="20">
        <f>'Cleaned Data'!$Q195-'Cleaned Data'!$N195</f>
        <v>3</v>
      </c>
      <c r="S195" s="19" t="str">
        <f t="shared" ref="S195:S258" si="7">IF(OR(O195="Feb",O195="Mar",O195="Apr",O195="May"),"Summer",
   IF(OR(O195="Jun",O195="Jul",O195="Aug",O195="Sep"),"Monsoon",
   IF(OR(O195="Oct",O195="Nov",O195="Dec",O195= "Jan"),"Winter","Invalid")))</f>
        <v>Winter</v>
      </c>
    </row>
    <row r="196" spans="1:19" x14ac:dyDescent="0.3">
      <c r="A196" s="13" t="s">
        <v>373</v>
      </c>
      <c r="B196" s="13" t="s">
        <v>16</v>
      </c>
      <c r="C196" s="5" t="s">
        <v>31</v>
      </c>
      <c r="D196" s="5" t="s">
        <v>42</v>
      </c>
      <c r="E196" s="5" t="s">
        <v>60</v>
      </c>
      <c r="F196" s="5" t="s">
        <v>64</v>
      </c>
      <c r="G196" s="5" t="s">
        <v>76</v>
      </c>
      <c r="H196" s="38">
        <v>2402.5700000000002</v>
      </c>
      <c r="I196" s="14">
        <v>0.1</v>
      </c>
      <c r="J196" s="38">
        <v>2162.3130000000001</v>
      </c>
      <c r="K196" s="5">
        <v>4</v>
      </c>
      <c r="L196" s="62">
        <f>Table1[[#This Row],[Final_Unit_Price]]*Table1[[#This Row],[Quantity]]</f>
        <v>8649.2520000000004</v>
      </c>
      <c r="M196" s="60">
        <v>1297.3900000000001</v>
      </c>
      <c r="N196" s="43">
        <v>45571</v>
      </c>
      <c r="O196" s="18" t="str">
        <f>TEXT(Table1[[#This Row],[Order_Date]],"mmm")</f>
        <v>Oct</v>
      </c>
      <c r="P196" s="18">
        <f t="shared" si="6"/>
        <v>2024</v>
      </c>
      <c r="Q196" s="45">
        <v>45576</v>
      </c>
      <c r="R196" s="19">
        <f>'Cleaned Data'!$Q196-'Cleaned Data'!$N196</f>
        <v>5</v>
      </c>
      <c r="S196" s="19" t="str">
        <f t="shared" si="7"/>
        <v>Winter</v>
      </c>
    </row>
    <row r="197" spans="1:19" x14ac:dyDescent="0.3">
      <c r="A197" s="11" t="s">
        <v>374</v>
      </c>
      <c r="B197" s="11" t="s">
        <v>20</v>
      </c>
      <c r="C197" s="3" t="s">
        <v>32</v>
      </c>
      <c r="D197" s="3" t="s">
        <v>54</v>
      </c>
      <c r="E197" s="3" t="s">
        <v>60</v>
      </c>
      <c r="F197" s="3" t="s">
        <v>61</v>
      </c>
      <c r="G197" s="3" t="s">
        <v>70</v>
      </c>
      <c r="H197" s="37">
        <v>25749.040000000001</v>
      </c>
      <c r="I197" s="12">
        <v>0.25</v>
      </c>
      <c r="J197" s="37">
        <v>19311.78</v>
      </c>
      <c r="K197" s="3">
        <v>5</v>
      </c>
      <c r="L197" s="61">
        <f>Table1[[#This Row],[Final_Unit_Price]]*Table1[[#This Row],[Quantity]]</f>
        <v>96558.9</v>
      </c>
      <c r="M197" s="59">
        <v>14483.83</v>
      </c>
      <c r="N197" s="42">
        <v>45577</v>
      </c>
      <c r="O197" s="20" t="str">
        <f>TEXT(Table1[[#This Row],[Order_Date]],"mmm")</f>
        <v>Oct</v>
      </c>
      <c r="P197" s="20">
        <f t="shared" si="6"/>
        <v>2024</v>
      </c>
      <c r="Q197" s="46">
        <v>45581</v>
      </c>
      <c r="R197" s="20">
        <f>'Cleaned Data'!$Q197-'Cleaned Data'!$N197</f>
        <v>4</v>
      </c>
      <c r="S197" s="19" t="str">
        <f t="shared" si="7"/>
        <v>Winter</v>
      </c>
    </row>
    <row r="198" spans="1:19" x14ac:dyDescent="0.3">
      <c r="A198" s="13" t="s">
        <v>375</v>
      </c>
      <c r="B198" s="13" t="s">
        <v>19</v>
      </c>
      <c r="C198" s="5" t="s">
        <v>33</v>
      </c>
      <c r="D198" s="5" t="s">
        <v>39</v>
      </c>
      <c r="E198" s="5" t="s">
        <v>58</v>
      </c>
      <c r="F198" s="5" t="s">
        <v>62</v>
      </c>
      <c r="G198" s="5" t="s">
        <v>69</v>
      </c>
      <c r="H198" s="38">
        <v>2042.43</v>
      </c>
      <c r="I198" s="14">
        <v>0.15</v>
      </c>
      <c r="J198" s="38">
        <v>1736.0654999999999</v>
      </c>
      <c r="K198" s="5">
        <v>3</v>
      </c>
      <c r="L198" s="62">
        <f>Table1[[#This Row],[Final_Unit_Price]]*Table1[[#This Row],[Quantity]]</f>
        <v>5208.1965</v>
      </c>
      <c r="M198" s="60">
        <v>1302.05</v>
      </c>
      <c r="N198" s="43">
        <v>45805</v>
      </c>
      <c r="O198" s="18" t="str">
        <f>TEXT(Table1[[#This Row],[Order_Date]],"mmm")</f>
        <v>May</v>
      </c>
      <c r="P198" s="18">
        <f t="shared" si="6"/>
        <v>2025</v>
      </c>
      <c r="Q198" s="45">
        <v>45811</v>
      </c>
      <c r="R198" s="19">
        <f>'Cleaned Data'!$Q198-'Cleaned Data'!$N198</f>
        <v>6</v>
      </c>
      <c r="S198" s="19" t="str">
        <f t="shared" si="7"/>
        <v>Summer</v>
      </c>
    </row>
    <row r="199" spans="1:19" x14ac:dyDescent="0.3">
      <c r="A199" s="11" t="s">
        <v>376</v>
      </c>
      <c r="B199" s="11" t="s">
        <v>21</v>
      </c>
      <c r="C199" s="3" t="s">
        <v>34</v>
      </c>
      <c r="D199" s="3" t="s">
        <v>49</v>
      </c>
      <c r="E199" s="3" t="s">
        <v>59</v>
      </c>
      <c r="F199" s="3" t="s">
        <v>61</v>
      </c>
      <c r="G199" s="3" t="s">
        <v>71</v>
      </c>
      <c r="H199" s="37">
        <v>3579.63</v>
      </c>
      <c r="I199" s="12">
        <v>0.15</v>
      </c>
      <c r="J199" s="37">
        <v>3042.6855</v>
      </c>
      <c r="K199" s="3">
        <v>4</v>
      </c>
      <c r="L199" s="61">
        <f>Table1[[#This Row],[Final_Unit_Price]]*Table1[[#This Row],[Quantity]]</f>
        <v>12170.742</v>
      </c>
      <c r="M199" s="59">
        <v>4259.76</v>
      </c>
      <c r="N199" s="42">
        <v>45719</v>
      </c>
      <c r="O199" s="20" t="str">
        <f>TEXT(Table1[[#This Row],[Order_Date]],"mmm")</f>
        <v>Mar</v>
      </c>
      <c r="P199" s="20">
        <f t="shared" si="6"/>
        <v>2025</v>
      </c>
      <c r="Q199" s="46">
        <v>45726</v>
      </c>
      <c r="R199" s="20">
        <f>'Cleaned Data'!$Q199-'Cleaned Data'!$N199</f>
        <v>7</v>
      </c>
      <c r="S199" s="19" t="str">
        <f t="shared" si="7"/>
        <v>Summer</v>
      </c>
    </row>
    <row r="200" spans="1:19" x14ac:dyDescent="0.3">
      <c r="A200" s="13" t="s">
        <v>377</v>
      </c>
      <c r="B200" s="13" t="s">
        <v>27</v>
      </c>
      <c r="C200" s="5" t="s">
        <v>35</v>
      </c>
      <c r="D200" s="5" t="s">
        <v>46</v>
      </c>
      <c r="E200" s="5" t="s">
        <v>59</v>
      </c>
      <c r="F200" s="5" t="s">
        <v>62</v>
      </c>
      <c r="G200" s="5" t="s">
        <v>66</v>
      </c>
      <c r="H200" s="38">
        <v>10176.51</v>
      </c>
      <c r="I200" s="14">
        <v>0.15</v>
      </c>
      <c r="J200" s="38">
        <v>8650.0334999999995</v>
      </c>
      <c r="K200" s="5">
        <v>1</v>
      </c>
      <c r="L200" s="62">
        <f>Table1[[#This Row],[Final_Unit_Price]]*Table1[[#This Row],[Quantity]]</f>
        <v>8650.0334999999995</v>
      </c>
      <c r="M200" s="60">
        <v>3027.51</v>
      </c>
      <c r="N200" s="43">
        <v>45649</v>
      </c>
      <c r="O200" s="18" t="str">
        <f>TEXT(Table1[[#This Row],[Order_Date]],"mmm")</f>
        <v>Dec</v>
      </c>
      <c r="P200" s="18">
        <f t="shared" si="6"/>
        <v>2024</v>
      </c>
      <c r="Q200" s="45">
        <v>45655</v>
      </c>
      <c r="R200" s="19">
        <f>'Cleaned Data'!$Q200-'Cleaned Data'!$N200</f>
        <v>6</v>
      </c>
      <c r="S200" s="19" t="str">
        <f t="shared" si="7"/>
        <v>Winter</v>
      </c>
    </row>
    <row r="201" spans="1:19" x14ac:dyDescent="0.3">
      <c r="A201" s="11" t="s">
        <v>378</v>
      </c>
      <c r="B201" s="11" t="s">
        <v>21</v>
      </c>
      <c r="C201" s="3" t="s">
        <v>34</v>
      </c>
      <c r="D201" s="3" t="s">
        <v>49</v>
      </c>
      <c r="E201" s="3" t="s">
        <v>59</v>
      </c>
      <c r="F201" s="3" t="s">
        <v>61</v>
      </c>
      <c r="G201" s="3" t="s">
        <v>71</v>
      </c>
      <c r="H201" s="37">
        <v>3416.14</v>
      </c>
      <c r="I201" s="12">
        <v>0.2</v>
      </c>
      <c r="J201" s="37">
        <v>2732.9119999999998</v>
      </c>
      <c r="K201" s="3">
        <v>4</v>
      </c>
      <c r="L201" s="61">
        <f>Table1[[#This Row],[Final_Unit_Price]]*Table1[[#This Row],[Quantity]]</f>
        <v>10931.647999999999</v>
      </c>
      <c r="M201" s="59">
        <v>3826.08</v>
      </c>
      <c r="N201" s="42">
        <v>45727</v>
      </c>
      <c r="O201" s="20" t="str">
        <f>TEXT(Table1[[#This Row],[Order_Date]],"mmm")</f>
        <v>Mar</v>
      </c>
      <c r="P201" s="20">
        <f t="shared" si="6"/>
        <v>2025</v>
      </c>
      <c r="Q201" s="46">
        <v>45729</v>
      </c>
      <c r="R201" s="20">
        <f>'Cleaned Data'!$Q201-'Cleaned Data'!$N201</f>
        <v>2</v>
      </c>
      <c r="S201" s="19" t="str">
        <f t="shared" si="7"/>
        <v>Summer</v>
      </c>
    </row>
    <row r="202" spans="1:19" x14ac:dyDescent="0.3">
      <c r="A202" s="13" t="s">
        <v>379</v>
      </c>
      <c r="B202" s="13" t="s">
        <v>22</v>
      </c>
      <c r="C202" s="5" t="s">
        <v>31</v>
      </c>
      <c r="D202" s="5" t="s">
        <v>36</v>
      </c>
      <c r="E202" s="5" t="s">
        <v>58</v>
      </c>
      <c r="F202" s="5" t="s">
        <v>63</v>
      </c>
      <c r="G202" s="5" t="s">
        <v>73</v>
      </c>
      <c r="H202" s="38">
        <v>3247.42</v>
      </c>
      <c r="I202" s="14">
        <v>0</v>
      </c>
      <c r="J202" s="38">
        <v>3247.42</v>
      </c>
      <c r="K202" s="5">
        <v>3</v>
      </c>
      <c r="L202" s="62">
        <f>Table1[[#This Row],[Final_Unit_Price]]*Table1[[#This Row],[Quantity]]</f>
        <v>9742.26</v>
      </c>
      <c r="M202" s="60">
        <v>2435.5700000000002</v>
      </c>
      <c r="N202" s="43">
        <v>45815</v>
      </c>
      <c r="O202" s="18" t="str">
        <f>TEXT(Table1[[#This Row],[Order_Date]],"mmm")</f>
        <v>Jun</v>
      </c>
      <c r="P202" s="18">
        <f t="shared" si="6"/>
        <v>2025</v>
      </c>
      <c r="Q202" s="45">
        <v>45817</v>
      </c>
      <c r="R202" s="19">
        <f>'Cleaned Data'!$Q202-'Cleaned Data'!$N202</f>
        <v>2</v>
      </c>
      <c r="S202" s="19" t="str">
        <f t="shared" si="7"/>
        <v>Monsoon</v>
      </c>
    </row>
    <row r="203" spans="1:19" x14ac:dyDescent="0.3">
      <c r="A203" s="11" t="s">
        <v>380</v>
      </c>
      <c r="B203" s="11" t="s">
        <v>19</v>
      </c>
      <c r="C203" s="3" t="s">
        <v>33</v>
      </c>
      <c r="D203" s="3" t="s">
        <v>39</v>
      </c>
      <c r="E203" s="3" t="s">
        <v>58</v>
      </c>
      <c r="F203" s="3" t="s">
        <v>61</v>
      </c>
      <c r="G203" s="3" t="s">
        <v>71</v>
      </c>
      <c r="H203" s="37">
        <v>1968.28</v>
      </c>
      <c r="I203" s="12">
        <v>0.05</v>
      </c>
      <c r="J203" s="37">
        <v>1869.866</v>
      </c>
      <c r="K203" s="3">
        <v>4</v>
      </c>
      <c r="L203" s="61">
        <f>Table1[[#This Row],[Final_Unit_Price]]*Table1[[#This Row],[Quantity]]</f>
        <v>7479.4639999999999</v>
      </c>
      <c r="M203" s="59">
        <v>1869.87</v>
      </c>
      <c r="N203" s="42">
        <v>45741</v>
      </c>
      <c r="O203" s="20" t="str">
        <f>TEXT(Table1[[#This Row],[Order_Date]],"mmm")</f>
        <v>Mar</v>
      </c>
      <c r="P203" s="20">
        <f t="shared" si="6"/>
        <v>2025</v>
      </c>
      <c r="Q203" s="46">
        <v>45745</v>
      </c>
      <c r="R203" s="20">
        <f>'Cleaned Data'!$Q203-'Cleaned Data'!$N203</f>
        <v>4</v>
      </c>
      <c r="S203" s="19" t="str">
        <f t="shared" si="7"/>
        <v>Summer</v>
      </c>
    </row>
    <row r="204" spans="1:19" x14ac:dyDescent="0.3">
      <c r="A204" s="13" t="s">
        <v>381</v>
      </c>
      <c r="B204" s="13" t="s">
        <v>25</v>
      </c>
      <c r="C204" s="5" t="s">
        <v>34</v>
      </c>
      <c r="D204" s="5" t="s">
        <v>51</v>
      </c>
      <c r="E204" s="5" t="s">
        <v>59</v>
      </c>
      <c r="F204" s="5" t="s">
        <v>64</v>
      </c>
      <c r="G204" s="5" t="s">
        <v>72</v>
      </c>
      <c r="H204" s="38">
        <v>1079.07</v>
      </c>
      <c r="I204" s="14">
        <v>0.1</v>
      </c>
      <c r="J204" s="38">
        <v>971.16300000000001</v>
      </c>
      <c r="K204" s="5">
        <v>5</v>
      </c>
      <c r="L204" s="62">
        <f>Table1[[#This Row],[Final_Unit_Price]]*Table1[[#This Row],[Quantity]]</f>
        <v>4855.8150000000005</v>
      </c>
      <c r="M204" s="60">
        <v>1699.54</v>
      </c>
      <c r="N204" s="43">
        <v>45480</v>
      </c>
      <c r="O204" s="18" t="str">
        <f>TEXT(Table1[[#This Row],[Order_Date]],"mmm")</f>
        <v>Jul</v>
      </c>
      <c r="P204" s="18">
        <f t="shared" si="6"/>
        <v>2024</v>
      </c>
      <c r="Q204" s="45">
        <v>45483</v>
      </c>
      <c r="R204" s="19">
        <f>'Cleaned Data'!$Q204-'Cleaned Data'!$N204</f>
        <v>3</v>
      </c>
      <c r="S204" s="19" t="str">
        <f t="shared" si="7"/>
        <v>Monsoon</v>
      </c>
    </row>
    <row r="205" spans="1:19" x14ac:dyDescent="0.3">
      <c r="A205" s="11" t="s">
        <v>382</v>
      </c>
      <c r="B205" s="11" t="s">
        <v>28</v>
      </c>
      <c r="C205" s="3" t="s">
        <v>34</v>
      </c>
      <c r="D205" s="3" t="s">
        <v>52</v>
      </c>
      <c r="E205" s="3" t="s">
        <v>60</v>
      </c>
      <c r="F205" s="3" t="s">
        <v>62</v>
      </c>
      <c r="G205" s="3" t="s">
        <v>69</v>
      </c>
      <c r="H205" s="37">
        <v>1293.78</v>
      </c>
      <c r="I205" s="12">
        <v>0.25</v>
      </c>
      <c r="J205" s="37">
        <v>970.33500000000004</v>
      </c>
      <c r="K205" s="3">
        <v>5</v>
      </c>
      <c r="L205" s="61">
        <f>Table1[[#This Row],[Final_Unit_Price]]*Table1[[#This Row],[Quantity]]</f>
        <v>4851.6750000000002</v>
      </c>
      <c r="M205" s="59">
        <v>727.75</v>
      </c>
      <c r="N205" s="42">
        <v>45691</v>
      </c>
      <c r="O205" s="20" t="str">
        <f>TEXT(Table1[[#This Row],[Order_Date]],"mmm")</f>
        <v>Feb</v>
      </c>
      <c r="P205" s="20">
        <f t="shared" si="6"/>
        <v>2025</v>
      </c>
      <c r="Q205" s="46">
        <v>45695</v>
      </c>
      <c r="R205" s="20">
        <f>'Cleaned Data'!$Q205-'Cleaned Data'!$N205</f>
        <v>4</v>
      </c>
      <c r="S205" s="19" t="str">
        <f t="shared" si="7"/>
        <v>Summer</v>
      </c>
    </row>
    <row r="206" spans="1:19" x14ac:dyDescent="0.3">
      <c r="A206" s="13" t="s">
        <v>383</v>
      </c>
      <c r="B206" s="13" t="s">
        <v>21</v>
      </c>
      <c r="C206" s="5" t="s">
        <v>34</v>
      </c>
      <c r="D206" s="5" t="s">
        <v>41</v>
      </c>
      <c r="E206" s="5" t="s">
        <v>60</v>
      </c>
      <c r="F206" s="5" t="s">
        <v>63</v>
      </c>
      <c r="G206" s="5" t="s">
        <v>75</v>
      </c>
      <c r="H206" s="38">
        <v>2440.65</v>
      </c>
      <c r="I206" s="14">
        <v>0</v>
      </c>
      <c r="J206" s="38">
        <v>2440.65</v>
      </c>
      <c r="K206" s="5">
        <v>1</v>
      </c>
      <c r="L206" s="62">
        <f>Table1[[#This Row],[Final_Unit_Price]]*Table1[[#This Row],[Quantity]]</f>
        <v>2440.65</v>
      </c>
      <c r="M206" s="60">
        <v>366.1</v>
      </c>
      <c r="N206" s="43">
        <v>45483</v>
      </c>
      <c r="O206" s="18" t="str">
        <f>TEXT(Table1[[#This Row],[Order_Date]],"mmm")</f>
        <v>Jul</v>
      </c>
      <c r="P206" s="18">
        <f t="shared" si="6"/>
        <v>2024</v>
      </c>
      <c r="Q206" s="45">
        <v>45490</v>
      </c>
      <c r="R206" s="19">
        <f>'Cleaned Data'!$Q206-'Cleaned Data'!$N206</f>
        <v>7</v>
      </c>
      <c r="S206" s="19" t="str">
        <f t="shared" si="7"/>
        <v>Monsoon</v>
      </c>
    </row>
    <row r="207" spans="1:19" x14ac:dyDescent="0.3">
      <c r="A207" s="11" t="s">
        <v>384</v>
      </c>
      <c r="B207" s="11" t="s">
        <v>20</v>
      </c>
      <c r="C207" s="3" t="s">
        <v>32</v>
      </c>
      <c r="D207" s="3" t="s">
        <v>54</v>
      </c>
      <c r="E207" s="3" t="s">
        <v>60</v>
      </c>
      <c r="F207" s="3" t="s">
        <v>63</v>
      </c>
      <c r="G207" s="3" t="s">
        <v>75</v>
      </c>
      <c r="H207" s="37">
        <v>23426.080000000002</v>
      </c>
      <c r="I207" s="12">
        <v>0.1</v>
      </c>
      <c r="J207" s="37">
        <v>21083.472000000002</v>
      </c>
      <c r="K207" s="3">
        <v>3</v>
      </c>
      <c r="L207" s="61">
        <f>Table1[[#This Row],[Final_Unit_Price]]*Table1[[#This Row],[Quantity]]</f>
        <v>63250.416000000005</v>
      </c>
      <c r="M207" s="59">
        <v>9487.56</v>
      </c>
      <c r="N207" s="42">
        <v>45668</v>
      </c>
      <c r="O207" s="20" t="str">
        <f>TEXT(Table1[[#This Row],[Order_Date]],"mmm")</f>
        <v>Jan</v>
      </c>
      <c r="P207" s="20">
        <f t="shared" si="6"/>
        <v>2025</v>
      </c>
      <c r="Q207" s="46">
        <v>45675</v>
      </c>
      <c r="R207" s="20">
        <f>'Cleaned Data'!$Q207-'Cleaned Data'!$N207</f>
        <v>7</v>
      </c>
      <c r="S207" s="19" t="str">
        <f t="shared" si="7"/>
        <v>Winter</v>
      </c>
    </row>
    <row r="208" spans="1:19" x14ac:dyDescent="0.3">
      <c r="A208" s="13" t="s">
        <v>385</v>
      </c>
      <c r="B208" s="13" t="s">
        <v>30</v>
      </c>
      <c r="C208" s="5" t="s">
        <v>33</v>
      </c>
      <c r="D208" s="5" t="s">
        <v>38</v>
      </c>
      <c r="E208" s="5" t="s">
        <v>59</v>
      </c>
      <c r="F208" s="5" t="s">
        <v>61</v>
      </c>
      <c r="G208" s="5" t="s">
        <v>71</v>
      </c>
      <c r="H208" s="38">
        <v>18476.189999999999</v>
      </c>
      <c r="I208" s="14">
        <v>0.3</v>
      </c>
      <c r="J208" s="38">
        <v>12933.333000000001</v>
      </c>
      <c r="K208" s="5">
        <v>1</v>
      </c>
      <c r="L208" s="62">
        <f>Table1[[#This Row],[Final_Unit_Price]]*Table1[[#This Row],[Quantity]]</f>
        <v>12933.333000000001</v>
      </c>
      <c r="M208" s="60">
        <v>4526.67</v>
      </c>
      <c r="N208" s="43">
        <v>45811</v>
      </c>
      <c r="O208" s="18" t="str">
        <f>TEXT(Table1[[#This Row],[Order_Date]],"mmm")</f>
        <v>Jun</v>
      </c>
      <c r="P208" s="18">
        <f t="shared" si="6"/>
        <v>2025</v>
      </c>
      <c r="Q208" s="45">
        <v>45816</v>
      </c>
      <c r="R208" s="19">
        <f>'Cleaned Data'!$Q208-'Cleaned Data'!$N208</f>
        <v>5</v>
      </c>
      <c r="S208" s="19" t="str">
        <f t="shared" si="7"/>
        <v>Monsoon</v>
      </c>
    </row>
    <row r="209" spans="1:19" x14ac:dyDescent="0.3">
      <c r="A209" s="11" t="s">
        <v>386</v>
      </c>
      <c r="B209" s="11" t="s">
        <v>29</v>
      </c>
      <c r="C209" s="3" t="s">
        <v>35</v>
      </c>
      <c r="D209" s="3" t="s">
        <v>46</v>
      </c>
      <c r="E209" s="3" t="s">
        <v>59</v>
      </c>
      <c r="F209" s="3" t="s">
        <v>61</v>
      </c>
      <c r="G209" s="3" t="s">
        <v>71</v>
      </c>
      <c r="H209" s="37">
        <v>20731.72</v>
      </c>
      <c r="I209" s="12">
        <v>0.3</v>
      </c>
      <c r="J209" s="37">
        <v>14512.204</v>
      </c>
      <c r="K209" s="3">
        <v>3</v>
      </c>
      <c r="L209" s="61">
        <f>Table1[[#This Row],[Final_Unit_Price]]*Table1[[#This Row],[Quantity]]</f>
        <v>43536.612000000001</v>
      </c>
      <c r="M209" s="59">
        <v>15237.81</v>
      </c>
      <c r="N209" s="42">
        <v>45644</v>
      </c>
      <c r="O209" s="20" t="str">
        <f>TEXT(Table1[[#This Row],[Order_Date]],"mmm")</f>
        <v>Dec</v>
      </c>
      <c r="P209" s="20">
        <f t="shared" si="6"/>
        <v>2024</v>
      </c>
      <c r="Q209" s="46">
        <v>45647</v>
      </c>
      <c r="R209" s="20">
        <f>'Cleaned Data'!$Q209-'Cleaned Data'!$N209</f>
        <v>3</v>
      </c>
      <c r="S209" s="19" t="str">
        <f t="shared" si="7"/>
        <v>Winter</v>
      </c>
    </row>
    <row r="210" spans="1:19" x14ac:dyDescent="0.3">
      <c r="A210" s="13" t="s">
        <v>387</v>
      </c>
      <c r="B210" s="13" t="s">
        <v>30</v>
      </c>
      <c r="C210" s="5" t="s">
        <v>33</v>
      </c>
      <c r="D210" s="5" t="s">
        <v>50</v>
      </c>
      <c r="E210" s="5" t="s">
        <v>59</v>
      </c>
      <c r="F210" s="5" t="s">
        <v>62</v>
      </c>
      <c r="G210" s="5" t="s">
        <v>66</v>
      </c>
      <c r="H210" s="38">
        <v>18972.62</v>
      </c>
      <c r="I210" s="14">
        <v>0.1</v>
      </c>
      <c r="J210" s="38">
        <v>17075.358</v>
      </c>
      <c r="K210" s="5">
        <v>5</v>
      </c>
      <c r="L210" s="62">
        <f>Table1[[#This Row],[Final_Unit_Price]]*Table1[[#This Row],[Quantity]]</f>
        <v>85376.790000000008</v>
      </c>
      <c r="M210" s="60">
        <v>29881.88</v>
      </c>
      <c r="N210" s="43">
        <v>45830</v>
      </c>
      <c r="O210" s="18" t="str">
        <f>TEXT(Table1[[#This Row],[Order_Date]],"mmm")</f>
        <v>Jun</v>
      </c>
      <c r="P210" s="18">
        <f t="shared" si="6"/>
        <v>2025</v>
      </c>
      <c r="Q210" s="45">
        <v>45832</v>
      </c>
      <c r="R210" s="19">
        <f>'Cleaned Data'!$Q210-'Cleaned Data'!$N210</f>
        <v>2</v>
      </c>
      <c r="S210" s="19" t="str">
        <f t="shared" si="7"/>
        <v>Monsoon</v>
      </c>
    </row>
    <row r="211" spans="1:19" x14ac:dyDescent="0.3">
      <c r="A211" s="11" t="s">
        <v>388</v>
      </c>
      <c r="B211" s="11" t="s">
        <v>24</v>
      </c>
      <c r="C211" s="3" t="s">
        <v>32</v>
      </c>
      <c r="D211" s="3" t="s">
        <v>43</v>
      </c>
      <c r="E211" s="3" t="s">
        <v>58</v>
      </c>
      <c r="F211" s="3" t="s">
        <v>61</v>
      </c>
      <c r="G211" s="3" t="s">
        <v>70</v>
      </c>
      <c r="H211" s="37">
        <v>24421.07</v>
      </c>
      <c r="I211" s="12">
        <v>0.15</v>
      </c>
      <c r="J211" s="37">
        <v>20757.909500000002</v>
      </c>
      <c r="K211" s="3">
        <v>5</v>
      </c>
      <c r="L211" s="61">
        <f>Table1[[#This Row],[Final_Unit_Price]]*Table1[[#This Row],[Quantity]]</f>
        <v>103789.54750000002</v>
      </c>
      <c r="M211" s="59">
        <v>25947.39</v>
      </c>
      <c r="N211" s="42">
        <v>45835</v>
      </c>
      <c r="O211" s="20" t="str">
        <f>TEXT(Table1[[#This Row],[Order_Date]],"mmm")</f>
        <v>Jun</v>
      </c>
      <c r="P211" s="20">
        <f t="shared" si="6"/>
        <v>2025</v>
      </c>
      <c r="Q211" s="46">
        <v>45844</v>
      </c>
      <c r="R211" s="20">
        <f>'Cleaned Data'!$Q211-'Cleaned Data'!$N211</f>
        <v>9</v>
      </c>
      <c r="S211" s="19" t="str">
        <f t="shared" si="7"/>
        <v>Monsoon</v>
      </c>
    </row>
    <row r="212" spans="1:19" x14ac:dyDescent="0.3">
      <c r="A212" s="13" t="s">
        <v>389</v>
      </c>
      <c r="B212" s="13" t="s">
        <v>26</v>
      </c>
      <c r="C212" s="5" t="s">
        <v>32</v>
      </c>
      <c r="D212" s="5" t="s">
        <v>43</v>
      </c>
      <c r="E212" s="5" t="s">
        <v>58</v>
      </c>
      <c r="F212" s="5" t="s">
        <v>64</v>
      </c>
      <c r="G212" s="5" t="s">
        <v>72</v>
      </c>
      <c r="H212" s="38">
        <v>38433.629999999997</v>
      </c>
      <c r="I212" s="14">
        <v>0.15</v>
      </c>
      <c r="J212" s="38">
        <v>32668.585500000001</v>
      </c>
      <c r="K212" s="5">
        <v>4</v>
      </c>
      <c r="L212" s="62">
        <f>Table1[[#This Row],[Final_Unit_Price]]*Table1[[#This Row],[Quantity]]</f>
        <v>130674.342</v>
      </c>
      <c r="M212" s="60">
        <v>32668.58</v>
      </c>
      <c r="N212" s="43">
        <v>45531</v>
      </c>
      <c r="O212" s="18" t="str">
        <f>TEXT(Table1[[#This Row],[Order_Date]],"mmm")</f>
        <v>Aug</v>
      </c>
      <c r="P212" s="18">
        <f t="shared" si="6"/>
        <v>2024</v>
      </c>
      <c r="Q212" s="45">
        <v>45535</v>
      </c>
      <c r="R212" s="19">
        <f>'Cleaned Data'!$Q212-'Cleaned Data'!$N212</f>
        <v>4</v>
      </c>
      <c r="S212" s="19" t="str">
        <f t="shared" si="7"/>
        <v>Monsoon</v>
      </c>
    </row>
    <row r="213" spans="1:19" x14ac:dyDescent="0.3">
      <c r="A213" s="11" t="s">
        <v>390</v>
      </c>
      <c r="B213" s="11" t="s">
        <v>27</v>
      </c>
      <c r="C213" s="3" t="s">
        <v>35</v>
      </c>
      <c r="D213" s="3" t="s">
        <v>44</v>
      </c>
      <c r="E213" s="3" t="s">
        <v>60</v>
      </c>
      <c r="F213" s="3" t="s">
        <v>64</v>
      </c>
      <c r="G213" s="3" t="s">
        <v>74</v>
      </c>
      <c r="H213" s="37">
        <v>7398.22</v>
      </c>
      <c r="I213" s="12">
        <v>0.1</v>
      </c>
      <c r="J213" s="37">
        <v>6658.3980000000001</v>
      </c>
      <c r="K213" s="3">
        <v>5</v>
      </c>
      <c r="L213" s="61">
        <f>Table1[[#This Row],[Final_Unit_Price]]*Table1[[#This Row],[Quantity]]</f>
        <v>33291.99</v>
      </c>
      <c r="M213" s="59">
        <v>4993.8</v>
      </c>
      <c r="N213" s="42">
        <v>45500</v>
      </c>
      <c r="O213" s="20" t="str">
        <f>TEXT(Table1[[#This Row],[Order_Date]],"mmm")</f>
        <v>Jul</v>
      </c>
      <c r="P213" s="20">
        <f t="shared" si="6"/>
        <v>2024</v>
      </c>
      <c r="Q213" s="46">
        <v>45506</v>
      </c>
      <c r="R213" s="20">
        <f>'Cleaned Data'!$Q213-'Cleaned Data'!$N213</f>
        <v>6</v>
      </c>
      <c r="S213" s="19" t="str">
        <f t="shared" si="7"/>
        <v>Monsoon</v>
      </c>
    </row>
    <row r="214" spans="1:19" x14ac:dyDescent="0.3">
      <c r="A214" s="13" t="s">
        <v>391</v>
      </c>
      <c r="B214" s="13" t="s">
        <v>26</v>
      </c>
      <c r="C214" s="5" t="s">
        <v>32</v>
      </c>
      <c r="D214" s="5" t="s">
        <v>43</v>
      </c>
      <c r="E214" s="5" t="s">
        <v>58</v>
      </c>
      <c r="F214" s="5" t="s">
        <v>64</v>
      </c>
      <c r="G214" s="5" t="s">
        <v>74</v>
      </c>
      <c r="H214" s="38">
        <v>37562.480000000003</v>
      </c>
      <c r="I214" s="14">
        <v>0.05</v>
      </c>
      <c r="J214" s="38">
        <v>35684.356</v>
      </c>
      <c r="K214" s="5">
        <v>2</v>
      </c>
      <c r="L214" s="62">
        <f>Table1[[#This Row],[Final_Unit_Price]]*Table1[[#This Row],[Quantity]]</f>
        <v>71368.712</v>
      </c>
      <c r="M214" s="60">
        <v>17842.18</v>
      </c>
      <c r="N214" s="43">
        <v>45356</v>
      </c>
      <c r="O214" s="18" t="str">
        <f>TEXT(Table1[[#This Row],[Order_Date]],"mmm")</f>
        <v>Mar</v>
      </c>
      <c r="P214" s="18">
        <f t="shared" si="6"/>
        <v>2024</v>
      </c>
      <c r="Q214" s="45">
        <v>45362</v>
      </c>
      <c r="R214" s="19">
        <f>'Cleaned Data'!$Q214-'Cleaned Data'!$N214</f>
        <v>6</v>
      </c>
      <c r="S214" s="19" t="str">
        <f t="shared" si="7"/>
        <v>Summer</v>
      </c>
    </row>
    <row r="215" spans="1:19" x14ac:dyDescent="0.3">
      <c r="A215" s="11" t="s">
        <v>392</v>
      </c>
      <c r="B215" s="11" t="s">
        <v>16</v>
      </c>
      <c r="C215" s="3" t="s">
        <v>31</v>
      </c>
      <c r="D215" s="3" t="s">
        <v>47</v>
      </c>
      <c r="E215" s="3" t="s">
        <v>59</v>
      </c>
      <c r="F215" s="3" t="s">
        <v>63</v>
      </c>
      <c r="G215" s="3" t="s">
        <v>68</v>
      </c>
      <c r="H215" s="37">
        <v>2957.37</v>
      </c>
      <c r="I215" s="12">
        <v>0.1</v>
      </c>
      <c r="J215" s="37">
        <v>2661.6329999999998</v>
      </c>
      <c r="K215" s="3">
        <v>6</v>
      </c>
      <c r="L215" s="61">
        <f>Table1[[#This Row],[Final_Unit_Price]]*Table1[[#This Row],[Quantity]]</f>
        <v>15969.797999999999</v>
      </c>
      <c r="M215" s="59">
        <v>2794.71</v>
      </c>
      <c r="N215" s="42">
        <v>45493</v>
      </c>
      <c r="O215" s="20" t="str">
        <f>TEXT(Table1[[#This Row],[Order_Date]],"mmm")</f>
        <v>Jul</v>
      </c>
      <c r="P215" s="20">
        <f t="shared" si="6"/>
        <v>2024</v>
      </c>
      <c r="Q215" s="46">
        <v>45500</v>
      </c>
      <c r="R215" s="20">
        <f>'Cleaned Data'!$Q215-'Cleaned Data'!$N215</f>
        <v>7</v>
      </c>
      <c r="S215" s="19" t="str">
        <f t="shared" si="7"/>
        <v>Monsoon</v>
      </c>
    </row>
    <row r="216" spans="1:19" x14ac:dyDescent="0.3">
      <c r="A216" s="13" t="s">
        <v>393</v>
      </c>
      <c r="B216" s="13" t="s">
        <v>30</v>
      </c>
      <c r="C216" s="5" t="s">
        <v>33</v>
      </c>
      <c r="D216" s="5" t="s">
        <v>38</v>
      </c>
      <c r="E216" s="5" t="s">
        <v>59</v>
      </c>
      <c r="F216" s="5" t="s">
        <v>64</v>
      </c>
      <c r="G216" s="5" t="s">
        <v>72</v>
      </c>
      <c r="H216" s="38">
        <v>19256.96</v>
      </c>
      <c r="I216" s="14">
        <v>0.15</v>
      </c>
      <c r="J216" s="38">
        <v>16368.415999999999</v>
      </c>
      <c r="K216" s="5">
        <v>2</v>
      </c>
      <c r="L216" s="62">
        <f>Table1[[#This Row],[Final_Unit_Price]]*Table1[[#This Row],[Quantity]]</f>
        <v>32736.831999999999</v>
      </c>
      <c r="M216" s="60">
        <v>11457.89</v>
      </c>
      <c r="N216" s="43">
        <v>45363</v>
      </c>
      <c r="O216" s="18" t="str">
        <f>TEXT(Table1[[#This Row],[Order_Date]],"mmm")</f>
        <v>Mar</v>
      </c>
      <c r="P216" s="18">
        <f t="shared" si="6"/>
        <v>2024</v>
      </c>
      <c r="Q216" s="45">
        <v>45365</v>
      </c>
      <c r="R216" s="19">
        <f>'Cleaned Data'!$Q216-'Cleaned Data'!$N216</f>
        <v>2</v>
      </c>
      <c r="S216" s="19" t="str">
        <f t="shared" si="7"/>
        <v>Summer</v>
      </c>
    </row>
    <row r="217" spans="1:19" x14ac:dyDescent="0.3">
      <c r="A217" s="11" t="s">
        <v>394</v>
      </c>
      <c r="B217" s="11" t="s">
        <v>27</v>
      </c>
      <c r="C217" s="3" t="s">
        <v>35</v>
      </c>
      <c r="D217" s="3" t="s">
        <v>44</v>
      </c>
      <c r="E217" s="3" t="s">
        <v>60</v>
      </c>
      <c r="F217" s="3" t="s">
        <v>62</v>
      </c>
      <c r="G217" s="3" t="s">
        <v>67</v>
      </c>
      <c r="H217" s="37">
        <v>6983.39</v>
      </c>
      <c r="I217" s="12">
        <v>0</v>
      </c>
      <c r="J217" s="37">
        <v>6983.39</v>
      </c>
      <c r="K217" s="3">
        <v>1</v>
      </c>
      <c r="L217" s="61">
        <f>Table1[[#This Row],[Final_Unit_Price]]*Table1[[#This Row],[Quantity]]</f>
        <v>6983.39</v>
      </c>
      <c r="M217" s="59">
        <v>1047.51</v>
      </c>
      <c r="N217" s="42">
        <v>45292</v>
      </c>
      <c r="O217" s="20" t="str">
        <f>TEXT(Table1[[#This Row],[Order_Date]],"mmm")</f>
        <v>Jan</v>
      </c>
      <c r="P217" s="20">
        <f t="shared" si="6"/>
        <v>2024</v>
      </c>
      <c r="Q217" s="46">
        <v>45296</v>
      </c>
      <c r="R217" s="20">
        <f>'Cleaned Data'!$Q217-'Cleaned Data'!$N217</f>
        <v>4</v>
      </c>
      <c r="S217" s="19" t="str">
        <f t="shared" si="7"/>
        <v>Winter</v>
      </c>
    </row>
    <row r="218" spans="1:19" x14ac:dyDescent="0.3">
      <c r="A218" s="13" t="s">
        <v>395</v>
      </c>
      <c r="B218" s="13" t="s">
        <v>25</v>
      </c>
      <c r="C218" s="5" t="s">
        <v>34</v>
      </c>
      <c r="D218" s="5" t="s">
        <v>55</v>
      </c>
      <c r="E218" s="5" t="s">
        <v>58</v>
      </c>
      <c r="F218" s="5" t="s">
        <v>63</v>
      </c>
      <c r="G218" s="5" t="s">
        <v>68</v>
      </c>
      <c r="H218" s="38">
        <v>780.75</v>
      </c>
      <c r="I218" s="14">
        <v>0.15</v>
      </c>
      <c r="J218" s="38">
        <v>663.63749999999993</v>
      </c>
      <c r="K218" s="5">
        <v>1</v>
      </c>
      <c r="L218" s="62">
        <f>Table1[[#This Row],[Final_Unit_Price]]*Table1[[#This Row],[Quantity]]</f>
        <v>663.63749999999993</v>
      </c>
      <c r="M218" s="60">
        <v>165.91</v>
      </c>
      <c r="N218" s="43">
        <v>45511</v>
      </c>
      <c r="O218" s="18" t="str">
        <f>TEXT(Table1[[#This Row],[Order_Date]],"mmm")</f>
        <v>Aug</v>
      </c>
      <c r="P218" s="18">
        <f t="shared" si="6"/>
        <v>2024</v>
      </c>
      <c r="Q218" s="45">
        <v>45516</v>
      </c>
      <c r="R218" s="19">
        <f>'Cleaned Data'!$Q218-'Cleaned Data'!$N218</f>
        <v>5</v>
      </c>
      <c r="S218" s="19" t="str">
        <f t="shared" si="7"/>
        <v>Monsoon</v>
      </c>
    </row>
    <row r="219" spans="1:19" x14ac:dyDescent="0.3">
      <c r="A219" s="11" t="s">
        <v>396</v>
      </c>
      <c r="B219" s="11" t="s">
        <v>18</v>
      </c>
      <c r="C219" s="3" t="s">
        <v>33</v>
      </c>
      <c r="D219" s="3" t="s">
        <v>57</v>
      </c>
      <c r="E219" s="3" t="s">
        <v>60</v>
      </c>
      <c r="F219" s="3" t="s">
        <v>64</v>
      </c>
      <c r="G219" s="3" t="s">
        <v>72</v>
      </c>
      <c r="H219" s="37">
        <v>45382.42</v>
      </c>
      <c r="I219" s="12">
        <v>0</v>
      </c>
      <c r="J219" s="37">
        <v>45382.42</v>
      </c>
      <c r="K219" s="3">
        <v>2</v>
      </c>
      <c r="L219" s="61">
        <f>Table1[[#This Row],[Final_Unit_Price]]*Table1[[#This Row],[Quantity]]</f>
        <v>90764.84</v>
      </c>
      <c r="M219" s="59">
        <v>13614.73</v>
      </c>
      <c r="N219" s="42">
        <v>45785</v>
      </c>
      <c r="O219" s="20" t="str">
        <f>TEXT(Table1[[#This Row],[Order_Date]],"mmm")</f>
        <v>May</v>
      </c>
      <c r="P219" s="20">
        <f t="shared" si="6"/>
        <v>2025</v>
      </c>
      <c r="Q219" s="46">
        <v>45787</v>
      </c>
      <c r="R219" s="20">
        <f>'Cleaned Data'!$Q219-'Cleaned Data'!$N219</f>
        <v>2</v>
      </c>
      <c r="S219" s="19" t="str">
        <f t="shared" si="7"/>
        <v>Summer</v>
      </c>
    </row>
    <row r="220" spans="1:19" x14ac:dyDescent="0.3">
      <c r="A220" s="13" t="s">
        <v>397</v>
      </c>
      <c r="B220" s="13" t="s">
        <v>29</v>
      </c>
      <c r="C220" s="5" t="s">
        <v>35</v>
      </c>
      <c r="D220" s="5" t="s">
        <v>48</v>
      </c>
      <c r="E220" s="5" t="s">
        <v>58</v>
      </c>
      <c r="F220" s="5" t="s">
        <v>62</v>
      </c>
      <c r="G220" s="5" t="s">
        <v>66</v>
      </c>
      <c r="H220" s="38">
        <v>18033.689999999999</v>
      </c>
      <c r="I220" s="14">
        <v>0.15</v>
      </c>
      <c r="J220" s="38">
        <v>15328.636500000001</v>
      </c>
      <c r="K220" s="5">
        <v>4</v>
      </c>
      <c r="L220" s="62">
        <f>Table1[[#This Row],[Final_Unit_Price]]*Table1[[#This Row],[Quantity]]</f>
        <v>61314.546000000002</v>
      </c>
      <c r="M220" s="60">
        <v>15328.64</v>
      </c>
      <c r="N220" s="43">
        <v>45422</v>
      </c>
      <c r="O220" s="18" t="str">
        <f>TEXT(Table1[[#This Row],[Order_Date]],"mmm")</f>
        <v>May</v>
      </c>
      <c r="P220" s="18">
        <f t="shared" si="6"/>
        <v>2024</v>
      </c>
      <c r="Q220" s="45">
        <v>45425</v>
      </c>
      <c r="R220" s="19">
        <f>'Cleaned Data'!$Q220-'Cleaned Data'!$N220</f>
        <v>3</v>
      </c>
      <c r="S220" s="19" t="str">
        <f t="shared" si="7"/>
        <v>Summer</v>
      </c>
    </row>
    <row r="221" spans="1:19" x14ac:dyDescent="0.3">
      <c r="A221" s="11" t="s">
        <v>398</v>
      </c>
      <c r="B221" s="11" t="s">
        <v>30</v>
      </c>
      <c r="C221" s="3" t="s">
        <v>33</v>
      </c>
      <c r="D221" s="3" t="s">
        <v>56</v>
      </c>
      <c r="E221" s="3" t="s">
        <v>60</v>
      </c>
      <c r="F221" s="3" t="s">
        <v>63</v>
      </c>
      <c r="G221" s="3" t="s">
        <v>75</v>
      </c>
      <c r="H221" s="37">
        <v>11562.25</v>
      </c>
      <c r="I221" s="12">
        <v>0.05</v>
      </c>
      <c r="J221" s="37">
        <v>10984.137500000001</v>
      </c>
      <c r="K221" s="3">
        <v>2</v>
      </c>
      <c r="L221" s="61">
        <f>Table1[[#This Row],[Final_Unit_Price]]*Table1[[#This Row],[Quantity]]</f>
        <v>21968.275000000001</v>
      </c>
      <c r="M221" s="59">
        <v>3295.24</v>
      </c>
      <c r="N221" s="42">
        <v>45672</v>
      </c>
      <c r="O221" s="20" t="str">
        <f>TEXT(Table1[[#This Row],[Order_Date]],"mmm")</f>
        <v>Jan</v>
      </c>
      <c r="P221" s="20">
        <f t="shared" si="6"/>
        <v>2025</v>
      </c>
      <c r="Q221" s="46">
        <v>45677</v>
      </c>
      <c r="R221" s="20">
        <f>'Cleaned Data'!$Q221-'Cleaned Data'!$N221</f>
        <v>5</v>
      </c>
      <c r="S221" s="19" t="str">
        <f t="shared" si="7"/>
        <v>Winter</v>
      </c>
    </row>
    <row r="222" spans="1:19" x14ac:dyDescent="0.3">
      <c r="A222" s="13" t="s">
        <v>399</v>
      </c>
      <c r="B222" s="13" t="s">
        <v>27</v>
      </c>
      <c r="C222" s="5" t="s">
        <v>35</v>
      </c>
      <c r="D222" s="5" t="s">
        <v>46</v>
      </c>
      <c r="E222" s="5" t="s">
        <v>59</v>
      </c>
      <c r="F222" s="5" t="s">
        <v>61</v>
      </c>
      <c r="G222" s="5" t="s">
        <v>70</v>
      </c>
      <c r="H222" s="38">
        <v>9233.68</v>
      </c>
      <c r="I222" s="14">
        <v>0.25</v>
      </c>
      <c r="J222" s="38">
        <v>6925.26</v>
      </c>
      <c r="K222" s="5">
        <v>5</v>
      </c>
      <c r="L222" s="62">
        <f>Table1[[#This Row],[Final_Unit_Price]]*Table1[[#This Row],[Quantity]]</f>
        <v>34626.300000000003</v>
      </c>
      <c r="M222" s="60">
        <v>12119.2</v>
      </c>
      <c r="N222" s="43">
        <v>45687</v>
      </c>
      <c r="O222" s="18" t="str">
        <f>TEXT(Table1[[#This Row],[Order_Date]],"mmm")</f>
        <v>Jan</v>
      </c>
      <c r="P222" s="18">
        <f t="shared" si="6"/>
        <v>2025</v>
      </c>
      <c r="Q222" s="45">
        <v>45693</v>
      </c>
      <c r="R222" s="19">
        <f>'Cleaned Data'!$Q222-'Cleaned Data'!$N222</f>
        <v>6</v>
      </c>
      <c r="S222" s="19" t="str">
        <f t="shared" si="7"/>
        <v>Winter</v>
      </c>
    </row>
    <row r="223" spans="1:19" x14ac:dyDescent="0.3">
      <c r="A223" s="11" t="s">
        <v>400</v>
      </c>
      <c r="B223" s="11" t="s">
        <v>20</v>
      </c>
      <c r="C223" s="3" t="s">
        <v>32</v>
      </c>
      <c r="D223" s="3" t="s">
        <v>43</v>
      </c>
      <c r="E223" s="3" t="s">
        <v>58</v>
      </c>
      <c r="F223" s="3" t="s">
        <v>61</v>
      </c>
      <c r="G223" s="3" t="s">
        <v>71</v>
      </c>
      <c r="H223" s="37">
        <v>28212.49</v>
      </c>
      <c r="I223" s="12">
        <v>0.25</v>
      </c>
      <c r="J223" s="37">
        <v>21159.3675</v>
      </c>
      <c r="K223" s="3">
        <v>1</v>
      </c>
      <c r="L223" s="61">
        <f>Table1[[#This Row],[Final_Unit_Price]]*Table1[[#This Row],[Quantity]]</f>
        <v>21159.3675</v>
      </c>
      <c r="M223" s="59">
        <v>5289.84</v>
      </c>
      <c r="N223" s="42">
        <v>45321</v>
      </c>
      <c r="O223" s="20" t="str">
        <f>TEXT(Table1[[#This Row],[Order_Date]],"mmm")</f>
        <v>Jan</v>
      </c>
      <c r="P223" s="20">
        <f t="shared" si="6"/>
        <v>2024</v>
      </c>
      <c r="Q223" s="46">
        <v>45329</v>
      </c>
      <c r="R223" s="20">
        <f>'Cleaned Data'!$Q223-'Cleaned Data'!$N223</f>
        <v>8</v>
      </c>
      <c r="S223" s="19" t="str">
        <f t="shared" si="7"/>
        <v>Winter</v>
      </c>
    </row>
    <row r="224" spans="1:19" x14ac:dyDescent="0.3">
      <c r="A224" s="13" t="s">
        <v>401</v>
      </c>
      <c r="B224" s="13" t="s">
        <v>30</v>
      </c>
      <c r="C224" s="5" t="s">
        <v>33</v>
      </c>
      <c r="D224" s="5" t="s">
        <v>57</v>
      </c>
      <c r="E224" s="5" t="s">
        <v>60</v>
      </c>
      <c r="F224" s="5" t="s">
        <v>61</v>
      </c>
      <c r="G224" s="5" t="s">
        <v>70</v>
      </c>
      <c r="H224" s="38">
        <v>11901.2</v>
      </c>
      <c r="I224" s="14">
        <v>0</v>
      </c>
      <c r="J224" s="38">
        <v>11901.2</v>
      </c>
      <c r="K224" s="5">
        <v>4</v>
      </c>
      <c r="L224" s="62">
        <f>Table1[[#This Row],[Final_Unit_Price]]*Table1[[#This Row],[Quantity]]</f>
        <v>47604.800000000003</v>
      </c>
      <c r="M224" s="60">
        <v>7140.72</v>
      </c>
      <c r="N224" s="43">
        <v>45498</v>
      </c>
      <c r="O224" s="18" t="str">
        <f>TEXT(Table1[[#This Row],[Order_Date]],"mmm")</f>
        <v>Jul</v>
      </c>
      <c r="P224" s="18">
        <f t="shared" si="6"/>
        <v>2024</v>
      </c>
      <c r="Q224" s="45">
        <v>45508</v>
      </c>
      <c r="R224" s="19">
        <f>'Cleaned Data'!$Q224-'Cleaned Data'!$N224</f>
        <v>10</v>
      </c>
      <c r="S224" s="19" t="str">
        <f t="shared" si="7"/>
        <v>Monsoon</v>
      </c>
    </row>
    <row r="225" spans="1:19" x14ac:dyDescent="0.3">
      <c r="A225" s="11" t="s">
        <v>402</v>
      </c>
      <c r="B225" s="11" t="s">
        <v>17</v>
      </c>
      <c r="C225" s="3" t="s">
        <v>32</v>
      </c>
      <c r="D225" s="3" t="s">
        <v>43</v>
      </c>
      <c r="E225" s="3" t="s">
        <v>58</v>
      </c>
      <c r="F225" s="3" t="s">
        <v>61</v>
      </c>
      <c r="G225" s="3" t="s">
        <v>71</v>
      </c>
      <c r="H225" s="37">
        <v>7584.6</v>
      </c>
      <c r="I225" s="12">
        <v>0.1</v>
      </c>
      <c r="J225" s="37">
        <v>6826.14</v>
      </c>
      <c r="K225" s="3">
        <v>3</v>
      </c>
      <c r="L225" s="61">
        <f>Table1[[#This Row],[Final_Unit_Price]]*Table1[[#This Row],[Quantity]]</f>
        <v>20478.420000000002</v>
      </c>
      <c r="M225" s="59">
        <v>5119.6000000000004</v>
      </c>
      <c r="N225" s="42">
        <v>45670</v>
      </c>
      <c r="O225" s="20" t="str">
        <f>TEXT(Table1[[#This Row],[Order_Date]],"mmm")</f>
        <v>Jan</v>
      </c>
      <c r="P225" s="20">
        <f t="shared" si="6"/>
        <v>2025</v>
      </c>
      <c r="Q225" s="46">
        <v>45673</v>
      </c>
      <c r="R225" s="20">
        <f>'Cleaned Data'!$Q225-'Cleaned Data'!$N225</f>
        <v>3</v>
      </c>
      <c r="S225" s="19" t="str">
        <f t="shared" si="7"/>
        <v>Winter</v>
      </c>
    </row>
    <row r="226" spans="1:19" x14ac:dyDescent="0.3">
      <c r="A226" s="13" t="s">
        <v>403</v>
      </c>
      <c r="B226" s="13" t="s">
        <v>17</v>
      </c>
      <c r="C226" s="5" t="s">
        <v>32</v>
      </c>
      <c r="D226" s="5" t="s">
        <v>54</v>
      </c>
      <c r="E226" s="5" t="s">
        <v>60</v>
      </c>
      <c r="F226" s="5" t="s">
        <v>61</v>
      </c>
      <c r="G226" s="5" t="s">
        <v>65</v>
      </c>
      <c r="H226" s="38">
        <v>6486.16</v>
      </c>
      <c r="I226" s="14">
        <v>0.15</v>
      </c>
      <c r="J226" s="38">
        <v>5513.2359999999999</v>
      </c>
      <c r="K226" s="5">
        <v>2</v>
      </c>
      <c r="L226" s="62">
        <f>Table1[[#This Row],[Final_Unit_Price]]*Table1[[#This Row],[Quantity]]</f>
        <v>11026.472</v>
      </c>
      <c r="M226" s="60">
        <v>1653.97</v>
      </c>
      <c r="N226" s="43">
        <v>45657</v>
      </c>
      <c r="O226" s="18" t="str">
        <f>TEXT(Table1[[#This Row],[Order_Date]],"mmm")</f>
        <v>Dec</v>
      </c>
      <c r="P226" s="18">
        <f t="shared" si="6"/>
        <v>2024</v>
      </c>
      <c r="Q226" s="45">
        <v>45664</v>
      </c>
      <c r="R226" s="19">
        <f>'Cleaned Data'!$Q226-'Cleaned Data'!$N226</f>
        <v>7</v>
      </c>
      <c r="S226" s="19" t="str">
        <f t="shared" si="7"/>
        <v>Winter</v>
      </c>
    </row>
    <row r="227" spans="1:19" x14ac:dyDescent="0.3">
      <c r="A227" s="11" t="s">
        <v>404</v>
      </c>
      <c r="B227" s="11" t="s">
        <v>21</v>
      </c>
      <c r="C227" s="3" t="s">
        <v>34</v>
      </c>
      <c r="D227" s="3" t="s">
        <v>49</v>
      </c>
      <c r="E227" s="3" t="s">
        <v>59</v>
      </c>
      <c r="F227" s="3" t="s">
        <v>61</v>
      </c>
      <c r="G227" s="3" t="s">
        <v>65</v>
      </c>
      <c r="H227" s="37">
        <v>3606.25</v>
      </c>
      <c r="I227" s="12">
        <v>0.1</v>
      </c>
      <c r="J227" s="37">
        <v>3245.625</v>
      </c>
      <c r="K227" s="3">
        <v>1</v>
      </c>
      <c r="L227" s="61">
        <f>Table1[[#This Row],[Final_Unit_Price]]*Table1[[#This Row],[Quantity]]</f>
        <v>3245.625</v>
      </c>
      <c r="M227" s="59">
        <v>1135.97</v>
      </c>
      <c r="N227" s="42">
        <v>45840</v>
      </c>
      <c r="O227" s="20" t="str">
        <f>TEXT(Table1[[#This Row],[Order_Date]],"mmm")</f>
        <v>Jul</v>
      </c>
      <c r="P227" s="20">
        <f t="shared" si="6"/>
        <v>2025</v>
      </c>
      <c r="Q227" s="46">
        <v>45849</v>
      </c>
      <c r="R227" s="20">
        <f>'Cleaned Data'!$Q227-'Cleaned Data'!$N227</f>
        <v>9</v>
      </c>
      <c r="S227" s="19" t="str">
        <f t="shared" si="7"/>
        <v>Monsoon</v>
      </c>
    </row>
    <row r="228" spans="1:19" x14ac:dyDescent="0.3">
      <c r="A228" s="13" t="s">
        <v>405</v>
      </c>
      <c r="B228" s="13" t="s">
        <v>25</v>
      </c>
      <c r="C228" s="5" t="s">
        <v>34</v>
      </c>
      <c r="D228" s="5" t="s">
        <v>45</v>
      </c>
      <c r="E228" s="5" t="s">
        <v>59</v>
      </c>
      <c r="F228" s="5" t="s">
        <v>63</v>
      </c>
      <c r="G228" s="5" t="s">
        <v>73</v>
      </c>
      <c r="H228" s="38">
        <v>871.81</v>
      </c>
      <c r="I228" s="14">
        <v>0.25</v>
      </c>
      <c r="J228" s="38">
        <v>653.85749999999996</v>
      </c>
      <c r="K228" s="5">
        <v>4</v>
      </c>
      <c r="L228" s="62">
        <f>Table1[[#This Row],[Final_Unit_Price]]*Table1[[#This Row],[Quantity]]</f>
        <v>2615.4299999999998</v>
      </c>
      <c r="M228" s="60">
        <v>915.4</v>
      </c>
      <c r="N228" s="43">
        <v>45499</v>
      </c>
      <c r="O228" s="18" t="str">
        <f>TEXT(Table1[[#This Row],[Order_Date]],"mmm")</f>
        <v>Jul</v>
      </c>
      <c r="P228" s="18">
        <f t="shared" si="6"/>
        <v>2024</v>
      </c>
      <c r="Q228" s="45">
        <v>45506</v>
      </c>
      <c r="R228" s="19">
        <f>'Cleaned Data'!$Q228-'Cleaned Data'!$N228</f>
        <v>7</v>
      </c>
      <c r="S228" s="19" t="str">
        <f t="shared" si="7"/>
        <v>Monsoon</v>
      </c>
    </row>
    <row r="229" spans="1:19" x14ac:dyDescent="0.3">
      <c r="A229" s="11" t="s">
        <v>406</v>
      </c>
      <c r="B229" s="11" t="s">
        <v>27</v>
      </c>
      <c r="C229" s="3" t="s">
        <v>35</v>
      </c>
      <c r="D229" s="3" t="s">
        <v>46</v>
      </c>
      <c r="E229" s="3" t="s">
        <v>59</v>
      </c>
      <c r="F229" s="3" t="s">
        <v>62</v>
      </c>
      <c r="G229" s="3" t="s">
        <v>67</v>
      </c>
      <c r="H229" s="37">
        <v>10229.36</v>
      </c>
      <c r="I229" s="12">
        <v>0.3</v>
      </c>
      <c r="J229" s="37">
        <v>7160.5519999999997</v>
      </c>
      <c r="K229" s="3">
        <v>1</v>
      </c>
      <c r="L229" s="61">
        <f>Table1[[#This Row],[Final_Unit_Price]]*Table1[[#This Row],[Quantity]]</f>
        <v>7160.5519999999997</v>
      </c>
      <c r="M229" s="59">
        <v>2506.19</v>
      </c>
      <c r="N229" s="42">
        <v>45838</v>
      </c>
      <c r="O229" s="20" t="str">
        <f>TEXT(Table1[[#This Row],[Order_Date]],"mmm")</f>
        <v>Jun</v>
      </c>
      <c r="P229" s="20">
        <f t="shared" si="6"/>
        <v>2025</v>
      </c>
      <c r="Q229" s="46">
        <v>45846</v>
      </c>
      <c r="R229" s="20">
        <f>'Cleaned Data'!$Q229-'Cleaned Data'!$N229</f>
        <v>8</v>
      </c>
      <c r="S229" s="19" t="str">
        <f t="shared" si="7"/>
        <v>Monsoon</v>
      </c>
    </row>
    <row r="230" spans="1:19" x14ac:dyDescent="0.3">
      <c r="A230" s="13" t="s">
        <v>407</v>
      </c>
      <c r="B230" s="13" t="s">
        <v>25</v>
      </c>
      <c r="C230" s="5" t="s">
        <v>34</v>
      </c>
      <c r="D230" s="5" t="s">
        <v>41</v>
      </c>
      <c r="E230" s="5" t="s">
        <v>60</v>
      </c>
      <c r="F230" s="5" t="s">
        <v>61</v>
      </c>
      <c r="G230" s="5" t="s">
        <v>71</v>
      </c>
      <c r="H230" s="38">
        <v>687.26</v>
      </c>
      <c r="I230" s="14">
        <v>0.25</v>
      </c>
      <c r="J230" s="38">
        <v>515.44499999999994</v>
      </c>
      <c r="K230" s="5">
        <v>10</v>
      </c>
      <c r="L230" s="62">
        <f>Table1[[#This Row],[Final_Unit_Price]]*Table1[[#This Row],[Quantity]]</f>
        <v>5154.4499999999989</v>
      </c>
      <c r="M230" s="60">
        <v>386.58</v>
      </c>
      <c r="N230" s="43">
        <v>45628</v>
      </c>
      <c r="O230" s="18" t="str">
        <f>TEXT(Table1[[#This Row],[Order_Date]],"mmm")</f>
        <v>Dec</v>
      </c>
      <c r="P230" s="18">
        <f t="shared" si="6"/>
        <v>2024</v>
      </c>
      <c r="Q230" s="45">
        <v>45637</v>
      </c>
      <c r="R230" s="19">
        <f>'Cleaned Data'!$Q230-'Cleaned Data'!$N230</f>
        <v>9</v>
      </c>
      <c r="S230" s="19" t="str">
        <f t="shared" si="7"/>
        <v>Winter</v>
      </c>
    </row>
    <row r="231" spans="1:19" x14ac:dyDescent="0.3">
      <c r="A231" s="11" t="s">
        <v>408</v>
      </c>
      <c r="B231" s="11" t="s">
        <v>30</v>
      </c>
      <c r="C231" s="3" t="s">
        <v>33</v>
      </c>
      <c r="D231" s="3" t="s">
        <v>53</v>
      </c>
      <c r="E231" s="3" t="s">
        <v>58</v>
      </c>
      <c r="F231" s="3" t="s">
        <v>63</v>
      </c>
      <c r="G231" s="3" t="s">
        <v>75</v>
      </c>
      <c r="H231" s="37">
        <v>14580.6</v>
      </c>
      <c r="I231" s="12">
        <v>0.25</v>
      </c>
      <c r="J231" s="37">
        <v>10935.45</v>
      </c>
      <c r="K231" s="3">
        <v>3</v>
      </c>
      <c r="L231" s="61">
        <f>Table1[[#This Row],[Final_Unit_Price]]*Table1[[#This Row],[Quantity]]</f>
        <v>32806.350000000006</v>
      </c>
      <c r="M231" s="59">
        <v>8201.59</v>
      </c>
      <c r="N231" s="42">
        <v>45430</v>
      </c>
      <c r="O231" s="20" t="str">
        <f>TEXT(Table1[[#This Row],[Order_Date]],"mmm")</f>
        <v>May</v>
      </c>
      <c r="P231" s="20">
        <f t="shared" si="6"/>
        <v>2024</v>
      </c>
      <c r="Q231" s="46">
        <v>45432</v>
      </c>
      <c r="R231" s="20">
        <f>'Cleaned Data'!$Q231-'Cleaned Data'!$N231</f>
        <v>2</v>
      </c>
      <c r="S231" s="19" t="str">
        <f t="shared" si="7"/>
        <v>Summer</v>
      </c>
    </row>
    <row r="232" spans="1:19" x14ac:dyDescent="0.3">
      <c r="A232" s="13" t="s">
        <v>409</v>
      </c>
      <c r="B232" s="13" t="s">
        <v>18</v>
      </c>
      <c r="C232" s="5" t="s">
        <v>33</v>
      </c>
      <c r="D232" s="5" t="s">
        <v>38</v>
      </c>
      <c r="E232" s="5" t="s">
        <v>59</v>
      </c>
      <c r="F232" s="5" t="s">
        <v>63</v>
      </c>
      <c r="G232" s="5" t="s">
        <v>75</v>
      </c>
      <c r="H232" s="38">
        <v>57896.11</v>
      </c>
      <c r="I232" s="14">
        <v>0.05</v>
      </c>
      <c r="J232" s="38">
        <v>55001.304499999998</v>
      </c>
      <c r="K232" s="5">
        <v>5</v>
      </c>
      <c r="L232" s="62">
        <f>Table1[[#This Row],[Final_Unit_Price]]*Table1[[#This Row],[Quantity]]</f>
        <v>275006.52249999996</v>
      </c>
      <c r="M232" s="60">
        <v>96252.28</v>
      </c>
      <c r="N232" s="43">
        <v>45327</v>
      </c>
      <c r="O232" s="18" t="str">
        <f>TEXT(Table1[[#This Row],[Order_Date]],"mmm")</f>
        <v>Feb</v>
      </c>
      <c r="P232" s="18">
        <f t="shared" si="6"/>
        <v>2024</v>
      </c>
      <c r="Q232" s="45">
        <v>45329</v>
      </c>
      <c r="R232" s="19">
        <f>'Cleaned Data'!$Q232-'Cleaned Data'!$N232</f>
        <v>2</v>
      </c>
      <c r="S232" s="19" t="str">
        <f t="shared" si="7"/>
        <v>Summer</v>
      </c>
    </row>
    <row r="233" spans="1:19" x14ac:dyDescent="0.3">
      <c r="A233" s="11" t="s">
        <v>410</v>
      </c>
      <c r="B233" s="11" t="s">
        <v>30</v>
      </c>
      <c r="C233" s="3" t="s">
        <v>33</v>
      </c>
      <c r="D233" s="3" t="s">
        <v>39</v>
      </c>
      <c r="E233" s="3" t="s">
        <v>58</v>
      </c>
      <c r="F233" s="3" t="s">
        <v>61</v>
      </c>
      <c r="G233" s="3" t="s">
        <v>65</v>
      </c>
      <c r="H233" s="37">
        <v>14482.37</v>
      </c>
      <c r="I233" s="12">
        <v>0.1</v>
      </c>
      <c r="J233" s="37">
        <v>13034.133</v>
      </c>
      <c r="K233" s="3">
        <v>3</v>
      </c>
      <c r="L233" s="61">
        <f>Table1[[#This Row],[Final_Unit_Price]]*Table1[[#This Row],[Quantity]]</f>
        <v>39102.398999999998</v>
      </c>
      <c r="M233" s="59">
        <v>9775.6</v>
      </c>
      <c r="N233" s="42">
        <v>45516</v>
      </c>
      <c r="O233" s="20" t="str">
        <f>TEXT(Table1[[#This Row],[Order_Date]],"mmm")</f>
        <v>Aug</v>
      </c>
      <c r="P233" s="20">
        <f t="shared" si="6"/>
        <v>2024</v>
      </c>
      <c r="Q233" s="46">
        <v>45523</v>
      </c>
      <c r="R233" s="20">
        <f>'Cleaned Data'!$Q233-'Cleaned Data'!$N233</f>
        <v>7</v>
      </c>
      <c r="S233" s="19" t="str">
        <f t="shared" si="7"/>
        <v>Monsoon</v>
      </c>
    </row>
    <row r="234" spans="1:19" x14ac:dyDescent="0.3">
      <c r="A234" s="13" t="s">
        <v>411</v>
      </c>
      <c r="B234" s="13" t="s">
        <v>24</v>
      </c>
      <c r="C234" s="5" t="s">
        <v>32</v>
      </c>
      <c r="D234" s="5" t="s">
        <v>43</v>
      </c>
      <c r="E234" s="5" t="s">
        <v>58</v>
      </c>
      <c r="F234" s="5" t="s">
        <v>64</v>
      </c>
      <c r="G234" s="5" t="s">
        <v>72</v>
      </c>
      <c r="H234" s="38">
        <v>27073.119999999999</v>
      </c>
      <c r="I234" s="14">
        <v>0.25</v>
      </c>
      <c r="J234" s="38">
        <v>20304.84</v>
      </c>
      <c r="K234" s="5">
        <v>5</v>
      </c>
      <c r="L234" s="62">
        <f>Table1[[#This Row],[Final_Unit_Price]]*Table1[[#This Row],[Quantity]]</f>
        <v>101524.2</v>
      </c>
      <c r="M234" s="60">
        <v>25381.05</v>
      </c>
      <c r="N234" s="43">
        <v>45393</v>
      </c>
      <c r="O234" s="18" t="str">
        <f>TEXT(Table1[[#This Row],[Order_Date]],"mmm")</f>
        <v>Apr</v>
      </c>
      <c r="P234" s="18">
        <f t="shared" si="6"/>
        <v>2024</v>
      </c>
      <c r="Q234" s="45">
        <v>45397</v>
      </c>
      <c r="R234" s="19">
        <f>'Cleaned Data'!$Q234-'Cleaned Data'!$N234</f>
        <v>4</v>
      </c>
      <c r="S234" s="19" t="str">
        <f t="shared" si="7"/>
        <v>Summer</v>
      </c>
    </row>
    <row r="235" spans="1:19" x14ac:dyDescent="0.3">
      <c r="A235" s="11" t="s">
        <v>412</v>
      </c>
      <c r="B235" s="11" t="s">
        <v>17</v>
      </c>
      <c r="C235" s="3" t="s">
        <v>32</v>
      </c>
      <c r="D235" s="3" t="s">
        <v>37</v>
      </c>
      <c r="E235" s="3" t="s">
        <v>59</v>
      </c>
      <c r="F235" s="3" t="s">
        <v>61</v>
      </c>
      <c r="G235" s="3" t="s">
        <v>65</v>
      </c>
      <c r="H235" s="37">
        <v>9519.26</v>
      </c>
      <c r="I235" s="12">
        <v>0.1</v>
      </c>
      <c r="J235" s="37">
        <v>8567.3340000000007</v>
      </c>
      <c r="K235" s="3">
        <v>5</v>
      </c>
      <c r="L235" s="61">
        <f>Table1[[#This Row],[Final_Unit_Price]]*Table1[[#This Row],[Quantity]]</f>
        <v>42836.670000000006</v>
      </c>
      <c r="M235" s="59">
        <v>14992.83</v>
      </c>
      <c r="N235" s="42">
        <v>45419</v>
      </c>
      <c r="O235" s="20" t="str">
        <f>TEXT(Table1[[#This Row],[Order_Date]],"mmm")</f>
        <v>May</v>
      </c>
      <c r="P235" s="20">
        <f t="shared" si="6"/>
        <v>2024</v>
      </c>
      <c r="Q235" s="46">
        <v>45428</v>
      </c>
      <c r="R235" s="20">
        <f>'Cleaned Data'!$Q235-'Cleaned Data'!$N235</f>
        <v>9</v>
      </c>
      <c r="S235" s="19" t="str">
        <f t="shared" si="7"/>
        <v>Summer</v>
      </c>
    </row>
    <row r="236" spans="1:19" x14ac:dyDescent="0.3">
      <c r="A236" s="13" t="s">
        <v>413</v>
      </c>
      <c r="B236" s="13" t="s">
        <v>30</v>
      </c>
      <c r="C236" s="5" t="s">
        <v>33</v>
      </c>
      <c r="D236" s="5" t="s">
        <v>56</v>
      </c>
      <c r="E236" s="5" t="s">
        <v>60</v>
      </c>
      <c r="F236" s="5" t="s">
        <v>62</v>
      </c>
      <c r="G236" s="5" t="s">
        <v>66</v>
      </c>
      <c r="H236" s="38">
        <v>13160.35</v>
      </c>
      <c r="I236" s="14">
        <v>0.05</v>
      </c>
      <c r="J236" s="38">
        <v>12502.3325</v>
      </c>
      <c r="K236" s="5">
        <v>1</v>
      </c>
      <c r="L236" s="62">
        <f>Table1[[#This Row],[Final_Unit_Price]]*Table1[[#This Row],[Quantity]]</f>
        <v>12502.3325</v>
      </c>
      <c r="M236" s="60">
        <v>1875.35</v>
      </c>
      <c r="N236" s="43">
        <v>45582</v>
      </c>
      <c r="O236" s="18" t="str">
        <f>TEXT(Table1[[#This Row],[Order_Date]],"mmm")</f>
        <v>Oct</v>
      </c>
      <c r="P236" s="18">
        <f t="shared" si="6"/>
        <v>2024</v>
      </c>
      <c r="Q236" s="45">
        <v>45586</v>
      </c>
      <c r="R236" s="19">
        <f>'Cleaned Data'!$Q236-'Cleaned Data'!$N236</f>
        <v>4</v>
      </c>
      <c r="S236" s="19" t="str">
        <f t="shared" si="7"/>
        <v>Winter</v>
      </c>
    </row>
    <row r="237" spans="1:19" x14ac:dyDescent="0.3">
      <c r="A237" s="11" t="s">
        <v>414</v>
      </c>
      <c r="B237" s="11" t="s">
        <v>25</v>
      </c>
      <c r="C237" s="3" t="s">
        <v>34</v>
      </c>
      <c r="D237" s="3" t="s">
        <v>41</v>
      </c>
      <c r="E237" s="3" t="s">
        <v>60</v>
      </c>
      <c r="F237" s="3" t="s">
        <v>61</v>
      </c>
      <c r="G237" s="3" t="s">
        <v>70</v>
      </c>
      <c r="H237" s="37">
        <v>675.96</v>
      </c>
      <c r="I237" s="12">
        <v>0.25</v>
      </c>
      <c r="J237" s="37">
        <v>506.97</v>
      </c>
      <c r="K237" s="3">
        <v>4</v>
      </c>
      <c r="L237" s="61">
        <f>Table1[[#This Row],[Final_Unit_Price]]*Table1[[#This Row],[Quantity]]</f>
        <v>2027.88</v>
      </c>
      <c r="M237" s="59">
        <v>304.18</v>
      </c>
      <c r="N237" s="42">
        <v>45493</v>
      </c>
      <c r="O237" s="20" t="str">
        <f>TEXT(Table1[[#This Row],[Order_Date]],"mmm")</f>
        <v>Jul</v>
      </c>
      <c r="P237" s="20">
        <f t="shared" si="6"/>
        <v>2024</v>
      </c>
      <c r="Q237" s="46">
        <v>45500</v>
      </c>
      <c r="R237" s="20">
        <f>'Cleaned Data'!$Q237-'Cleaned Data'!$N237</f>
        <v>7</v>
      </c>
      <c r="S237" s="19" t="str">
        <f t="shared" si="7"/>
        <v>Monsoon</v>
      </c>
    </row>
    <row r="238" spans="1:19" x14ac:dyDescent="0.3">
      <c r="A238" s="13" t="s">
        <v>415</v>
      </c>
      <c r="B238" s="13" t="s">
        <v>19</v>
      </c>
      <c r="C238" s="5" t="s">
        <v>33</v>
      </c>
      <c r="D238" s="5" t="s">
        <v>57</v>
      </c>
      <c r="E238" s="5" t="s">
        <v>60</v>
      </c>
      <c r="F238" s="5" t="s">
        <v>63</v>
      </c>
      <c r="G238" s="5" t="s">
        <v>68</v>
      </c>
      <c r="H238" s="38">
        <v>1692.64</v>
      </c>
      <c r="I238" s="14">
        <v>0.15</v>
      </c>
      <c r="J238" s="38">
        <v>1438.7439999999999</v>
      </c>
      <c r="K238" s="5">
        <v>4</v>
      </c>
      <c r="L238" s="62">
        <f>Table1[[#This Row],[Final_Unit_Price]]*Table1[[#This Row],[Quantity]]</f>
        <v>5754.9759999999997</v>
      </c>
      <c r="M238" s="60">
        <v>863.25</v>
      </c>
      <c r="N238" s="43">
        <v>45542</v>
      </c>
      <c r="O238" s="18" t="str">
        <f>TEXT(Table1[[#This Row],[Order_Date]],"mmm")</f>
        <v>Sep</v>
      </c>
      <c r="P238" s="18">
        <f t="shared" si="6"/>
        <v>2024</v>
      </c>
      <c r="Q238" s="45">
        <v>45544</v>
      </c>
      <c r="R238" s="19">
        <f>'Cleaned Data'!$Q238-'Cleaned Data'!$N238</f>
        <v>2</v>
      </c>
      <c r="S238" s="19" t="str">
        <f t="shared" si="7"/>
        <v>Monsoon</v>
      </c>
    </row>
    <row r="239" spans="1:19" x14ac:dyDescent="0.3">
      <c r="A239" s="11" t="s">
        <v>416</v>
      </c>
      <c r="B239" s="11" t="s">
        <v>24</v>
      </c>
      <c r="C239" s="3" t="s">
        <v>32</v>
      </c>
      <c r="D239" s="3" t="s">
        <v>37</v>
      </c>
      <c r="E239" s="3" t="s">
        <v>59</v>
      </c>
      <c r="F239" s="3" t="s">
        <v>62</v>
      </c>
      <c r="G239" s="3" t="s">
        <v>67</v>
      </c>
      <c r="H239" s="37">
        <v>30851.59</v>
      </c>
      <c r="I239" s="12">
        <v>0.05</v>
      </c>
      <c r="J239" s="37">
        <v>29309.0105</v>
      </c>
      <c r="K239" s="3">
        <v>2</v>
      </c>
      <c r="L239" s="61">
        <f>Table1[[#This Row],[Final_Unit_Price]]*Table1[[#This Row],[Quantity]]</f>
        <v>58618.021000000001</v>
      </c>
      <c r="M239" s="59">
        <v>20516.310000000001</v>
      </c>
      <c r="N239" s="42">
        <v>45820</v>
      </c>
      <c r="O239" s="20" t="str">
        <f>TEXT(Table1[[#This Row],[Order_Date]],"mmm")</f>
        <v>Jun</v>
      </c>
      <c r="P239" s="20">
        <f t="shared" si="6"/>
        <v>2025</v>
      </c>
      <c r="Q239" s="46">
        <v>45826</v>
      </c>
      <c r="R239" s="20">
        <f>'Cleaned Data'!$Q239-'Cleaned Data'!$N239</f>
        <v>6</v>
      </c>
      <c r="S239" s="19" t="str">
        <f t="shared" si="7"/>
        <v>Monsoon</v>
      </c>
    </row>
    <row r="240" spans="1:19" x14ac:dyDescent="0.3">
      <c r="A240" s="13" t="s">
        <v>417</v>
      </c>
      <c r="B240" s="13" t="s">
        <v>21</v>
      </c>
      <c r="C240" s="5" t="s">
        <v>34</v>
      </c>
      <c r="D240" s="5" t="s">
        <v>51</v>
      </c>
      <c r="E240" s="5" t="s">
        <v>59</v>
      </c>
      <c r="F240" s="5" t="s">
        <v>62</v>
      </c>
      <c r="G240" s="5" t="s">
        <v>66</v>
      </c>
      <c r="H240" s="38">
        <v>3704.83</v>
      </c>
      <c r="I240" s="14">
        <v>0.3</v>
      </c>
      <c r="J240" s="38">
        <v>2593.3809999999999</v>
      </c>
      <c r="K240" s="5">
        <v>2</v>
      </c>
      <c r="L240" s="62">
        <f>Table1[[#This Row],[Final_Unit_Price]]*Table1[[#This Row],[Quantity]]</f>
        <v>5186.7619999999997</v>
      </c>
      <c r="M240" s="60">
        <v>1815.37</v>
      </c>
      <c r="N240" s="43">
        <v>45564</v>
      </c>
      <c r="O240" s="18" t="str">
        <f>TEXT(Table1[[#This Row],[Order_Date]],"mmm")</f>
        <v>Sep</v>
      </c>
      <c r="P240" s="18">
        <f t="shared" si="6"/>
        <v>2024</v>
      </c>
      <c r="Q240" s="45">
        <v>45568</v>
      </c>
      <c r="R240" s="19">
        <f>'Cleaned Data'!$Q240-'Cleaned Data'!$N240</f>
        <v>4</v>
      </c>
      <c r="S240" s="19" t="str">
        <f t="shared" si="7"/>
        <v>Monsoon</v>
      </c>
    </row>
    <row r="241" spans="1:19" x14ac:dyDescent="0.3">
      <c r="A241" s="11" t="s">
        <v>418</v>
      </c>
      <c r="B241" s="11" t="s">
        <v>30</v>
      </c>
      <c r="C241" s="3" t="s">
        <v>33</v>
      </c>
      <c r="D241" s="3" t="s">
        <v>57</v>
      </c>
      <c r="E241" s="3" t="s">
        <v>60</v>
      </c>
      <c r="F241" s="3" t="s">
        <v>64</v>
      </c>
      <c r="G241" s="3" t="s">
        <v>74</v>
      </c>
      <c r="H241" s="37">
        <v>13128.03</v>
      </c>
      <c r="I241" s="12">
        <v>0.05</v>
      </c>
      <c r="J241" s="37">
        <v>12471.628500000001</v>
      </c>
      <c r="K241" s="3">
        <v>5</v>
      </c>
      <c r="L241" s="61">
        <f>Table1[[#This Row],[Final_Unit_Price]]*Table1[[#This Row],[Quantity]]</f>
        <v>62358.142500000002</v>
      </c>
      <c r="M241" s="59">
        <v>9353.7199999999993</v>
      </c>
      <c r="N241" s="42">
        <v>45816</v>
      </c>
      <c r="O241" s="20" t="str">
        <f>TEXT(Table1[[#This Row],[Order_Date]],"mmm")</f>
        <v>Jun</v>
      </c>
      <c r="P241" s="20">
        <f t="shared" si="6"/>
        <v>2025</v>
      </c>
      <c r="Q241" s="46">
        <v>45820</v>
      </c>
      <c r="R241" s="20">
        <f>'Cleaned Data'!$Q241-'Cleaned Data'!$N241</f>
        <v>4</v>
      </c>
      <c r="S241" s="19" t="str">
        <f t="shared" si="7"/>
        <v>Monsoon</v>
      </c>
    </row>
    <row r="242" spans="1:19" x14ac:dyDescent="0.3">
      <c r="A242" s="13" t="s">
        <v>419</v>
      </c>
      <c r="B242" s="13" t="s">
        <v>26</v>
      </c>
      <c r="C242" s="5" t="s">
        <v>32</v>
      </c>
      <c r="D242" s="5" t="s">
        <v>40</v>
      </c>
      <c r="E242" s="5" t="s">
        <v>59</v>
      </c>
      <c r="F242" s="5" t="s">
        <v>64</v>
      </c>
      <c r="G242" s="5" t="s">
        <v>74</v>
      </c>
      <c r="H242" s="38">
        <v>45397.88</v>
      </c>
      <c r="I242" s="14">
        <v>0.2</v>
      </c>
      <c r="J242" s="38">
        <v>36318.303999999996</v>
      </c>
      <c r="K242" s="5">
        <v>4</v>
      </c>
      <c r="L242" s="62">
        <f>Table1[[#This Row],[Final_Unit_Price]]*Table1[[#This Row],[Quantity]]</f>
        <v>145273.21599999999</v>
      </c>
      <c r="M242" s="60">
        <v>50845.63</v>
      </c>
      <c r="N242" s="43">
        <v>45300</v>
      </c>
      <c r="O242" s="18" t="str">
        <f>TEXT(Table1[[#This Row],[Order_Date]],"mmm")</f>
        <v>Jan</v>
      </c>
      <c r="P242" s="18">
        <f t="shared" si="6"/>
        <v>2024</v>
      </c>
      <c r="Q242" s="45">
        <v>45302</v>
      </c>
      <c r="R242" s="19">
        <f>'Cleaned Data'!$Q242-'Cleaned Data'!$N242</f>
        <v>2</v>
      </c>
      <c r="S242" s="19" t="str">
        <f t="shared" si="7"/>
        <v>Winter</v>
      </c>
    </row>
    <row r="243" spans="1:19" x14ac:dyDescent="0.3">
      <c r="A243" s="11" t="s">
        <v>420</v>
      </c>
      <c r="B243" s="11" t="s">
        <v>28</v>
      </c>
      <c r="C243" s="3" t="s">
        <v>34</v>
      </c>
      <c r="D243" s="3" t="s">
        <v>51</v>
      </c>
      <c r="E243" s="3" t="s">
        <v>59</v>
      </c>
      <c r="F243" s="3" t="s">
        <v>62</v>
      </c>
      <c r="G243" s="3" t="s">
        <v>66</v>
      </c>
      <c r="H243" s="37">
        <v>1958.66</v>
      </c>
      <c r="I243" s="12">
        <v>0.25</v>
      </c>
      <c r="J243" s="37">
        <v>1468.9949999999999</v>
      </c>
      <c r="K243" s="3">
        <v>1</v>
      </c>
      <c r="L243" s="61">
        <f>Table1[[#This Row],[Final_Unit_Price]]*Table1[[#This Row],[Quantity]]</f>
        <v>1468.9949999999999</v>
      </c>
      <c r="M243" s="59">
        <v>514.15</v>
      </c>
      <c r="N243" s="42">
        <v>45752</v>
      </c>
      <c r="O243" s="20" t="str">
        <f>TEXT(Table1[[#This Row],[Order_Date]],"mmm")</f>
        <v>Apr</v>
      </c>
      <c r="P243" s="20">
        <f t="shared" si="6"/>
        <v>2025</v>
      </c>
      <c r="Q243" s="46">
        <v>45754</v>
      </c>
      <c r="R243" s="20">
        <f>'Cleaned Data'!$Q243-'Cleaned Data'!$N243</f>
        <v>2</v>
      </c>
      <c r="S243" s="19" t="str">
        <f t="shared" si="7"/>
        <v>Summer</v>
      </c>
    </row>
    <row r="244" spans="1:19" x14ac:dyDescent="0.3">
      <c r="A244" s="13" t="s">
        <v>421</v>
      </c>
      <c r="B244" s="13" t="s">
        <v>24</v>
      </c>
      <c r="C244" s="5" t="s">
        <v>32</v>
      </c>
      <c r="D244" s="5" t="s">
        <v>54</v>
      </c>
      <c r="E244" s="5" t="s">
        <v>60</v>
      </c>
      <c r="F244" s="5" t="s">
        <v>62</v>
      </c>
      <c r="G244" s="5" t="s">
        <v>67</v>
      </c>
      <c r="H244" s="38">
        <v>22078.06</v>
      </c>
      <c r="I244" s="14">
        <v>0.3</v>
      </c>
      <c r="J244" s="38">
        <v>15454.642</v>
      </c>
      <c r="K244" s="5">
        <v>1</v>
      </c>
      <c r="L244" s="62">
        <f>Table1[[#This Row],[Final_Unit_Price]]*Table1[[#This Row],[Quantity]]</f>
        <v>15454.642</v>
      </c>
      <c r="M244" s="60">
        <v>2318.1999999999998</v>
      </c>
      <c r="N244" s="43">
        <v>45519</v>
      </c>
      <c r="O244" s="18" t="str">
        <f>TEXT(Table1[[#This Row],[Order_Date]],"mmm")</f>
        <v>Aug</v>
      </c>
      <c r="P244" s="18">
        <f t="shared" si="6"/>
        <v>2024</v>
      </c>
      <c r="Q244" s="45">
        <v>45524</v>
      </c>
      <c r="R244" s="19">
        <f>'Cleaned Data'!$Q244-'Cleaned Data'!$N244</f>
        <v>5</v>
      </c>
      <c r="S244" s="19" t="str">
        <f t="shared" si="7"/>
        <v>Monsoon</v>
      </c>
    </row>
    <row r="245" spans="1:19" x14ac:dyDescent="0.3">
      <c r="A245" s="11" t="s">
        <v>422</v>
      </c>
      <c r="B245" s="11" t="s">
        <v>20</v>
      </c>
      <c r="C245" s="3" t="s">
        <v>32</v>
      </c>
      <c r="D245" s="3" t="s">
        <v>40</v>
      </c>
      <c r="E245" s="3" t="s">
        <v>59</v>
      </c>
      <c r="F245" s="3" t="s">
        <v>61</v>
      </c>
      <c r="G245" s="3" t="s">
        <v>70</v>
      </c>
      <c r="H245" s="37">
        <v>34680.69</v>
      </c>
      <c r="I245" s="12">
        <v>0.05</v>
      </c>
      <c r="J245" s="37">
        <v>32946.655500000001</v>
      </c>
      <c r="K245" s="3">
        <v>2</v>
      </c>
      <c r="L245" s="61">
        <f>Table1[[#This Row],[Final_Unit_Price]]*Table1[[#This Row],[Quantity]]</f>
        <v>65893.311000000002</v>
      </c>
      <c r="M245" s="59">
        <v>23062.66</v>
      </c>
      <c r="N245" s="42">
        <v>45588</v>
      </c>
      <c r="O245" s="20" t="str">
        <f>TEXT(Table1[[#This Row],[Order_Date]],"mmm")</f>
        <v>Oct</v>
      </c>
      <c r="P245" s="20">
        <f t="shared" si="6"/>
        <v>2024</v>
      </c>
      <c r="Q245" s="46">
        <v>45593</v>
      </c>
      <c r="R245" s="20">
        <f>'Cleaned Data'!$Q245-'Cleaned Data'!$N245</f>
        <v>5</v>
      </c>
      <c r="S245" s="19" t="str">
        <f t="shared" si="7"/>
        <v>Winter</v>
      </c>
    </row>
    <row r="246" spans="1:19" x14ac:dyDescent="0.3">
      <c r="A246" s="13" t="s">
        <v>423</v>
      </c>
      <c r="B246" s="13" t="s">
        <v>20</v>
      </c>
      <c r="C246" s="5" t="s">
        <v>32</v>
      </c>
      <c r="D246" s="5" t="s">
        <v>43</v>
      </c>
      <c r="E246" s="5" t="s">
        <v>58</v>
      </c>
      <c r="F246" s="5" t="s">
        <v>61</v>
      </c>
      <c r="G246" s="5" t="s">
        <v>71</v>
      </c>
      <c r="H246" s="38">
        <v>29412.19</v>
      </c>
      <c r="I246" s="14">
        <v>0.15</v>
      </c>
      <c r="J246" s="38">
        <v>25000.361499999999</v>
      </c>
      <c r="K246" s="5">
        <v>3</v>
      </c>
      <c r="L246" s="62">
        <f>Table1[[#This Row],[Final_Unit_Price]]*Table1[[#This Row],[Quantity]]</f>
        <v>75001.084499999997</v>
      </c>
      <c r="M246" s="60">
        <v>18750.27</v>
      </c>
      <c r="N246" s="43">
        <v>45845</v>
      </c>
      <c r="O246" s="18" t="str">
        <f>TEXT(Table1[[#This Row],[Order_Date]],"mmm")</f>
        <v>Jul</v>
      </c>
      <c r="P246" s="18">
        <f t="shared" si="6"/>
        <v>2025</v>
      </c>
      <c r="Q246" s="45">
        <v>45855</v>
      </c>
      <c r="R246" s="19">
        <f>'Cleaned Data'!$Q246-'Cleaned Data'!$N246</f>
        <v>10</v>
      </c>
      <c r="S246" s="19" t="str">
        <f t="shared" si="7"/>
        <v>Monsoon</v>
      </c>
    </row>
    <row r="247" spans="1:19" x14ac:dyDescent="0.3">
      <c r="A247" s="11" t="s">
        <v>424</v>
      </c>
      <c r="B247" s="11" t="s">
        <v>26</v>
      </c>
      <c r="C247" s="3" t="s">
        <v>32</v>
      </c>
      <c r="D247" s="3" t="s">
        <v>37</v>
      </c>
      <c r="E247" s="3" t="s">
        <v>59</v>
      </c>
      <c r="F247" s="3" t="s">
        <v>62</v>
      </c>
      <c r="G247" s="3" t="s">
        <v>66</v>
      </c>
      <c r="H247" s="37">
        <v>44828.69</v>
      </c>
      <c r="I247" s="12">
        <v>0.25</v>
      </c>
      <c r="J247" s="37">
        <v>33621.517500000002</v>
      </c>
      <c r="K247" s="3">
        <v>1</v>
      </c>
      <c r="L247" s="61">
        <f>Table1[[#This Row],[Final_Unit_Price]]*Table1[[#This Row],[Quantity]]</f>
        <v>33621.517500000002</v>
      </c>
      <c r="M247" s="59">
        <v>11767.53</v>
      </c>
      <c r="N247" s="42">
        <v>45558</v>
      </c>
      <c r="O247" s="20" t="str">
        <f>TEXT(Table1[[#This Row],[Order_Date]],"mmm")</f>
        <v>Sep</v>
      </c>
      <c r="P247" s="20">
        <f t="shared" si="6"/>
        <v>2024</v>
      </c>
      <c r="Q247" s="46">
        <v>45567</v>
      </c>
      <c r="R247" s="20">
        <f>'Cleaned Data'!$Q247-'Cleaned Data'!$N247</f>
        <v>9</v>
      </c>
      <c r="S247" s="19" t="str">
        <f t="shared" si="7"/>
        <v>Monsoon</v>
      </c>
    </row>
    <row r="248" spans="1:19" x14ac:dyDescent="0.3">
      <c r="A248" s="13" t="s">
        <v>425</v>
      </c>
      <c r="B248" s="13" t="s">
        <v>28</v>
      </c>
      <c r="C248" s="5" t="s">
        <v>34</v>
      </c>
      <c r="D248" s="5" t="s">
        <v>52</v>
      </c>
      <c r="E248" s="5" t="s">
        <v>60</v>
      </c>
      <c r="F248" s="5" t="s">
        <v>62</v>
      </c>
      <c r="G248" s="5" t="s">
        <v>69</v>
      </c>
      <c r="H248" s="38">
        <v>1292.25</v>
      </c>
      <c r="I248" s="14">
        <v>0.3</v>
      </c>
      <c r="J248" s="38">
        <v>904.57499999999993</v>
      </c>
      <c r="K248" s="5">
        <v>4</v>
      </c>
      <c r="L248" s="62">
        <f>Table1[[#This Row],[Final_Unit_Price]]*Table1[[#This Row],[Quantity]]</f>
        <v>3618.2999999999997</v>
      </c>
      <c r="M248" s="60">
        <v>542.75</v>
      </c>
      <c r="N248" s="43">
        <v>45819</v>
      </c>
      <c r="O248" s="18" t="str">
        <f>TEXT(Table1[[#This Row],[Order_Date]],"mmm")</f>
        <v>Jun</v>
      </c>
      <c r="P248" s="18">
        <f t="shared" si="6"/>
        <v>2025</v>
      </c>
      <c r="Q248" s="45">
        <v>45827</v>
      </c>
      <c r="R248" s="19">
        <f>'Cleaned Data'!$Q248-'Cleaned Data'!$N248</f>
        <v>8</v>
      </c>
      <c r="S248" s="19" t="str">
        <f t="shared" si="7"/>
        <v>Monsoon</v>
      </c>
    </row>
    <row r="249" spans="1:19" x14ac:dyDescent="0.3">
      <c r="A249" s="11" t="s">
        <v>426</v>
      </c>
      <c r="B249" s="11" t="s">
        <v>19</v>
      </c>
      <c r="C249" s="3" t="s">
        <v>33</v>
      </c>
      <c r="D249" s="3" t="s">
        <v>53</v>
      </c>
      <c r="E249" s="3" t="s">
        <v>58</v>
      </c>
      <c r="F249" s="3" t="s">
        <v>63</v>
      </c>
      <c r="G249" s="3" t="s">
        <v>73</v>
      </c>
      <c r="H249" s="37">
        <v>1955.84</v>
      </c>
      <c r="I249" s="12">
        <v>0.15</v>
      </c>
      <c r="J249" s="37">
        <v>1662.4639999999999</v>
      </c>
      <c r="K249" s="3">
        <v>5</v>
      </c>
      <c r="L249" s="61">
        <f>Table1[[#This Row],[Final_Unit_Price]]*Table1[[#This Row],[Quantity]]</f>
        <v>8312.32</v>
      </c>
      <c r="M249" s="59">
        <v>2078.08</v>
      </c>
      <c r="N249" s="42">
        <v>45382</v>
      </c>
      <c r="O249" s="20" t="str">
        <f>TEXT(Table1[[#This Row],[Order_Date]],"mmm")</f>
        <v>Mar</v>
      </c>
      <c r="P249" s="20">
        <f t="shared" si="6"/>
        <v>2024</v>
      </c>
      <c r="Q249" s="46">
        <v>45386</v>
      </c>
      <c r="R249" s="20">
        <f>'Cleaned Data'!$Q249-'Cleaned Data'!$N249</f>
        <v>4</v>
      </c>
      <c r="S249" s="19" t="str">
        <f t="shared" si="7"/>
        <v>Summer</v>
      </c>
    </row>
    <row r="250" spans="1:19" x14ac:dyDescent="0.3">
      <c r="A250" s="13" t="s">
        <v>427</v>
      </c>
      <c r="B250" s="13" t="s">
        <v>22</v>
      </c>
      <c r="C250" s="5" t="s">
        <v>31</v>
      </c>
      <c r="D250" s="5" t="s">
        <v>36</v>
      </c>
      <c r="E250" s="5" t="s">
        <v>58</v>
      </c>
      <c r="F250" s="5" t="s">
        <v>61</v>
      </c>
      <c r="G250" s="5" t="s">
        <v>65</v>
      </c>
      <c r="H250" s="38">
        <v>3272.04</v>
      </c>
      <c r="I250" s="14">
        <v>0.05</v>
      </c>
      <c r="J250" s="38">
        <v>3108.4380000000001</v>
      </c>
      <c r="K250" s="5">
        <v>5</v>
      </c>
      <c r="L250" s="62">
        <f>Table1[[#This Row],[Final_Unit_Price]]*Table1[[#This Row],[Quantity]]</f>
        <v>15542.19</v>
      </c>
      <c r="M250" s="60">
        <v>3885.55</v>
      </c>
      <c r="N250" s="43">
        <v>45422</v>
      </c>
      <c r="O250" s="18" t="str">
        <f>TEXT(Table1[[#This Row],[Order_Date]],"mmm")</f>
        <v>May</v>
      </c>
      <c r="P250" s="18">
        <f t="shared" si="6"/>
        <v>2024</v>
      </c>
      <c r="Q250" s="45">
        <v>45425</v>
      </c>
      <c r="R250" s="19">
        <f>'Cleaned Data'!$Q250-'Cleaned Data'!$N250</f>
        <v>3</v>
      </c>
      <c r="S250" s="19" t="str">
        <f t="shared" si="7"/>
        <v>Summer</v>
      </c>
    </row>
    <row r="251" spans="1:19" x14ac:dyDescent="0.3">
      <c r="A251" s="11" t="s">
        <v>428</v>
      </c>
      <c r="B251" s="11" t="s">
        <v>17</v>
      </c>
      <c r="C251" s="3" t="s">
        <v>32</v>
      </c>
      <c r="D251" s="3" t="s">
        <v>37</v>
      </c>
      <c r="E251" s="3" t="s">
        <v>59</v>
      </c>
      <c r="F251" s="3" t="s">
        <v>61</v>
      </c>
      <c r="G251" s="3" t="s">
        <v>65</v>
      </c>
      <c r="H251" s="37">
        <v>9068.15</v>
      </c>
      <c r="I251" s="12">
        <v>0.2</v>
      </c>
      <c r="J251" s="37">
        <v>7254.52</v>
      </c>
      <c r="K251" s="3">
        <v>5</v>
      </c>
      <c r="L251" s="61">
        <f>Table1[[#This Row],[Final_Unit_Price]]*Table1[[#This Row],[Quantity]]</f>
        <v>36272.600000000006</v>
      </c>
      <c r="M251" s="59">
        <v>12695.41</v>
      </c>
      <c r="N251" s="42">
        <v>45416</v>
      </c>
      <c r="O251" s="20" t="str">
        <f>TEXT(Table1[[#This Row],[Order_Date]],"mmm")</f>
        <v>May</v>
      </c>
      <c r="P251" s="20">
        <f t="shared" si="6"/>
        <v>2024</v>
      </c>
      <c r="Q251" s="46">
        <v>45422</v>
      </c>
      <c r="R251" s="20">
        <f>'Cleaned Data'!$Q251-'Cleaned Data'!$N251</f>
        <v>6</v>
      </c>
      <c r="S251" s="19" t="str">
        <f t="shared" si="7"/>
        <v>Summer</v>
      </c>
    </row>
    <row r="252" spans="1:19" x14ac:dyDescent="0.3">
      <c r="A252" s="13" t="s">
        <v>429</v>
      </c>
      <c r="B252" s="13" t="s">
        <v>24</v>
      </c>
      <c r="C252" s="5" t="s">
        <v>32</v>
      </c>
      <c r="D252" s="5" t="s">
        <v>37</v>
      </c>
      <c r="E252" s="5" t="s">
        <v>59</v>
      </c>
      <c r="F252" s="5" t="s">
        <v>61</v>
      </c>
      <c r="G252" s="5" t="s">
        <v>65</v>
      </c>
      <c r="H252" s="38">
        <v>30172.3</v>
      </c>
      <c r="I252" s="14">
        <v>0.15</v>
      </c>
      <c r="J252" s="38">
        <v>25646.455000000002</v>
      </c>
      <c r="K252" s="5">
        <v>1</v>
      </c>
      <c r="L252" s="62">
        <f>Table1[[#This Row],[Final_Unit_Price]]*Table1[[#This Row],[Quantity]]</f>
        <v>25646.455000000002</v>
      </c>
      <c r="M252" s="60">
        <v>8976.26</v>
      </c>
      <c r="N252" s="43">
        <v>45620</v>
      </c>
      <c r="O252" s="18" t="str">
        <f>TEXT(Table1[[#This Row],[Order_Date]],"mmm")</f>
        <v>Nov</v>
      </c>
      <c r="P252" s="18">
        <f t="shared" si="6"/>
        <v>2024</v>
      </c>
      <c r="Q252" s="45">
        <v>45626</v>
      </c>
      <c r="R252" s="19">
        <f>'Cleaned Data'!$Q252-'Cleaned Data'!$N252</f>
        <v>6</v>
      </c>
      <c r="S252" s="19" t="str">
        <f t="shared" si="7"/>
        <v>Winter</v>
      </c>
    </row>
    <row r="253" spans="1:19" x14ac:dyDescent="0.3">
      <c r="A253" s="11" t="s">
        <v>430</v>
      </c>
      <c r="B253" s="11" t="s">
        <v>26</v>
      </c>
      <c r="C253" s="3" t="s">
        <v>32</v>
      </c>
      <c r="D253" s="3" t="s">
        <v>40</v>
      </c>
      <c r="E253" s="3" t="s">
        <v>59</v>
      </c>
      <c r="F253" s="3" t="s">
        <v>63</v>
      </c>
      <c r="G253" s="3" t="s">
        <v>75</v>
      </c>
      <c r="H253" s="37">
        <v>38614.36</v>
      </c>
      <c r="I253" s="12">
        <v>0.15</v>
      </c>
      <c r="J253" s="37">
        <v>32822.205999999998</v>
      </c>
      <c r="K253" s="3">
        <v>4</v>
      </c>
      <c r="L253" s="61">
        <f>Table1[[#This Row],[Final_Unit_Price]]*Table1[[#This Row],[Quantity]]</f>
        <v>131288.82399999999</v>
      </c>
      <c r="M253" s="59">
        <v>45951.09</v>
      </c>
      <c r="N253" s="42">
        <v>45773</v>
      </c>
      <c r="O253" s="20" t="str">
        <f>TEXT(Table1[[#This Row],[Order_Date]],"mmm")</f>
        <v>Apr</v>
      </c>
      <c r="P253" s="20">
        <f t="shared" si="6"/>
        <v>2025</v>
      </c>
      <c r="Q253" s="46">
        <v>45782</v>
      </c>
      <c r="R253" s="20">
        <f>'Cleaned Data'!$Q253-'Cleaned Data'!$N253</f>
        <v>9</v>
      </c>
      <c r="S253" s="19" t="str">
        <f t="shared" si="7"/>
        <v>Summer</v>
      </c>
    </row>
    <row r="254" spans="1:19" x14ac:dyDescent="0.3">
      <c r="A254" s="13" t="s">
        <v>431</v>
      </c>
      <c r="B254" s="13" t="s">
        <v>17</v>
      </c>
      <c r="C254" s="5" t="s">
        <v>32</v>
      </c>
      <c r="D254" s="5" t="s">
        <v>40</v>
      </c>
      <c r="E254" s="5" t="s">
        <v>59</v>
      </c>
      <c r="F254" s="5" t="s">
        <v>62</v>
      </c>
      <c r="G254" s="5" t="s">
        <v>67</v>
      </c>
      <c r="H254" s="38">
        <v>9645.64</v>
      </c>
      <c r="I254" s="14">
        <v>0</v>
      </c>
      <c r="J254" s="38">
        <v>9645.64</v>
      </c>
      <c r="K254" s="5">
        <v>1</v>
      </c>
      <c r="L254" s="62">
        <f>Table1[[#This Row],[Final_Unit_Price]]*Table1[[#This Row],[Quantity]]</f>
        <v>9645.64</v>
      </c>
      <c r="M254" s="60">
        <v>3375.97</v>
      </c>
      <c r="N254" s="43">
        <v>45377</v>
      </c>
      <c r="O254" s="18" t="str">
        <f>TEXT(Table1[[#This Row],[Order_Date]],"mmm")</f>
        <v>Mar</v>
      </c>
      <c r="P254" s="18">
        <f t="shared" si="6"/>
        <v>2024</v>
      </c>
      <c r="Q254" s="45">
        <v>45383</v>
      </c>
      <c r="R254" s="19">
        <f>'Cleaned Data'!$Q254-'Cleaned Data'!$N254</f>
        <v>6</v>
      </c>
      <c r="S254" s="19" t="str">
        <f t="shared" si="7"/>
        <v>Summer</v>
      </c>
    </row>
    <row r="255" spans="1:19" x14ac:dyDescent="0.3">
      <c r="A255" s="11" t="s">
        <v>432</v>
      </c>
      <c r="B255" s="11" t="s">
        <v>30</v>
      </c>
      <c r="C255" s="3" t="s">
        <v>33</v>
      </c>
      <c r="D255" s="3" t="s">
        <v>53</v>
      </c>
      <c r="E255" s="3" t="s">
        <v>58</v>
      </c>
      <c r="F255" s="3" t="s">
        <v>63</v>
      </c>
      <c r="G255" s="3" t="s">
        <v>73</v>
      </c>
      <c r="H255" s="37">
        <v>14680.49</v>
      </c>
      <c r="I255" s="12">
        <v>0.1</v>
      </c>
      <c r="J255" s="37">
        <v>13212.441000000001</v>
      </c>
      <c r="K255" s="3">
        <v>3</v>
      </c>
      <c r="L255" s="61">
        <f>Table1[[#This Row],[Final_Unit_Price]]*Table1[[#This Row],[Quantity]]</f>
        <v>39637.323000000004</v>
      </c>
      <c r="M255" s="59">
        <v>9909.33</v>
      </c>
      <c r="N255" s="42">
        <v>45799</v>
      </c>
      <c r="O255" s="20" t="str">
        <f>TEXT(Table1[[#This Row],[Order_Date]],"mmm")</f>
        <v>May</v>
      </c>
      <c r="P255" s="20">
        <f t="shared" si="6"/>
        <v>2025</v>
      </c>
      <c r="Q255" s="46">
        <v>45802</v>
      </c>
      <c r="R255" s="20">
        <f>'Cleaned Data'!$Q255-'Cleaned Data'!$N255</f>
        <v>3</v>
      </c>
      <c r="S255" s="19" t="str">
        <f t="shared" si="7"/>
        <v>Summer</v>
      </c>
    </row>
    <row r="256" spans="1:19" x14ac:dyDescent="0.3">
      <c r="A256" s="13" t="s">
        <v>433</v>
      </c>
      <c r="B256" s="13" t="s">
        <v>16</v>
      </c>
      <c r="C256" s="5" t="s">
        <v>31</v>
      </c>
      <c r="D256" s="5" t="s">
        <v>47</v>
      </c>
      <c r="E256" s="5" t="s">
        <v>59</v>
      </c>
      <c r="F256" s="5" t="s">
        <v>63</v>
      </c>
      <c r="G256" s="5" t="s">
        <v>75</v>
      </c>
      <c r="H256" s="38">
        <v>2977.94</v>
      </c>
      <c r="I256" s="14">
        <v>0.2</v>
      </c>
      <c r="J256" s="38">
        <v>2382.3519999999999</v>
      </c>
      <c r="K256" s="5">
        <v>3</v>
      </c>
      <c r="L256" s="62">
        <f>Table1[[#This Row],[Final_Unit_Price]]*Table1[[#This Row],[Quantity]]</f>
        <v>7147.0559999999996</v>
      </c>
      <c r="M256" s="60">
        <v>2501.4699999999998</v>
      </c>
      <c r="N256" s="43">
        <v>45665</v>
      </c>
      <c r="O256" s="18" t="str">
        <f>TEXT(Table1[[#This Row],[Order_Date]],"mmm")</f>
        <v>Jan</v>
      </c>
      <c r="P256" s="18">
        <f t="shared" si="6"/>
        <v>2025</v>
      </c>
      <c r="Q256" s="45">
        <v>45673</v>
      </c>
      <c r="R256" s="19">
        <f>'Cleaned Data'!$Q256-'Cleaned Data'!$N256</f>
        <v>8</v>
      </c>
      <c r="S256" s="19" t="str">
        <f t="shared" si="7"/>
        <v>Winter</v>
      </c>
    </row>
    <row r="257" spans="1:19" x14ac:dyDescent="0.3">
      <c r="A257" s="11" t="s">
        <v>434</v>
      </c>
      <c r="B257" s="11" t="s">
        <v>21</v>
      </c>
      <c r="C257" s="3" t="s">
        <v>34</v>
      </c>
      <c r="D257" s="3" t="s">
        <v>52</v>
      </c>
      <c r="E257" s="3" t="s">
        <v>60</v>
      </c>
      <c r="F257" s="3" t="s">
        <v>62</v>
      </c>
      <c r="G257" s="3" t="s">
        <v>69</v>
      </c>
      <c r="H257" s="37">
        <v>2673.57</v>
      </c>
      <c r="I257" s="12">
        <v>0.1</v>
      </c>
      <c r="J257" s="37">
        <v>2406.2130000000002</v>
      </c>
      <c r="K257" s="3">
        <v>2</v>
      </c>
      <c r="L257" s="61">
        <f>Table1[[#This Row],[Final_Unit_Price]]*Table1[[#This Row],[Quantity]]</f>
        <v>4812.4260000000004</v>
      </c>
      <c r="M257" s="59">
        <v>721.86</v>
      </c>
      <c r="N257" s="42">
        <v>45492</v>
      </c>
      <c r="O257" s="20" t="str">
        <f>TEXT(Table1[[#This Row],[Order_Date]],"mmm")</f>
        <v>Jul</v>
      </c>
      <c r="P257" s="20">
        <f t="shared" si="6"/>
        <v>2024</v>
      </c>
      <c r="Q257" s="46">
        <v>45497</v>
      </c>
      <c r="R257" s="20">
        <f>'Cleaned Data'!$Q257-'Cleaned Data'!$N257</f>
        <v>5</v>
      </c>
      <c r="S257" s="19" t="str">
        <f t="shared" si="7"/>
        <v>Monsoon</v>
      </c>
    </row>
    <row r="258" spans="1:19" x14ac:dyDescent="0.3">
      <c r="A258" s="13" t="s">
        <v>435</v>
      </c>
      <c r="B258" s="13" t="s">
        <v>28</v>
      </c>
      <c r="C258" s="5" t="s">
        <v>34</v>
      </c>
      <c r="D258" s="5" t="s">
        <v>45</v>
      </c>
      <c r="E258" s="5" t="s">
        <v>59</v>
      </c>
      <c r="F258" s="5" t="s">
        <v>61</v>
      </c>
      <c r="G258" s="5" t="s">
        <v>65</v>
      </c>
      <c r="H258" s="38">
        <v>1838.37</v>
      </c>
      <c r="I258" s="14">
        <v>0.3</v>
      </c>
      <c r="J258" s="38">
        <v>1286.8589999999999</v>
      </c>
      <c r="K258" s="5">
        <v>4</v>
      </c>
      <c r="L258" s="62">
        <f>Table1[[#This Row],[Final_Unit_Price]]*Table1[[#This Row],[Quantity]]</f>
        <v>5147.4359999999997</v>
      </c>
      <c r="M258" s="60">
        <v>1801.6</v>
      </c>
      <c r="N258" s="43">
        <v>45347</v>
      </c>
      <c r="O258" s="18" t="str">
        <f>TEXT(Table1[[#This Row],[Order_Date]],"mmm")</f>
        <v>Feb</v>
      </c>
      <c r="P258" s="18">
        <f t="shared" si="6"/>
        <v>2024</v>
      </c>
      <c r="Q258" s="45">
        <v>45353</v>
      </c>
      <c r="R258" s="19">
        <f>'Cleaned Data'!$Q258-'Cleaned Data'!$N258</f>
        <v>6</v>
      </c>
      <c r="S258" s="19" t="str">
        <f t="shared" si="7"/>
        <v>Summer</v>
      </c>
    </row>
    <row r="259" spans="1:19" x14ac:dyDescent="0.3">
      <c r="A259" s="11" t="s">
        <v>436</v>
      </c>
      <c r="B259" s="11" t="s">
        <v>21</v>
      </c>
      <c r="C259" s="3" t="s">
        <v>34</v>
      </c>
      <c r="D259" s="3" t="s">
        <v>45</v>
      </c>
      <c r="E259" s="3" t="s">
        <v>59</v>
      </c>
      <c r="F259" s="3" t="s">
        <v>62</v>
      </c>
      <c r="G259" s="3" t="s">
        <v>67</v>
      </c>
      <c r="H259" s="37">
        <v>3887.41</v>
      </c>
      <c r="I259" s="12">
        <v>0.25</v>
      </c>
      <c r="J259" s="37">
        <v>2915.5574999999999</v>
      </c>
      <c r="K259" s="3">
        <v>2</v>
      </c>
      <c r="L259" s="61">
        <f>Table1[[#This Row],[Final_Unit_Price]]*Table1[[#This Row],[Quantity]]</f>
        <v>5831.1149999999998</v>
      </c>
      <c r="M259" s="59">
        <v>4081.78</v>
      </c>
      <c r="N259" s="42">
        <v>45292</v>
      </c>
      <c r="O259" s="20" t="str">
        <f>TEXT(Table1[[#This Row],[Order_Date]],"mmm")</f>
        <v>Jan</v>
      </c>
      <c r="P259" s="20">
        <f t="shared" ref="P259:P322" si="8">YEAR(N259)</f>
        <v>2024</v>
      </c>
      <c r="Q259" s="46">
        <v>45297</v>
      </c>
      <c r="R259" s="20">
        <f>'Cleaned Data'!$Q259-'Cleaned Data'!$N259</f>
        <v>5</v>
      </c>
      <c r="S259" s="19" t="str">
        <f t="shared" ref="S259:S322" si="9">IF(OR(O259="Feb",O259="Mar",O259="Apr",O259="May"),"Summer",
   IF(OR(O259="Jun",O259="Jul",O259="Aug",O259="Sep"),"Monsoon",
   IF(OR(O259="Oct",O259="Nov",O259="Dec",O259= "Jan"),"Winter","Invalid")))</f>
        <v>Winter</v>
      </c>
    </row>
    <row r="260" spans="1:19" x14ac:dyDescent="0.3">
      <c r="A260" s="13" t="s">
        <v>437</v>
      </c>
      <c r="B260" s="13" t="s">
        <v>16</v>
      </c>
      <c r="C260" s="5" t="s">
        <v>31</v>
      </c>
      <c r="D260" s="5" t="s">
        <v>42</v>
      </c>
      <c r="E260" s="5" t="s">
        <v>60</v>
      </c>
      <c r="F260" s="5" t="s">
        <v>64</v>
      </c>
      <c r="G260" s="5" t="s">
        <v>72</v>
      </c>
      <c r="H260" s="38">
        <v>2323.17</v>
      </c>
      <c r="I260" s="14">
        <v>0.3</v>
      </c>
      <c r="J260" s="38">
        <v>1626.2190000000001</v>
      </c>
      <c r="K260" s="5">
        <v>5</v>
      </c>
      <c r="L260" s="62">
        <f>Table1[[#This Row],[Final_Unit_Price]]*Table1[[#This Row],[Quantity]]</f>
        <v>8131.0950000000003</v>
      </c>
      <c r="M260" s="60">
        <v>1219.6600000000001</v>
      </c>
      <c r="N260" s="43">
        <v>45602</v>
      </c>
      <c r="O260" s="18" t="str">
        <f>TEXT(Table1[[#This Row],[Order_Date]],"mmm")</f>
        <v>Nov</v>
      </c>
      <c r="P260" s="18">
        <f t="shared" si="8"/>
        <v>2024</v>
      </c>
      <c r="Q260" s="45">
        <v>45611</v>
      </c>
      <c r="R260" s="19">
        <f>'Cleaned Data'!$Q260-'Cleaned Data'!$N260</f>
        <v>9</v>
      </c>
      <c r="S260" s="19" t="str">
        <f t="shared" si="9"/>
        <v>Winter</v>
      </c>
    </row>
    <row r="261" spans="1:19" x14ac:dyDescent="0.3">
      <c r="A261" s="11" t="s">
        <v>438</v>
      </c>
      <c r="B261" s="11" t="s">
        <v>27</v>
      </c>
      <c r="C261" s="3" t="s">
        <v>35</v>
      </c>
      <c r="D261" s="3" t="s">
        <v>44</v>
      </c>
      <c r="E261" s="3" t="s">
        <v>60</v>
      </c>
      <c r="F261" s="3" t="s">
        <v>62</v>
      </c>
      <c r="G261" s="3" t="s">
        <v>67</v>
      </c>
      <c r="H261" s="37">
        <v>6887.79</v>
      </c>
      <c r="I261" s="12">
        <v>0.1</v>
      </c>
      <c r="J261" s="37">
        <v>6199.0110000000004</v>
      </c>
      <c r="K261" s="3">
        <v>5</v>
      </c>
      <c r="L261" s="61">
        <f>Table1[[#This Row],[Final_Unit_Price]]*Table1[[#This Row],[Quantity]]</f>
        <v>30995.055</v>
      </c>
      <c r="M261" s="59">
        <v>4649.26</v>
      </c>
      <c r="N261" s="42">
        <v>45520</v>
      </c>
      <c r="O261" s="20" t="str">
        <f>TEXT(Table1[[#This Row],[Order_Date]],"mmm")</f>
        <v>Aug</v>
      </c>
      <c r="P261" s="20">
        <f t="shared" si="8"/>
        <v>2024</v>
      </c>
      <c r="Q261" s="46">
        <v>45529</v>
      </c>
      <c r="R261" s="20">
        <f>'Cleaned Data'!$Q261-'Cleaned Data'!$N261</f>
        <v>9</v>
      </c>
      <c r="S261" s="19" t="str">
        <f t="shared" si="9"/>
        <v>Monsoon</v>
      </c>
    </row>
    <row r="262" spans="1:19" x14ac:dyDescent="0.3">
      <c r="A262" s="13" t="s">
        <v>439</v>
      </c>
      <c r="B262" s="13" t="s">
        <v>24</v>
      </c>
      <c r="C262" s="5" t="s">
        <v>32</v>
      </c>
      <c r="D262" s="5" t="s">
        <v>37</v>
      </c>
      <c r="E262" s="5" t="s">
        <v>59</v>
      </c>
      <c r="F262" s="5" t="s">
        <v>61</v>
      </c>
      <c r="G262" s="5" t="s">
        <v>65</v>
      </c>
      <c r="H262" s="38">
        <v>30147.19</v>
      </c>
      <c r="I262" s="14">
        <v>0.25</v>
      </c>
      <c r="J262" s="38">
        <v>22610.392500000002</v>
      </c>
      <c r="K262" s="5">
        <v>5</v>
      </c>
      <c r="L262" s="62">
        <f>Table1[[#This Row],[Final_Unit_Price]]*Table1[[#This Row],[Quantity]]</f>
        <v>113051.96250000001</v>
      </c>
      <c r="M262" s="60">
        <v>39568.19</v>
      </c>
      <c r="N262" s="43">
        <v>45352</v>
      </c>
      <c r="O262" s="18" t="str">
        <f>TEXT(Table1[[#This Row],[Order_Date]],"mmm")</f>
        <v>Mar</v>
      </c>
      <c r="P262" s="18">
        <f t="shared" si="8"/>
        <v>2024</v>
      </c>
      <c r="Q262" s="45">
        <v>45355</v>
      </c>
      <c r="R262" s="19">
        <f>'Cleaned Data'!$Q262-'Cleaned Data'!$N262</f>
        <v>3</v>
      </c>
      <c r="S262" s="19" t="str">
        <f t="shared" si="9"/>
        <v>Summer</v>
      </c>
    </row>
    <row r="263" spans="1:19" x14ac:dyDescent="0.3">
      <c r="A263" s="11" t="s">
        <v>440</v>
      </c>
      <c r="B263" s="11" t="s">
        <v>19</v>
      </c>
      <c r="C263" s="3" t="s">
        <v>33</v>
      </c>
      <c r="D263" s="3" t="s">
        <v>39</v>
      </c>
      <c r="E263" s="3" t="s">
        <v>58</v>
      </c>
      <c r="F263" s="3" t="s">
        <v>63</v>
      </c>
      <c r="G263" s="3" t="s">
        <v>68</v>
      </c>
      <c r="H263" s="37">
        <v>1826.54</v>
      </c>
      <c r="I263" s="12">
        <v>0.25</v>
      </c>
      <c r="J263" s="37">
        <v>1369.905</v>
      </c>
      <c r="K263" s="3">
        <v>2</v>
      </c>
      <c r="L263" s="61">
        <f>Table1[[#This Row],[Final_Unit_Price]]*Table1[[#This Row],[Quantity]]</f>
        <v>2739.81</v>
      </c>
      <c r="M263" s="59">
        <v>684.95</v>
      </c>
      <c r="N263" s="42">
        <v>45588</v>
      </c>
      <c r="O263" s="20" t="str">
        <f>TEXT(Table1[[#This Row],[Order_Date]],"mmm")</f>
        <v>Oct</v>
      </c>
      <c r="P263" s="20">
        <f t="shared" si="8"/>
        <v>2024</v>
      </c>
      <c r="Q263" s="46">
        <v>45593</v>
      </c>
      <c r="R263" s="20">
        <f>'Cleaned Data'!$Q263-'Cleaned Data'!$N263</f>
        <v>5</v>
      </c>
      <c r="S263" s="19" t="str">
        <f t="shared" si="9"/>
        <v>Winter</v>
      </c>
    </row>
    <row r="264" spans="1:19" x14ac:dyDescent="0.3">
      <c r="A264" s="13" t="s">
        <v>441</v>
      </c>
      <c r="B264" s="13" t="s">
        <v>18</v>
      </c>
      <c r="C264" s="5" t="s">
        <v>33</v>
      </c>
      <c r="D264" s="5" t="s">
        <v>53</v>
      </c>
      <c r="E264" s="5" t="s">
        <v>58</v>
      </c>
      <c r="F264" s="5" t="s">
        <v>62</v>
      </c>
      <c r="G264" s="5" t="s">
        <v>69</v>
      </c>
      <c r="H264" s="38">
        <v>50861.87</v>
      </c>
      <c r="I264" s="14">
        <v>0.2</v>
      </c>
      <c r="J264" s="38">
        <v>40689.496000000006</v>
      </c>
      <c r="K264" s="5">
        <v>3</v>
      </c>
      <c r="L264" s="62">
        <f>Table1[[#This Row],[Final_Unit_Price]]*Table1[[#This Row],[Quantity]]</f>
        <v>122068.48800000001</v>
      </c>
      <c r="M264" s="60">
        <v>30517.119999999999</v>
      </c>
      <c r="N264" s="43">
        <v>45686</v>
      </c>
      <c r="O264" s="18" t="str">
        <f>TEXT(Table1[[#This Row],[Order_Date]],"mmm")</f>
        <v>Jan</v>
      </c>
      <c r="P264" s="18">
        <f t="shared" si="8"/>
        <v>2025</v>
      </c>
      <c r="Q264" s="45">
        <v>45695</v>
      </c>
      <c r="R264" s="19">
        <f>'Cleaned Data'!$Q264-'Cleaned Data'!$N264</f>
        <v>9</v>
      </c>
      <c r="S264" s="19" t="str">
        <f t="shared" si="9"/>
        <v>Winter</v>
      </c>
    </row>
    <row r="265" spans="1:19" x14ac:dyDescent="0.3">
      <c r="A265" s="11" t="s">
        <v>442</v>
      </c>
      <c r="B265" s="11" t="s">
        <v>25</v>
      </c>
      <c r="C265" s="3" t="s">
        <v>34</v>
      </c>
      <c r="D265" s="3" t="s">
        <v>49</v>
      </c>
      <c r="E265" s="3" t="s">
        <v>59</v>
      </c>
      <c r="F265" s="3" t="s">
        <v>61</v>
      </c>
      <c r="G265" s="3" t="s">
        <v>71</v>
      </c>
      <c r="H265" s="37">
        <v>900.76</v>
      </c>
      <c r="I265" s="12">
        <v>0.1</v>
      </c>
      <c r="J265" s="37">
        <v>810.68399999999997</v>
      </c>
      <c r="K265" s="3">
        <v>1</v>
      </c>
      <c r="L265" s="61">
        <f>Table1[[#This Row],[Final_Unit_Price]]*Table1[[#This Row],[Quantity]]</f>
        <v>810.68399999999997</v>
      </c>
      <c r="M265" s="59">
        <v>283.74</v>
      </c>
      <c r="N265" s="42">
        <v>45342</v>
      </c>
      <c r="O265" s="20" t="str">
        <f>TEXT(Table1[[#This Row],[Order_Date]],"mmm")</f>
        <v>Feb</v>
      </c>
      <c r="P265" s="20">
        <f t="shared" si="8"/>
        <v>2024</v>
      </c>
      <c r="Q265" s="46">
        <v>45345</v>
      </c>
      <c r="R265" s="20">
        <f>'Cleaned Data'!$Q265-'Cleaned Data'!$N265</f>
        <v>3</v>
      </c>
      <c r="S265" s="19" t="str">
        <f t="shared" si="9"/>
        <v>Summer</v>
      </c>
    </row>
    <row r="266" spans="1:19" x14ac:dyDescent="0.3">
      <c r="A266" s="13" t="s">
        <v>443</v>
      </c>
      <c r="B266" s="13" t="s">
        <v>22</v>
      </c>
      <c r="C266" s="5" t="s">
        <v>31</v>
      </c>
      <c r="D266" s="5" t="s">
        <v>36</v>
      </c>
      <c r="E266" s="5" t="s">
        <v>58</v>
      </c>
      <c r="F266" s="5" t="s">
        <v>62</v>
      </c>
      <c r="G266" s="5" t="s">
        <v>69</v>
      </c>
      <c r="H266" s="38">
        <v>3690.03</v>
      </c>
      <c r="I266" s="14">
        <v>0</v>
      </c>
      <c r="J266" s="38">
        <v>3690.03</v>
      </c>
      <c r="K266" s="5">
        <v>1</v>
      </c>
      <c r="L266" s="62">
        <f>Table1[[#This Row],[Final_Unit_Price]]*Table1[[#This Row],[Quantity]]</f>
        <v>3690.03</v>
      </c>
      <c r="M266" s="60">
        <v>922.51</v>
      </c>
      <c r="N266" s="43">
        <v>45442</v>
      </c>
      <c r="O266" s="18" t="str">
        <f>TEXT(Table1[[#This Row],[Order_Date]],"mmm")</f>
        <v>May</v>
      </c>
      <c r="P266" s="18">
        <f t="shared" si="8"/>
        <v>2024</v>
      </c>
      <c r="Q266" s="45">
        <v>45444</v>
      </c>
      <c r="R266" s="19">
        <f>'Cleaned Data'!$Q266-'Cleaned Data'!$N266</f>
        <v>2</v>
      </c>
      <c r="S266" s="19" t="str">
        <f t="shared" si="9"/>
        <v>Summer</v>
      </c>
    </row>
    <row r="267" spans="1:19" x14ac:dyDescent="0.3">
      <c r="A267" s="11" t="s">
        <v>444</v>
      </c>
      <c r="B267" s="11" t="s">
        <v>24</v>
      </c>
      <c r="C267" s="3" t="s">
        <v>32</v>
      </c>
      <c r="D267" s="3" t="s">
        <v>37</v>
      </c>
      <c r="E267" s="3" t="s">
        <v>59</v>
      </c>
      <c r="F267" s="3" t="s">
        <v>61</v>
      </c>
      <c r="G267" s="3" t="s">
        <v>65</v>
      </c>
      <c r="H267" s="37">
        <v>30177.95</v>
      </c>
      <c r="I267" s="12">
        <v>0.05</v>
      </c>
      <c r="J267" s="37">
        <v>28669.052500000002</v>
      </c>
      <c r="K267" s="3">
        <v>5</v>
      </c>
      <c r="L267" s="61">
        <f>Table1[[#This Row],[Final_Unit_Price]]*Table1[[#This Row],[Quantity]]</f>
        <v>143345.26250000001</v>
      </c>
      <c r="M267" s="59">
        <v>50170.84</v>
      </c>
      <c r="N267" s="42">
        <v>45865</v>
      </c>
      <c r="O267" s="20" t="str">
        <f>TEXT(Table1[[#This Row],[Order_Date]],"mmm")</f>
        <v>Jul</v>
      </c>
      <c r="P267" s="20">
        <f t="shared" si="8"/>
        <v>2025</v>
      </c>
      <c r="Q267" s="46">
        <v>45869</v>
      </c>
      <c r="R267" s="20">
        <f>'Cleaned Data'!$Q267-'Cleaned Data'!$N267</f>
        <v>4</v>
      </c>
      <c r="S267" s="19" t="str">
        <f t="shared" si="9"/>
        <v>Monsoon</v>
      </c>
    </row>
    <row r="268" spans="1:19" x14ac:dyDescent="0.3">
      <c r="A268" s="13" t="s">
        <v>445</v>
      </c>
      <c r="B268" s="13" t="s">
        <v>23</v>
      </c>
      <c r="C268" s="5" t="s">
        <v>35</v>
      </c>
      <c r="D268" s="5" t="s">
        <v>38</v>
      </c>
      <c r="E268" s="5" t="s">
        <v>59</v>
      </c>
      <c r="F268" s="5" t="s">
        <v>63</v>
      </c>
      <c r="G268" s="5" t="s">
        <v>75</v>
      </c>
      <c r="H268" s="38">
        <v>28719.81</v>
      </c>
      <c r="I268" s="14">
        <v>0</v>
      </c>
      <c r="J268" s="38">
        <v>28719.81</v>
      </c>
      <c r="K268" s="5">
        <v>4</v>
      </c>
      <c r="L268" s="62">
        <f>Table1[[#This Row],[Final_Unit_Price]]*Table1[[#This Row],[Quantity]]</f>
        <v>114879.24</v>
      </c>
      <c r="M268" s="60">
        <v>40207.730000000003</v>
      </c>
      <c r="N268" s="43">
        <v>45311</v>
      </c>
      <c r="O268" s="18" t="str">
        <f>TEXT(Table1[[#This Row],[Order_Date]],"mmm")</f>
        <v>Jan</v>
      </c>
      <c r="P268" s="18">
        <f t="shared" si="8"/>
        <v>2024</v>
      </c>
      <c r="Q268" s="45">
        <v>45313</v>
      </c>
      <c r="R268" s="19">
        <f>'Cleaned Data'!$Q268-'Cleaned Data'!$N268</f>
        <v>2</v>
      </c>
      <c r="S268" s="19" t="str">
        <f t="shared" si="9"/>
        <v>Winter</v>
      </c>
    </row>
    <row r="269" spans="1:19" x14ac:dyDescent="0.3">
      <c r="A269" s="11" t="s">
        <v>446</v>
      </c>
      <c r="B269" s="11" t="s">
        <v>18</v>
      </c>
      <c r="C269" s="3" t="s">
        <v>33</v>
      </c>
      <c r="D269" s="3" t="s">
        <v>53</v>
      </c>
      <c r="E269" s="3" t="s">
        <v>58</v>
      </c>
      <c r="F269" s="3" t="s">
        <v>63</v>
      </c>
      <c r="G269" s="3" t="s">
        <v>73</v>
      </c>
      <c r="H269" s="37">
        <v>49243.58</v>
      </c>
      <c r="I269" s="12">
        <v>0.15</v>
      </c>
      <c r="J269" s="37">
        <v>41857.042999999998</v>
      </c>
      <c r="K269" s="3">
        <v>3</v>
      </c>
      <c r="L269" s="61">
        <f>Table1[[#This Row],[Final_Unit_Price]]*Table1[[#This Row],[Quantity]]</f>
        <v>125571.12899999999</v>
      </c>
      <c r="M269" s="59">
        <v>31392.78</v>
      </c>
      <c r="N269" s="42">
        <v>45814</v>
      </c>
      <c r="O269" s="20" t="str">
        <f>TEXT(Table1[[#This Row],[Order_Date]],"mmm")</f>
        <v>Jun</v>
      </c>
      <c r="P269" s="20">
        <f t="shared" si="8"/>
        <v>2025</v>
      </c>
      <c r="Q269" s="46">
        <v>45819</v>
      </c>
      <c r="R269" s="20">
        <f>'Cleaned Data'!$Q269-'Cleaned Data'!$N269</f>
        <v>5</v>
      </c>
      <c r="S269" s="19" t="str">
        <f t="shared" si="9"/>
        <v>Monsoon</v>
      </c>
    </row>
    <row r="270" spans="1:19" x14ac:dyDescent="0.3">
      <c r="A270" s="13" t="s">
        <v>447</v>
      </c>
      <c r="B270" s="13" t="s">
        <v>25</v>
      </c>
      <c r="C270" s="5" t="s">
        <v>34</v>
      </c>
      <c r="D270" s="5" t="s">
        <v>55</v>
      </c>
      <c r="E270" s="5" t="s">
        <v>58</v>
      </c>
      <c r="F270" s="5" t="s">
        <v>62</v>
      </c>
      <c r="G270" s="5" t="s">
        <v>69</v>
      </c>
      <c r="H270" s="38">
        <v>804.32</v>
      </c>
      <c r="I270" s="14">
        <v>0.25</v>
      </c>
      <c r="J270" s="38">
        <v>603.24</v>
      </c>
      <c r="K270" s="5">
        <v>5</v>
      </c>
      <c r="L270" s="62">
        <f>Table1[[#This Row],[Final_Unit_Price]]*Table1[[#This Row],[Quantity]]</f>
        <v>3016.2</v>
      </c>
      <c r="M270" s="60">
        <v>754.05</v>
      </c>
      <c r="N270" s="43">
        <v>45407</v>
      </c>
      <c r="O270" s="18" t="str">
        <f>TEXT(Table1[[#This Row],[Order_Date]],"mmm")</f>
        <v>Apr</v>
      </c>
      <c r="P270" s="18">
        <f t="shared" si="8"/>
        <v>2024</v>
      </c>
      <c r="Q270" s="45">
        <v>45411</v>
      </c>
      <c r="R270" s="19">
        <f>'Cleaned Data'!$Q270-'Cleaned Data'!$N270</f>
        <v>4</v>
      </c>
      <c r="S270" s="19" t="str">
        <f t="shared" si="9"/>
        <v>Summer</v>
      </c>
    </row>
    <row r="271" spans="1:19" x14ac:dyDescent="0.3">
      <c r="A271" s="11" t="s">
        <v>448</v>
      </c>
      <c r="B271" s="11" t="s">
        <v>29</v>
      </c>
      <c r="C271" s="3" t="s">
        <v>35</v>
      </c>
      <c r="D271" s="3" t="s">
        <v>38</v>
      </c>
      <c r="E271" s="3" t="s">
        <v>59</v>
      </c>
      <c r="F271" s="3" t="s">
        <v>64</v>
      </c>
      <c r="G271" s="3" t="s">
        <v>72</v>
      </c>
      <c r="H271" s="37">
        <v>22554.16</v>
      </c>
      <c r="I271" s="12">
        <v>0.25</v>
      </c>
      <c r="J271" s="37">
        <v>16915.62</v>
      </c>
      <c r="K271" s="3">
        <v>2</v>
      </c>
      <c r="L271" s="61">
        <f>Table1[[#This Row],[Final_Unit_Price]]*Table1[[#This Row],[Quantity]]</f>
        <v>33831.24</v>
      </c>
      <c r="M271" s="59">
        <v>11840.93</v>
      </c>
      <c r="N271" s="42">
        <v>45846</v>
      </c>
      <c r="O271" s="20" t="str">
        <f>TEXT(Table1[[#This Row],[Order_Date]],"mmm")</f>
        <v>Jul</v>
      </c>
      <c r="P271" s="20">
        <f t="shared" si="8"/>
        <v>2025</v>
      </c>
      <c r="Q271" s="46">
        <v>45850</v>
      </c>
      <c r="R271" s="20">
        <f>'Cleaned Data'!$Q271-'Cleaned Data'!$N271</f>
        <v>4</v>
      </c>
      <c r="S271" s="19" t="str">
        <f t="shared" si="9"/>
        <v>Monsoon</v>
      </c>
    </row>
    <row r="272" spans="1:19" x14ac:dyDescent="0.3">
      <c r="A272" s="13" t="s">
        <v>449</v>
      </c>
      <c r="B272" s="13" t="s">
        <v>29</v>
      </c>
      <c r="C272" s="5" t="s">
        <v>35</v>
      </c>
      <c r="D272" s="5" t="s">
        <v>44</v>
      </c>
      <c r="E272" s="5" t="s">
        <v>60</v>
      </c>
      <c r="F272" s="5" t="s">
        <v>64</v>
      </c>
      <c r="G272" s="5" t="s">
        <v>72</v>
      </c>
      <c r="H272" s="38">
        <v>16197.03</v>
      </c>
      <c r="I272" s="14">
        <v>0</v>
      </c>
      <c r="J272" s="38">
        <v>16197.03</v>
      </c>
      <c r="K272" s="5">
        <v>2</v>
      </c>
      <c r="L272" s="62">
        <f>Table1[[#This Row],[Final_Unit_Price]]*Table1[[#This Row],[Quantity]]</f>
        <v>32394.06</v>
      </c>
      <c r="M272" s="60">
        <v>4859.1099999999997</v>
      </c>
      <c r="N272" s="43">
        <v>45716</v>
      </c>
      <c r="O272" s="18" t="str">
        <f>TEXT(Table1[[#This Row],[Order_Date]],"mmm")</f>
        <v>Feb</v>
      </c>
      <c r="P272" s="18">
        <f t="shared" si="8"/>
        <v>2025</v>
      </c>
      <c r="Q272" s="45">
        <v>45725</v>
      </c>
      <c r="R272" s="19">
        <f>'Cleaned Data'!$Q272-'Cleaned Data'!$N272</f>
        <v>9</v>
      </c>
      <c r="S272" s="19" t="str">
        <f t="shared" si="9"/>
        <v>Summer</v>
      </c>
    </row>
    <row r="273" spans="1:19" x14ac:dyDescent="0.3">
      <c r="A273" s="11" t="s">
        <v>450</v>
      </c>
      <c r="B273" s="11" t="s">
        <v>25</v>
      </c>
      <c r="C273" s="3" t="s">
        <v>34</v>
      </c>
      <c r="D273" s="3" t="s">
        <v>52</v>
      </c>
      <c r="E273" s="3" t="s">
        <v>60</v>
      </c>
      <c r="F273" s="3" t="s">
        <v>63</v>
      </c>
      <c r="G273" s="3" t="s">
        <v>68</v>
      </c>
      <c r="H273" s="37">
        <v>638.46</v>
      </c>
      <c r="I273" s="12">
        <v>0.3</v>
      </c>
      <c r="J273" s="37">
        <v>446.92200000000003</v>
      </c>
      <c r="K273" s="3">
        <v>2</v>
      </c>
      <c r="L273" s="61">
        <f>Table1[[#This Row],[Final_Unit_Price]]*Table1[[#This Row],[Quantity]]</f>
        <v>893.84400000000005</v>
      </c>
      <c r="M273" s="59">
        <v>134.08000000000001</v>
      </c>
      <c r="N273" s="42">
        <v>45480</v>
      </c>
      <c r="O273" s="20" t="str">
        <f>TEXT(Table1[[#This Row],[Order_Date]],"mmm")</f>
        <v>Jul</v>
      </c>
      <c r="P273" s="20">
        <f t="shared" si="8"/>
        <v>2024</v>
      </c>
      <c r="Q273" s="46">
        <v>45485</v>
      </c>
      <c r="R273" s="20">
        <f>'Cleaned Data'!$Q273-'Cleaned Data'!$N273</f>
        <v>5</v>
      </c>
      <c r="S273" s="19" t="str">
        <f t="shared" si="9"/>
        <v>Monsoon</v>
      </c>
    </row>
    <row r="274" spans="1:19" x14ac:dyDescent="0.3">
      <c r="A274" s="13" t="s">
        <v>451</v>
      </c>
      <c r="B274" s="13" t="s">
        <v>27</v>
      </c>
      <c r="C274" s="5" t="s">
        <v>35</v>
      </c>
      <c r="D274" s="5" t="s">
        <v>46</v>
      </c>
      <c r="E274" s="5" t="s">
        <v>59</v>
      </c>
      <c r="F274" s="5" t="s">
        <v>64</v>
      </c>
      <c r="G274" s="5" t="s">
        <v>72</v>
      </c>
      <c r="H274" s="38">
        <v>10003.91</v>
      </c>
      <c r="I274" s="14">
        <v>0.25</v>
      </c>
      <c r="J274" s="38">
        <v>7502.9324999999999</v>
      </c>
      <c r="K274" s="5">
        <v>5</v>
      </c>
      <c r="L274" s="62">
        <f>Table1[[#This Row],[Final_Unit_Price]]*Table1[[#This Row],[Quantity]]</f>
        <v>37514.662499999999</v>
      </c>
      <c r="M274" s="60">
        <v>13130.13</v>
      </c>
      <c r="N274" s="43">
        <v>45483</v>
      </c>
      <c r="O274" s="18" t="str">
        <f>TEXT(Table1[[#This Row],[Order_Date]],"mmm")</f>
        <v>Jul</v>
      </c>
      <c r="P274" s="18">
        <f t="shared" si="8"/>
        <v>2024</v>
      </c>
      <c r="Q274" s="45">
        <v>45492</v>
      </c>
      <c r="R274" s="19">
        <f>'Cleaned Data'!$Q274-'Cleaned Data'!$N274</f>
        <v>9</v>
      </c>
      <c r="S274" s="19" t="str">
        <f t="shared" si="9"/>
        <v>Monsoon</v>
      </c>
    </row>
    <row r="275" spans="1:19" x14ac:dyDescent="0.3">
      <c r="A275" s="11" t="s">
        <v>452</v>
      </c>
      <c r="B275" s="11" t="s">
        <v>24</v>
      </c>
      <c r="C275" s="3" t="s">
        <v>32</v>
      </c>
      <c r="D275" s="3" t="s">
        <v>54</v>
      </c>
      <c r="E275" s="3" t="s">
        <v>60</v>
      </c>
      <c r="F275" s="3" t="s">
        <v>62</v>
      </c>
      <c r="G275" s="3" t="s">
        <v>66</v>
      </c>
      <c r="H275" s="37">
        <v>21439.17</v>
      </c>
      <c r="I275" s="12">
        <v>0.05</v>
      </c>
      <c r="J275" s="37">
        <v>20367.211500000001</v>
      </c>
      <c r="K275" s="3">
        <v>5</v>
      </c>
      <c r="L275" s="61">
        <f>Table1[[#This Row],[Final_Unit_Price]]*Table1[[#This Row],[Quantity]]</f>
        <v>101836.05750000001</v>
      </c>
      <c r="M275" s="59">
        <v>15275.41</v>
      </c>
      <c r="N275" s="42">
        <v>45736</v>
      </c>
      <c r="O275" s="20" t="str">
        <f>TEXT(Table1[[#This Row],[Order_Date]],"mmm")</f>
        <v>Mar</v>
      </c>
      <c r="P275" s="20">
        <f t="shared" si="8"/>
        <v>2025</v>
      </c>
      <c r="Q275" s="46">
        <v>45746</v>
      </c>
      <c r="R275" s="20">
        <f>'Cleaned Data'!$Q275-'Cleaned Data'!$N275</f>
        <v>10</v>
      </c>
      <c r="S275" s="19" t="str">
        <f t="shared" si="9"/>
        <v>Summer</v>
      </c>
    </row>
    <row r="276" spans="1:19" x14ac:dyDescent="0.3">
      <c r="A276" s="13" t="s">
        <v>453</v>
      </c>
      <c r="B276" s="13" t="s">
        <v>23</v>
      </c>
      <c r="C276" s="5" t="s">
        <v>35</v>
      </c>
      <c r="D276" s="5" t="s">
        <v>46</v>
      </c>
      <c r="E276" s="5" t="s">
        <v>59</v>
      </c>
      <c r="F276" s="5" t="s">
        <v>61</v>
      </c>
      <c r="G276" s="5" t="s">
        <v>70</v>
      </c>
      <c r="H276" s="38">
        <v>29294.04</v>
      </c>
      <c r="I276" s="14">
        <v>0.15</v>
      </c>
      <c r="J276" s="38">
        <v>24899.934000000001</v>
      </c>
      <c r="K276" s="5">
        <v>5</v>
      </c>
      <c r="L276" s="62">
        <f>Table1[[#This Row],[Final_Unit_Price]]*Table1[[#This Row],[Quantity]]</f>
        <v>124499.67000000001</v>
      </c>
      <c r="M276" s="60">
        <v>43574.879999999997</v>
      </c>
      <c r="N276" s="43">
        <v>45379</v>
      </c>
      <c r="O276" s="18" t="str">
        <f>TEXT(Table1[[#This Row],[Order_Date]],"mmm")</f>
        <v>Mar</v>
      </c>
      <c r="P276" s="18">
        <f t="shared" si="8"/>
        <v>2024</v>
      </c>
      <c r="Q276" s="45">
        <v>45388</v>
      </c>
      <c r="R276" s="19">
        <f>'Cleaned Data'!$Q276-'Cleaned Data'!$N276</f>
        <v>9</v>
      </c>
      <c r="S276" s="19" t="str">
        <f t="shared" si="9"/>
        <v>Summer</v>
      </c>
    </row>
    <row r="277" spans="1:19" x14ac:dyDescent="0.3">
      <c r="A277" s="11" t="s">
        <v>454</v>
      </c>
      <c r="B277" s="11" t="s">
        <v>26</v>
      </c>
      <c r="C277" s="3" t="s">
        <v>32</v>
      </c>
      <c r="D277" s="3" t="s">
        <v>37</v>
      </c>
      <c r="E277" s="3" t="s">
        <v>59</v>
      </c>
      <c r="F277" s="3" t="s">
        <v>62</v>
      </c>
      <c r="G277" s="3" t="s">
        <v>67</v>
      </c>
      <c r="H277" s="37">
        <v>44836.51</v>
      </c>
      <c r="I277" s="12">
        <v>0.3</v>
      </c>
      <c r="J277" s="37">
        <v>31385.557000000001</v>
      </c>
      <c r="K277" s="3">
        <v>1</v>
      </c>
      <c r="L277" s="61">
        <f>Table1[[#This Row],[Final_Unit_Price]]*Table1[[#This Row],[Quantity]]</f>
        <v>31385.557000000001</v>
      </c>
      <c r="M277" s="59">
        <v>10984.95</v>
      </c>
      <c r="N277" s="42">
        <v>45831</v>
      </c>
      <c r="O277" s="20" t="str">
        <f>TEXT(Table1[[#This Row],[Order_Date]],"mmm")</f>
        <v>Jun</v>
      </c>
      <c r="P277" s="20">
        <f t="shared" si="8"/>
        <v>2025</v>
      </c>
      <c r="Q277" s="46">
        <v>45833</v>
      </c>
      <c r="R277" s="20">
        <f>'Cleaned Data'!$Q277-'Cleaned Data'!$N277</f>
        <v>2</v>
      </c>
      <c r="S277" s="19" t="str">
        <f t="shared" si="9"/>
        <v>Monsoon</v>
      </c>
    </row>
    <row r="278" spans="1:19" x14ac:dyDescent="0.3">
      <c r="A278" s="13" t="s">
        <v>455</v>
      </c>
      <c r="B278" s="13" t="s">
        <v>22</v>
      </c>
      <c r="C278" s="5" t="s">
        <v>31</v>
      </c>
      <c r="D278" s="5" t="s">
        <v>47</v>
      </c>
      <c r="E278" s="5" t="s">
        <v>59</v>
      </c>
      <c r="F278" s="5" t="s">
        <v>64</v>
      </c>
      <c r="G278" s="5" t="s">
        <v>72</v>
      </c>
      <c r="H278" s="38">
        <v>4449.13</v>
      </c>
      <c r="I278" s="14">
        <v>0</v>
      </c>
      <c r="J278" s="38">
        <v>4449.13</v>
      </c>
      <c r="K278" s="5">
        <v>4</v>
      </c>
      <c r="L278" s="62">
        <f>Table1[[#This Row],[Final_Unit_Price]]*Table1[[#This Row],[Quantity]]</f>
        <v>17796.52</v>
      </c>
      <c r="M278" s="60">
        <v>6228.78</v>
      </c>
      <c r="N278" s="43">
        <v>45383</v>
      </c>
      <c r="O278" s="18" t="str">
        <f>TEXT(Table1[[#This Row],[Order_Date]],"mmm")</f>
        <v>Apr</v>
      </c>
      <c r="P278" s="18">
        <f t="shared" si="8"/>
        <v>2024</v>
      </c>
      <c r="Q278" s="45">
        <v>45388</v>
      </c>
      <c r="R278" s="19">
        <f>'Cleaned Data'!$Q278-'Cleaned Data'!$N278</f>
        <v>5</v>
      </c>
      <c r="S278" s="19" t="str">
        <f t="shared" si="9"/>
        <v>Summer</v>
      </c>
    </row>
    <row r="279" spans="1:19" x14ac:dyDescent="0.3">
      <c r="A279" s="11" t="s">
        <v>456</v>
      </c>
      <c r="B279" s="11" t="s">
        <v>28</v>
      </c>
      <c r="C279" s="3" t="s">
        <v>34</v>
      </c>
      <c r="D279" s="3" t="s">
        <v>51</v>
      </c>
      <c r="E279" s="3" t="s">
        <v>59</v>
      </c>
      <c r="F279" s="3" t="s">
        <v>64</v>
      </c>
      <c r="G279" s="3" t="s">
        <v>74</v>
      </c>
      <c r="H279" s="37">
        <v>1990.95</v>
      </c>
      <c r="I279" s="12">
        <v>0.15</v>
      </c>
      <c r="J279" s="37">
        <v>1692.3074999999999</v>
      </c>
      <c r="K279" s="3">
        <v>5</v>
      </c>
      <c r="L279" s="61">
        <f>Table1[[#This Row],[Final_Unit_Price]]*Table1[[#This Row],[Quantity]]</f>
        <v>8461.5374999999985</v>
      </c>
      <c r="M279" s="59">
        <v>592.30999999999995</v>
      </c>
      <c r="N279" s="42">
        <v>45312</v>
      </c>
      <c r="O279" s="20" t="str">
        <f>TEXT(Table1[[#This Row],[Order_Date]],"mmm")</f>
        <v>Jan</v>
      </c>
      <c r="P279" s="20">
        <f t="shared" si="8"/>
        <v>2024</v>
      </c>
      <c r="Q279" s="46">
        <v>45321</v>
      </c>
      <c r="R279" s="20">
        <f>'Cleaned Data'!$Q279-'Cleaned Data'!$N279</f>
        <v>9</v>
      </c>
      <c r="S279" s="19" t="str">
        <f t="shared" si="9"/>
        <v>Winter</v>
      </c>
    </row>
    <row r="280" spans="1:19" x14ac:dyDescent="0.3">
      <c r="A280" s="13" t="s">
        <v>457</v>
      </c>
      <c r="B280" s="13" t="s">
        <v>25</v>
      </c>
      <c r="C280" s="5" t="s">
        <v>34</v>
      </c>
      <c r="D280" s="5" t="s">
        <v>45</v>
      </c>
      <c r="E280" s="5" t="s">
        <v>59</v>
      </c>
      <c r="F280" s="5" t="s">
        <v>63</v>
      </c>
      <c r="G280" s="5" t="s">
        <v>73</v>
      </c>
      <c r="H280" s="38">
        <v>894.94</v>
      </c>
      <c r="I280" s="14">
        <v>0.15</v>
      </c>
      <c r="J280" s="38">
        <v>760.69900000000007</v>
      </c>
      <c r="K280" s="5">
        <v>5</v>
      </c>
      <c r="L280" s="62">
        <f>Table1[[#This Row],[Final_Unit_Price]]*Table1[[#This Row],[Quantity]]</f>
        <v>3803.4950000000003</v>
      </c>
      <c r="M280" s="60">
        <v>1331.22</v>
      </c>
      <c r="N280" s="43">
        <v>45448</v>
      </c>
      <c r="O280" s="18" t="str">
        <f>TEXT(Table1[[#This Row],[Order_Date]],"mmm")</f>
        <v>Jun</v>
      </c>
      <c r="P280" s="18">
        <f t="shared" si="8"/>
        <v>2024</v>
      </c>
      <c r="Q280" s="45">
        <v>45450</v>
      </c>
      <c r="R280" s="19">
        <f>'Cleaned Data'!$Q280-'Cleaned Data'!$N280</f>
        <v>2</v>
      </c>
      <c r="S280" s="19" t="str">
        <f t="shared" si="9"/>
        <v>Monsoon</v>
      </c>
    </row>
    <row r="281" spans="1:19" x14ac:dyDescent="0.3">
      <c r="A281" s="11" t="s">
        <v>458</v>
      </c>
      <c r="B281" s="11" t="s">
        <v>23</v>
      </c>
      <c r="C281" s="3" t="s">
        <v>35</v>
      </c>
      <c r="D281" s="3" t="s">
        <v>38</v>
      </c>
      <c r="E281" s="3" t="s">
        <v>59</v>
      </c>
      <c r="F281" s="3" t="s">
        <v>63</v>
      </c>
      <c r="G281" s="3" t="s">
        <v>73</v>
      </c>
      <c r="H281" s="37">
        <v>28236.98</v>
      </c>
      <c r="I281" s="12">
        <v>0.2</v>
      </c>
      <c r="J281" s="37">
        <v>22589.583999999999</v>
      </c>
      <c r="K281" s="3">
        <v>2</v>
      </c>
      <c r="L281" s="61">
        <f>Table1[[#This Row],[Final_Unit_Price]]*Table1[[#This Row],[Quantity]]</f>
        <v>45179.167999999998</v>
      </c>
      <c r="M281" s="59">
        <v>15812.71</v>
      </c>
      <c r="N281" s="42">
        <v>45320</v>
      </c>
      <c r="O281" s="20" t="str">
        <f>TEXT(Table1[[#This Row],[Order_Date]],"mmm")</f>
        <v>Jan</v>
      </c>
      <c r="P281" s="20">
        <f t="shared" si="8"/>
        <v>2024</v>
      </c>
      <c r="Q281" s="46">
        <v>45326</v>
      </c>
      <c r="R281" s="20">
        <f>'Cleaned Data'!$Q281-'Cleaned Data'!$N281</f>
        <v>6</v>
      </c>
      <c r="S281" s="19" t="str">
        <f t="shared" si="9"/>
        <v>Winter</v>
      </c>
    </row>
    <row r="282" spans="1:19" x14ac:dyDescent="0.3">
      <c r="A282" s="13" t="s">
        <v>459</v>
      </c>
      <c r="B282" s="13" t="s">
        <v>22</v>
      </c>
      <c r="C282" s="5" t="s">
        <v>31</v>
      </c>
      <c r="D282" s="5" t="s">
        <v>42</v>
      </c>
      <c r="E282" s="5" t="s">
        <v>60</v>
      </c>
      <c r="F282" s="5" t="s">
        <v>63</v>
      </c>
      <c r="G282" s="5" t="s">
        <v>68</v>
      </c>
      <c r="H282" s="38">
        <v>2828.85</v>
      </c>
      <c r="I282" s="14">
        <v>0.25</v>
      </c>
      <c r="J282" s="38">
        <v>2121.6374999999998</v>
      </c>
      <c r="K282" s="5">
        <v>3</v>
      </c>
      <c r="L282" s="62">
        <f>Table1[[#This Row],[Final_Unit_Price]]*Table1[[#This Row],[Quantity]]</f>
        <v>6364.9124999999995</v>
      </c>
      <c r="M282" s="60">
        <v>954.74</v>
      </c>
      <c r="N282" s="43">
        <v>45745</v>
      </c>
      <c r="O282" s="18" t="str">
        <f>TEXT(Table1[[#This Row],[Order_Date]],"mmm")</f>
        <v>Mar</v>
      </c>
      <c r="P282" s="18">
        <f t="shared" si="8"/>
        <v>2025</v>
      </c>
      <c r="Q282" s="45">
        <v>45755</v>
      </c>
      <c r="R282" s="19">
        <f>'Cleaned Data'!$Q282-'Cleaned Data'!$N282</f>
        <v>10</v>
      </c>
      <c r="S282" s="19" t="str">
        <f t="shared" si="9"/>
        <v>Summer</v>
      </c>
    </row>
    <row r="283" spans="1:19" x14ac:dyDescent="0.3">
      <c r="A283" s="11" t="s">
        <v>460</v>
      </c>
      <c r="B283" s="11" t="s">
        <v>20</v>
      </c>
      <c r="C283" s="3" t="s">
        <v>32</v>
      </c>
      <c r="D283" s="3" t="s">
        <v>43</v>
      </c>
      <c r="E283" s="3" t="s">
        <v>58</v>
      </c>
      <c r="F283" s="3" t="s">
        <v>63</v>
      </c>
      <c r="G283" s="3" t="s">
        <v>68</v>
      </c>
      <c r="H283" s="37">
        <v>28927.67</v>
      </c>
      <c r="I283" s="12">
        <v>0</v>
      </c>
      <c r="J283" s="37">
        <v>28927.67</v>
      </c>
      <c r="K283" s="3">
        <v>2</v>
      </c>
      <c r="L283" s="61">
        <f>Table1[[#This Row],[Final_Unit_Price]]*Table1[[#This Row],[Quantity]]</f>
        <v>57855.34</v>
      </c>
      <c r="M283" s="59">
        <v>14463.83</v>
      </c>
      <c r="N283" s="42">
        <v>45822</v>
      </c>
      <c r="O283" s="20" t="str">
        <f>TEXT(Table1[[#This Row],[Order_Date]],"mmm")</f>
        <v>Jun</v>
      </c>
      <c r="P283" s="20">
        <f t="shared" si="8"/>
        <v>2025</v>
      </c>
      <c r="Q283" s="46">
        <v>45832</v>
      </c>
      <c r="R283" s="20">
        <f>'Cleaned Data'!$Q283-'Cleaned Data'!$N283</f>
        <v>10</v>
      </c>
      <c r="S283" s="19" t="str">
        <f t="shared" si="9"/>
        <v>Monsoon</v>
      </c>
    </row>
    <row r="284" spans="1:19" x14ac:dyDescent="0.3">
      <c r="A284" s="13" t="s">
        <v>461</v>
      </c>
      <c r="B284" s="13" t="s">
        <v>30</v>
      </c>
      <c r="C284" s="5" t="s">
        <v>33</v>
      </c>
      <c r="D284" s="5" t="s">
        <v>53</v>
      </c>
      <c r="E284" s="5" t="s">
        <v>58</v>
      </c>
      <c r="F284" s="5" t="s">
        <v>62</v>
      </c>
      <c r="G284" s="5" t="s">
        <v>66</v>
      </c>
      <c r="H284" s="38">
        <v>15376.6</v>
      </c>
      <c r="I284" s="14">
        <v>0.2</v>
      </c>
      <c r="J284" s="38">
        <v>12301.28</v>
      </c>
      <c r="K284" s="5">
        <v>1</v>
      </c>
      <c r="L284" s="62">
        <f>Table1[[#This Row],[Final_Unit_Price]]*Table1[[#This Row],[Quantity]]</f>
        <v>12301.28</v>
      </c>
      <c r="M284" s="60">
        <v>3075.32</v>
      </c>
      <c r="N284" s="43">
        <v>45740</v>
      </c>
      <c r="O284" s="18" t="str">
        <f>TEXT(Table1[[#This Row],[Order_Date]],"mmm")</f>
        <v>Mar</v>
      </c>
      <c r="P284" s="18">
        <f t="shared" si="8"/>
        <v>2025</v>
      </c>
      <c r="Q284" s="45">
        <v>45745</v>
      </c>
      <c r="R284" s="19">
        <f>'Cleaned Data'!$Q284-'Cleaned Data'!$N284</f>
        <v>5</v>
      </c>
      <c r="S284" s="19" t="str">
        <f t="shared" si="9"/>
        <v>Summer</v>
      </c>
    </row>
    <row r="285" spans="1:19" x14ac:dyDescent="0.3">
      <c r="A285" s="11" t="s">
        <v>462</v>
      </c>
      <c r="B285" s="11" t="s">
        <v>17</v>
      </c>
      <c r="C285" s="3" t="s">
        <v>32</v>
      </c>
      <c r="D285" s="3" t="s">
        <v>40</v>
      </c>
      <c r="E285" s="3" t="s">
        <v>59</v>
      </c>
      <c r="F285" s="3" t="s">
        <v>61</v>
      </c>
      <c r="G285" s="3" t="s">
        <v>65</v>
      </c>
      <c r="H285" s="37">
        <v>9085.09</v>
      </c>
      <c r="I285" s="12">
        <v>0</v>
      </c>
      <c r="J285" s="37">
        <v>9085.09</v>
      </c>
      <c r="K285" s="3">
        <v>4</v>
      </c>
      <c r="L285" s="61">
        <f>Table1[[#This Row],[Final_Unit_Price]]*Table1[[#This Row],[Quantity]]</f>
        <v>36340.36</v>
      </c>
      <c r="M285" s="59">
        <v>12719.13</v>
      </c>
      <c r="N285" s="42">
        <v>45663</v>
      </c>
      <c r="O285" s="20" t="str">
        <f>TEXT(Table1[[#This Row],[Order_Date]],"mmm")</f>
        <v>Jan</v>
      </c>
      <c r="P285" s="20">
        <f t="shared" si="8"/>
        <v>2025</v>
      </c>
      <c r="Q285" s="46">
        <v>45671</v>
      </c>
      <c r="R285" s="20">
        <f>'Cleaned Data'!$Q285-'Cleaned Data'!$N285</f>
        <v>8</v>
      </c>
      <c r="S285" s="19" t="str">
        <f t="shared" si="9"/>
        <v>Winter</v>
      </c>
    </row>
    <row r="286" spans="1:19" x14ac:dyDescent="0.3">
      <c r="A286" s="13" t="s">
        <v>463</v>
      </c>
      <c r="B286" s="13" t="s">
        <v>22</v>
      </c>
      <c r="C286" s="5" t="s">
        <v>31</v>
      </c>
      <c r="D286" s="5" t="s">
        <v>47</v>
      </c>
      <c r="E286" s="5" t="s">
        <v>59</v>
      </c>
      <c r="F286" s="5" t="s">
        <v>63</v>
      </c>
      <c r="G286" s="5" t="s">
        <v>73</v>
      </c>
      <c r="H286" s="38">
        <v>3980.67</v>
      </c>
      <c r="I286" s="14">
        <v>0.1</v>
      </c>
      <c r="J286" s="38">
        <v>3582.6030000000001</v>
      </c>
      <c r="K286" s="5">
        <v>3</v>
      </c>
      <c r="L286" s="62">
        <f>Table1[[#This Row],[Final_Unit_Price]]*Table1[[#This Row],[Quantity]]</f>
        <v>10747.809000000001</v>
      </c>
      <c r="M286" s="60">
        <v>3761.73</v>
      </c>
      <c r="N286" s="43">
        <v>45523</v>
      </c>
      <c r="O286" s="18" t="str">
        <f>TEXT(Table1[[#This Row],[Order_Date]],"mmm")</f>
        <v>Aug</v>
      </c>
      <c r="P286" s="18">
        <f t="shared" si="8"/>
        <v>2024</v>
      </c>
      <c r="Q286" s="45">
        <v>45530</v>
      </c>
      <c r="R286" s="19">
        <f>'Cleaned Data'!$Q286-'Cleaned Data'!$N286</f>
        <v>7</v>
      </c>
      <c r="S286" s="19" t="str">
        <f t="shared" si="9"/>
        <v>Monsoon</v>
      </c>
    </row>
    <row r="287" spans="1:19" x14ac:dyDescent="0.3">
      <c r="A287" s="11" t="s">
        <v>464</v>
      </c>
      <c r="B287" s="11" t="s">
        <v>21</v>
      </c>
      <c r="C287" s="3" t="s">
        <v>34</v>
      </c>
      <c r="D287" s="3" t="s">
        <v>49</v>
      </c>
      <c r="E287" s="3" t="s">
        <v>59</v>
      </c>
      <c r="F287" s="3" t="s">
        <v>62</v>
      </c>
      <c r="G287" s="3" t="s">
        <v>66</v>
      </c>
      <c r="H287" s="37">
        <v>3835.61</v>
      </c>
      <c r="I287" s="12">
        <v>0.25</v>
      </c>
      <c r="J287" s="37">
        <v>2876.7075</v>
      </c>
      <c r="K287" s="3">
        <v>4</v>
      </c>
      <c r="L287" s="61">
        <f>Table1[[#This Row],[Final_Unit_Price]]*Table1[[#This Row],[Quantity]]</f>
        <v>11506.83</v>
      </c>
      <c r="M287" s="59">
        <v>4027.39</v>
      </c>
      <c r="N287" s="42">
        <v>45379</v>
      </c>
      <c r="O287" s="20" t="str">
        <f>TEXT(Table1[[#This Row],[Order_Date]],"mmm")</f>
        <v>Mar</v>
      </c>
      <c r="P287" s="20">
        <f t="shared" si="8"/>
        <v>2024</v>
      </c>
      <c r="Q287" s="46">
        <v>45387</v>
      </c>
      <c r="R287" s="20">
        <f>'Cleaned Data'!$Q287-'Cleaned Data'!$N287</f>
        <v>8</v>
      </c>
      <c r="S287" s="19" t="str">
        <f t="shared" si="9"/>
        <v>Summer</v>
      </c>
    </row>
    <row r="288" spans="1:19" x14ac:dyDescent="0.3">
      <c r="A288" s="13" t="s">
        <v>465</v>
      </c>
      <c r="B288" s="13" t="s">
        <v>30</v>
      </c>
      <c r="C288" s="5" t="s">
        <v>33</v>
      </c>
      <c r="D288" s="5" t="s">
        <v>38</v>
      </c>
      <c r="E288" s="5" t="s">
        <v>59</v>
      </c>
      <c r="F288" s="5" t="s">
        <v>63</v>
      </c>
      <c r="G288" s="5" t="s">
        <v>73</v>
      </c>
      <c r="H288" s="38">
        <v>16478.43</v>
      </c>
      <c r="I288" s="14">
        <v>0.2</v>
      </c>
      <c r="J288" s="38">
        <v>13182.744000000001</v>
      </c>
      <c r="K288" s="5">
        <v>2</v>
      </c>
      <c r="L288" s="62">
        <f>Table1[[#This Row],[Final_Unit_Price]]*Table1[[#This Row],[Quantity]]</f>
        <v>26365.488000000001</v>
      </c>
      <c r="M288" s="60">
        <v>9227.92</v>
      </c>
      <c r="N288" s="43">
        <v>45561</v>
      </c>
      <c r="O288" s="18" t="str">
        <f>TEXT(Table1[[#This Row],[Order_Date]],"mmm")</f>
        <v>Sep</v>
      </c>
      <c r="P288" s="18">
        <f t="shared" si="8"/>
        <v>2024</v>
      </c>
      <c r="Q288" s="45">
        <v>45571</v>
      </c>
      <c r="R288" s="19">
        <f>'Cleaned Data'!$Q288-'Cleaned Data'!$N288</f>
        <v>10</v>
      </c>
      <c r="S288" s="19" t="str">
        <f t="shared" si="9"/>
        <v>Monsoon</v>
      </c>
    </row>
    <row r="289" spans="1:19" x14ac:dyDescent="0.3">
      <c r="A289" s="11" t="s">
        <v>466</v>
      </c>
      <c r="B289" s="11" t="s">
        <v>21</v>
      </c>
      <c r="C289" s="3" t="s">
        <v>34</v>
      </c>
      <c r="D289" s="3" t="s">
        <v>49</v>
      </c>
      <c r="E289" s="3" t="s">
        <v>59</v>
      </c>
      <c r="F289" s="3" t="s">
        <v>62</v>
      </c>
      <c r="G289" s="3" t="s">
        <v>67</v>
      </c>
      <c r="H289" s="37">
        <v>3764.99</v>
      </c>
      <c r="I289" s="12">
        <v>0.3</v>
      </c>
      <c r="J289" s="37">
        <v>2635.492999999999</v>
      </c>
      <c r="K289" s="3">
        <v>2</v>
      </c>
      <c r="L289" s="61">
        <f>Table1[[#This Row],[Final_Unit_Price]]*Table1[[#This Row],[Quantity]]</f>
        <v>5270.9859999999981</v>
      </c>
      <c r="M289" s="59">
        <v>1844.85</v>
      </c>
      <c r="N289" s="42">
        <v>45798</v>
      </c>
      <c r="O289" s="20" t="str">
        <f>TEXT(Table1[[#This Row],[Order_Date]],"mmm")</f>
        <v>May</v>
      </c>
      <c r="P289" s="20">
        <f t="shared" si="8"/>
        <v>2025</v>
      </c>
      <c r="Q289" s="46">
        <v>45806</v>
      </c>
      <c r="R289" s="20">
        <f>'Cleaned Data'!$Q289-'Cleaned Data'!$N289</f>
        <v>8</v>
      </c>
      <c r="S289" s="19" t="str">
        <f t="shared" si="9"/>
        <v>Summer</v>
      </c>
    </row>
    <row r="290" spans="1:19" x14ac:dyDescent="0.3">
      <c r="A290" s="13" t="s">
        <v>467</v>
      </c>
      <c r="B290" s="13" t="s">
        <v>29</v>
      </c>
      <c r="C290" s="5" t="s">
        <v>35</v>
      </c>
      <c r="D290" s="5" t="s">
        <v>44</v>
      </c>
      <c r="E290" s="5" t="s">
        <v>60</v>
      </c>
      <c r="F290" s="5" t="s">
        <v>62</v>
      </c>
      <c r="G290" s="5" t="s">
        <v>66</v>
      </c>
      <c r="H290" s="38">
        <v>15429.88</v>
      </c>
      <c r="I290" s="14">
        <v>0.1</v>
      </c>
      <c r="J290" s="38">
        <v>13886.892</v>
      </c>
      <c r="K290" s="5">
        <v>4</v>
      </c>
      <c r="L290" s="62">
        <f>Table1[[#This Row],[Final_Unit_Price]]*Table1[[#This Row],[Quantity]]</f>
        <v>55547.567999999999</v>
      </c>
      <c r="M290" s="60">
        <v>8332.14</v>
      </c>
      <c r="N290" s="43">
        <v>45472</v>
      </c>
      <c r="O290" s="18" t="str">
        <f>TEXT(Table1[[#This Row],[Order_Date]],"mmm")</f>
        <v>Jun</v>
      </c>
      <c r="P290" s="18">
        <f t="shared" si="8"/>
        <v>2024</v>
      </c>
      <c r="Q290" s="45">
        <v>45478</v>
      </c>
      <c r="R290" s="19">
        <f>'Cleaned Data'!$Q290-'Cleaned Data'!$N290</f>
        <v>6</v>
      </c>
      <c r="S290" s="19" t="str">
        <f t="shared" si="9"/>
        <v>Monsoon</v>
      </c>
    </row>
    <row r="291" spans="1:19" x14ac:dyDescent="0.3">
      <c r="A291" s="11" t="s">
        <v>468</v>
      </c>
      <c r="B291" s="11" t="s">
        <v>16</v>
      </c>
      <c r="C291" s="3" t="s">
        <v>31</v>
      </c>
      <c r="D291" s="3" t="s">
        <v>42</v>
      </c>
      <c r="E291" s="3" t="s">
        <v>60</v>
      </c>
      <c r="F291" s="3" t="s">
        <v>62</v>
      </c>
      <c r="G291" s="3" t="s">
        <v>66</v>
      </c>
      <c r="H291" s="37">
        <v>2288.29</v>
      </c>
      <c r="I291" s="12">
        <v>0.05</v>
      </c>
      <c r="J291" s="37">
        <v>2173.8755000000001</v>
      </c>
      <c r="K291" s="3">
        <v>4</v>
      </c>
      <c r="L291" s="61">
        <f>Table1[[#This Row],[Final_Unit_Price]]*Table1[[#This Row],[Quantity]]</f>
        <v>8695.5020000000004</v>
      </c>
      <c r="M291" s="59">
        <v>1304.33</v>
      </c>
      <c r="N291" s="42">
        <v>45382</v>
      </c>
      <c r="O291" s="20" t="str">
        <f>TEXT(Table1[[#This Row],[Order_Date]],"mmm")</f>
        <v>Mar</v>
      </c>
      <c r="P291" s="20">
        <f t="shared" si="8"/>
        <v>2024</v>
      </c>
      <c r="Q291" s="46">
        <v>45384</v>
      </c>
      <c r="R291" s="20">
        <f>'Cleaned Data'!$Q291-'Cleaned Data'!$N291</f>
        <v>2</v>
      </c>
      <c r="S291" s="19" t="str">
        <f t="shared" si="9"/>
        <v>Summer</v>
      </c>
    </row>
    <row r="292" spans="1:19" x14ac:dyDescent="0.3">
      <c r="A292" s="13" t="s">
        <v>469</v>
      </c>
      <c r="B292" s="13" t="s">
        <v>17</v>
      </c>
      <c r="C292" s="5" t="s">
        <v>32</v>
      </c>
      <c r="D292" s="5" t="s">
        <v>40</v>
      </c>
      <c r="E292" s="5" t="s">
        <v>59</v>
      </c>
      <c r="F292" s="5" t="s">
        <v>63</v>
      </c>
      <c r="G292" s="5" t="s">
        <v>68</v>
      </c>
      <c r="H292" s="38">
        <v>8953.66</v>
      </c>
      <c r="I292" s="14">
        <v>0</v>
      </c>
      <c r="J292" s="38">
        <v>8953.66</v>
      </c>
      <c r="K292" s="5">
        <v>3</v>
      </c>
      <c r="L292" s="62">
        <f>Table1[[#This Row],[Final_Unit_Price]]*Table1[[#This Row],[Quantity]]</f>
        <v>26860.98</v>
      </c>
      <c r="M292" s="60">
        <v>9401.34</v>
      </c>
      <c r="N292" s="43">
        <v>45738</v>
      </c>
      <c r="O292" s="18" t="str">
        <f>TEXT(Table1[[#This Row],[Order_Date]],"mmm")</f>
        <v>Mar</v>
      </c>
      <c r="P292" s="18">
        <f t="shared" si="8"/>
        <v>2025</v>
      </c>
      <c r="Q292" s="45">
        <v>45740</v>
      </c>
      <c r="R292" s="19">
        <f>'Cleaned Data'!$Q292-'Cleaned Data'!$N292</f>
        <v>2</v>
      </c>
      <c r="S292" s="19" t="str">
        <f t="shared" si="9"/>
        <v>Summer</v>
      </c>
    </row>
    <row r="293" spans="1:19" x14ac:dyDescent="0.3">
      <c r="A293" s="11" t="s">
        <v>470</v>
      </c>
      <c r="B293" s="11" t="s">
        <v>29</v>
      </c>
      <c r="C293" s="3" t="s">
        <v>35</v>
      </c>
      <c r="D293" s="3" t="s">
        <v>48</v>
      </c>
      <c r="E293" s="3" t="s">
        <v>58</v>
      </c>
      <c r="F293" s="3" t="s">
        <v>63</v>
      </c>
      <c r="G293" s="3" t="s">
        <v>75</v>
      </c>
      <c r="H293" s="37">
        <v>17449.080000000002</v>
      </c>
      <c r="I293" s="12">
        <v>0</v>
      </c>
      <c r="J293" s="37">
        <v>17449.080000000002</v>
      </c>
      <c r="K293" s="3">
        <v>3</v>
      </c>
      <c r="L293" s="61">
        <f>Table1[[#This Row],[Final_Unit_Price]]*Table1[[#This Row],[Quantity]]</f>
        <v>52347.240000000005</v>
      </c>
      <c r="M293" s="59">
        <v>13086.81</v>
      </c>
      <c r="N293" s="42">
        <v>45799</v>
      </c>
      <c r="O293" s="20" t="str">
        <f>TEXT(Table1[[#This Row],[Order_Date]],"mmm")</f>
        <v>May</v>
      </c>
      <c r="P293" s="20">
        <f t="shared" si="8"/>
        <v>2025</v>
      </c>
      <c r="Q293" s="46">
        <v>45803</v>
      </c>
      <c r="R293" s="20">
        <f>'Cleaned Data'!$Q293-'Cleaned Data'!$N293</f>
        <v>4</v>
      </c>
      <c r="S293" s="19" t="str">
        <f t="shared" si="9"/>
        <v>Summer</v>
      </c>
    </row>
    <row r="294" spans="1:19" x14ac:dyDescent="0.3">
      <c r="A294" s="13" t="s">
        <v>471</v>
      </c>
      <c r="B294" s="13" t="s">
        <v>20</v>
      </c>
      <c r="C294" s="5" t="s">
        <v>32</v>
      </c>
      <c r="D294" s="5" t="s">
        <v>54</v>
      </c>
      <c r="E294" s="5" t="s">
        <v>60</v>
      </c>
      <c r="F294" s="5" t="s">
        <v>64</v>
      </c>
      <c r="G294" s="5" t="s">
        <v>74</v>
      </c>
      <c r="H294" s="38">
        <v>27268.080000000002</v>
      </c>
      <c r="I294" s="14">
        <v>0.2</v>
      </c>
      <c r="J294" s="38">
        <v>21814.464</v>
      </c>
      <c r="K294" s="5">
        <v>4</v>
      </c>
      <c r="L294" s="62">
        <f>Table1[[#This Row],[Final_Unit_Price]]*Table1[[#This Row],[Quantity]]</f>
        <v>87257.856</v>
      </c>
      <c r="M294" s="60">
        <v>13088.68</v>
      </c>
      <c r="N294" s="43">
        <v>45569</v>
      </c>
      <c r="O294" s="18" t="str">
        <f>TEXT(Table1[[#This Row],[Order_Date]],"mmm")</f>
        <v>Oct</v>
      </c>
      <c r="P294" s="18">
        <f t="shared" si="8"/>
        <v>2024</v>
      </c>
      <c r="Q294" s="45">
        <v>45579</v>
      </c>
      <c r="R294" s="19">
        <f>'Cleaned Data'!$Q294-'Cleaned Data'!$N294</f>
        <v>10</v>
      </c>
      <c r="S294" s="19" t="str">
        <f t="shared" si="9"/>
        <v>Winter</v>
      </c>
    </row>
    <row r="295" spans="1:19" x14ac:dyDescent="0.3">
      <c r="A295" s="11" t="s">
        <v>472</v>
      </c>
      <c r="B295" s="11" t="s">
        <v>24</v>
      </c>
      <c r="C295" s="3" t="s">
        <v>32</v>
      </c>
      <c r="D295" s="3" t="s">
        <v>43</v>
      </c>
      <c r="E295" s="3" t="s">
        <v>58</v>
      </c>
      <c r="F295" s="3" t="s">
        <v>64</v>
      </c>
      <c r="G295" s="3" t="s">
        <v>74</v>
      </c>
      <c r="H295" s="37">
        <v>25970.86</v>
      </c>
      <c r="I295" s="12">
        <v>0.15</v>
      </c>
      <c r="J295" s="37">
        <v>22075.231</v>
      </c>
      <c r="K295" s="3">
        <v>3</v>
      </c>
      <c r="L295" s="61">
        <f>Table1[[#This Row],[Final_Unit_Price]]*Table1[[#This Row],[Quantity]]</f>
        <v>66225.692999999999</v>
      </c>
      <c r="M295" s="59">
        <v>16556.419999999998</v>
      </c>
      <c r="N295" s="42">
        <v>45405</v>
      </c>
      <c r="O295" s="20" t="str">
        <f>TEXT(Table1[[#This Row],[Order_Date]],"mmm")</f>
        <v>Apr</v>
      </c>
      <c r="P295" s="20">
        <f t="shared" si="8"/>
        <v>2024</v>
      </c>
      <c r="Q295" s="46">
        <v>45411</v>
      </c>
      <c r="R295" s="20">
        <f>'Cleaned Data'!$Q295-'Cleaned Data'!$N295</f>
        <v>6</v>
      </c>
      <c r="S295" s="19" t="str">
        <f t="shared" si="9"/>
        <v>Summer</v>
      </c>
    </row>
    <row r="296" spans="1:19" x14ac:dyDescent="0.3">
      <c r="A296" s="13" t="s">
        <v>473</v>
      </c>
      <c r="B296" s="13" t="s">
        <v>28</v>
      </c>
      <c r="C296" s="5" t="s">
        <v>34</v>
      </c>
      <c r="D296" s="5" t="s">
        <v>45</v>
      </c>
      <c r="E296" s="5" t="s">
        <v>59</v>
      </c>
      <c r="F296" s="5" t="s">
        <v>63</v>
      </c>
      <c r="G296" s="5" t="s">
        <v>68</v>
      </c>
      <c r="H296" s="38">
        <v>1688.53</v>
      </c>
      <c r="I296" s="14">
        <v>0.05</v>
      </c>
      <c r="J296" s="38">
        <v>1604.1034999999999</v>
      </c>
      <c r="K296" s="5">
        <v>3</v>
      </c>
      <c r="L296" s="62">
        <f>Table1[[#This Row],[Final_Unit_Price]]*Table1[[#This Row],[Quantity]]</f>
        <v>4812.3104999999996</v>
      </c>
      <c r="M296" s="60">
        <v>1684.31</v>
      </c>
      <c r="N296" s="43">
        <v>45755</v>
      </c>
      <c r="O296" s="18" t="str">
        <f>TEXT(Table1[[#This Row],[Order_Date]],"mmm")</f>
        <v>Apr</v>
      </c>
      <c r="P296" s="18">
        <f t="shared" si="8"/>
        <v>2025</v>
      </c>
      <c r="Q296" s="45">
        <v>45762</v>
      </c>
      <c r="R296" s="19">
        <f>'Cleaned Data'!$Q296-'Cleaned Data'!$N296</f>
        <v>7</v>
      </c>
      <c r="S296" s="19" t="str">
        <f t="shared" si="9"/>
        <v>Summer</v>
      </c>
    </row>
    <row r="297" spans="1:19" x14ac:dyDescent="0.3">
      <c r="A297" s="11" t="s">
        <v>474</v>
      </c>
      <c r="B297" s="11" t="s">
        <v>18</v>
      </c>
      <c r="C297" s="3" t="s">
        <v>33</v>
      </c>
      <c r="D297" s="3" t="s">
        <v>50</v>
      </c>
      <c r="E297" s="3" t="s">
        <v>59</v>
      </c>
      <c r="F297" s="3" t="s">
        <v>61</v>
      </c>
      <c r="G297" s="3" t="s">
        <v>71</v>
      </c>
      <c r="H297" s="37">
        <v>60686.06</v>
      </c>
      <c r="I297" s="12">
        <v>0.2</v>
      </c>
      <c r="J297" s="37">
        <v>48548.847999999998</v>
      </c>
      <c r="K297" s="3">
        <v>3</v>
      </c>
      <c r="L297" s="61">
        <f>Table1[[#This Row],[Final_Unit_Price]]*Table1[[#This Row],[Quantity]]</f>
        <v>145646.54399999999</v>
      </c>
      <c r="M297" s="59">
        <v>50976.29</v>
      </c>
      <c r="N297" s="42">
        <v>45581</v>
      </c>
      <c r="O297" s="20" t="str">
        <f>TEXT(Table1[[#This Row],[Order_Date]],"mmm")</f>
        <v>Oct</v>
      </c>
      <c r="P297" s="20">
        <f t="shared" si="8"/>
        <v>2024</v>
      </c>
      <c r="Q297" s="46">
        <v>45583</v>
      </c>
      <c r="R297" s="20">
        <f>'Cleaned Data'!$Q297-'Cleaned Data'!$N297</f>
        <v>2</v>
      </c>
      <c r="S297" s="19" t="str">
        <f t="shared" si="9"/>
        <v>Winter</v>
      </c>
    </row>
    <row r="298" spans="1:19" x14ac:dyDescent="0.3">
      <c r="A298" s="13" t="s">
        <v>475</v>
      </c>
      <c r="B298" s="13" t="s">
        <v>26</v>
      </c>
      <c r="C298" s="5" t="s">
        <v>32</v>
      </c>
      <c r="D298" s="5" t="s">
        <v>37</v>
      </c>
      <c r="E298" s="5" t="s">
        <v>59</v>
      </c>
      <c r="F298" s="5" t="s">
        <v>61</v>
      </c>
      <c r="G298" s="5" t="s">
        <v>71</v>
      </c>
      <c r="H298" s="38">
        <v>41388.1</v>
      </c>
      <c r="I298" s="14">
        <v>0.25</v>
      </c>
      <c r="J298" s="38">
        <v>31041.075000000001</v>
      </c>
      <c r="K298" s="5">
        <v>1</v>
      </c>
      <c r="L298" s="62">
        <f>Table1[[#This Row],[Final_Unit_Price]]*Table1[[#This Row],[Quantity]]</f>
        <v>31041.075000000001</v>
      </c>
      <c r="M298" s="60">
        <v>10864.37</v>
      </c>
      <c r="N298" s="43">
        <v>45669</v>
      </c>
      <c r="O298" s="18" t="str">
        <f>TEXT(Table1[[#This Row],[Order_Date]],"mmm")</f>
        <v>Jan</v>
      </c>
      <c r="P298" s="18">
        <f t="shared" si="8"/>
        <v>2025</v>
      </c>
      <c r="Q298" s="45">
        <v>45676</v>
      </c>
      <c r="R298" s="19">
        <f>'Cleaned Data'!$Q298-'Cleaned Data'!$N298</f>
        <v>7</v>
      </c>
      <c r="S298" s="19" t="str">
        <f t="shared" si="9"/>
        <v>Winter</v>
      </c>
    </row>
    <row r="299" spans="1:19" x14ac:dyDescent="0.3">
      <c r="A299" s="11" t="s">
        <v>476</v>
      </c>
      <c r="B299" s="11" t="s">
        <v>23</v>
      </c>
      <c r="C299" s="3" t="s">
        <v>35</v>
      </c>
      <c r="D299" s="3" t="s">
        <v>38</v>
      </c>
      <c r="E299" s="3" t="s">
        <v>59</v>
      </c>
      <c r="F299" s="3" t="s">
        <v>62</v>
      </c>
      <c r="G299" s="3" t="s">
        <v>66</v>
      </c>
      <c r="H299" s="37">
        <v>31200.560000000001</v>
      </c>
      <c r="I299" s="12">
        <v>0.1</v>
      </c>
      <c r="J299" s="37">
        <v>28080.504000000001</v>
      </c>
      <c r="K299" s="3">
        <v>3</v>
      </c>
      <c r="L299" s="61">
        <f>Table1[[#This Row],[Final_Unit_Price]]*Table1[[#This Row],[Quantity]]</f>
        <v>84241.512000000002</v>
      </c>
      <c r="M299" s="59">
        <v>29484.53</v>
      </c>
      <c r="N299" s="42">
        <v>45595</v>
      </c>
      <c r="O299" s="20" t="str">
        <f>TEXT(Table1[[#This Row],[Order_Date]],"mmm")</f>
        <v>Oct</v>
      </c>
      <c r="P299" s="20">
        <f t="shared" si="8"/>
        <v>2024</v>
      </c>
      <c r="Q299" s="46">
        <v>45599</v>
      </c>
      <c r="R299" s="20">
        <f>'Cleaned Data'!$Q299-'Cleaned Data'!$N299</f>
        <v>4</v>
      </c>
      <c r="S299" s="19" t="str">
        <f t="shared" si="9"/>
        <v>Winter</v>
      </c>
    </row>
    <row r="300" spans="1:19" x14ac:dyDescent="0.3">
      <c r="A300" s="13" t="s">
        <v>477</v>
      </c>
      <c r="B300" s="13" t="s">
        <v>28</v>
      </c>
      <c r="C300" s="5" t="s">
        <v>34</v>
      </c>
      <c r="D300" s="5" t="s">
        <v>41</v>
      </c>
      <c r="E300" s="5" t="s">
        <v>60</v>
      </c>
      <c r="F300" s="5" t="s">
        <v>62</v>
      </c>
      <c r="G300" s="5" t="s">
        <v>66</v>
      </c>
      <c r="H300" s="38">
        <v>1375.91</v>
      </c>
      <c r="I300" s="14">
        <v>0.05</v>
      </c>
      <c r="J300" s="38">
        <v>1307.1144999999999</v>
      </c>
      <c r="K300" s="5">
        <v>3</v>
      </c>
      <c r="L300" s="62">
        <f>Table1[[#This Row],[Final_Unit_Price]]*Table1[[#This Row],[Quantity]]</f>
        <v>3921.3434999999999</v>
      </c>
      <c r="M300" s="60">
        <v>588.20000000000005</v>
      </c>
      <c r="N300" s="43">
        <v>45805</v>
      </c>
      <c r="O300" s="18" t="str">
        <f>TEXT(Table1[[#This Row],[Order_Date]],"mmm")</f>
        <v>May</v>
      </c>
      <c r="P300" s="18">
        <f t="shared" si="8"/>
        <v>2025</v>
      </c>
      <c r="Q300" s="45">
        <v>45812</v>
      </c>
      <c r="R300" s="19">
        <f>'Cleaned Data'!$Q300-'Cleaned Data'!$N300</f>
        <v>7</v>
      </c>
      <c r="S300" s="19" t="str">
        <f t="shared" si="9"/>
        <v>Summer</v>
      </c>
    </row>
    <row r="301" spans="1:19" x14ac:dyDescent="0.3">
      <c r="A301" s="11" t="s">
        <v>478</v>
      </c>
      <c r="B301" s="11" t="s">
        <v>21</v>
      </c>
      <c r="C301" s="3" t="s">
        <v>34</v>
      </c>
      <c r="D301" s="3" t="s">
        <v>41</v>
      </c>
      <c r="E301" s="3" t="s">
        <v>60</v>
      </c>
      <c r="F301" s="3" t="s">
        <v>61</v>
      </c>
      <c r="G301" s="3" t="s">
        <v>70</v>
      </c>
      <c r="H301" s="37">
        <v>2421.87</v>
      </c>
      <c r="I301" s="12">
        <v>0.25</v>
      </c>
      <c r="J301" s="37">
        <v>1816.4024999999999</v>
      </c>
      <c r="K301" s="3">
        <v>1</v>
      </c>
      <c r="L301" s="61">
        <f>Table1[[#This Row],[Final_Unit_Price]]*Table1[[#This Row],[Quantity]]</f>
        <v>1816.4024999999999</v>
      </c>
      <c r="M301" s="59">
        <v>272.45999999999998</v>
      </c>
      <c r="N301" s="42">
        <v>45513</v>
      </c>
      <c r="O301" s="20" t="str">
        <f>TEXT(Table1[[#This Row],[Order_Date]],"mmm")</f>
        <v>Aug</v>
      </c>
      <c r="P301" s="20">
        <f t="shared" si="8"/>
        <v>2024</v>
      </c>
      <c r="Q301" s="46">
        <v>45523</v>
      </c>
      <c r="R301" s="20">
        <f>'Cleaned Data'!$Q301-'Cleaned Data'!$N301</f>
        <v>10</v>
      </c>
      <c r="S301" s="19" t="str">
        <f t="shared" si="9"/>
        <v>Monsoon</v>
      </c>
    </row>
    <row r="302" spans="1:19" x14ac:dyDescent="0.3">
      <c r="A302" s="13" t="s">
        <v>479</v>
      </c>
      <c r="B302" s="13" t="s">
        <v>24</v>
      </c>
      <c r="C302" s="5" t="s">
        <v>32</v>
      </c>
      <c r="D302" s="5" t="s">
        <v>54</v>
      </c>
      <c r="E302" s="5" t="s">
        <v>60</v>
      </c>
      <c r="F302" s="5" t="s">
        <v>62</v>
      </c>
      <c r="G302" s="5" t="s">
        <v>67</v>
      </c>
      <c r="H302" s="38">
        <v>22942.240000000002</v>
      </c>
      <c r="I302" s="14">
        <v>0.2</v>
      </c>
      <c r="J302" s="38">
        <v>18353.792000000001</v>
      </c>
      <c r="K302" s="5">
        <v>3</v>
      </c>
      <c r="L302" s="62">
        <f>Table1[[#This Row],[Final_Unit_Price]]*Table1[[#This Row],[Quantity]]</f>
        <v>55061.376000000004</v>
      </c>
      <c r="M302" s="60">
        <v>8259.2099999999991</v>
      </c>
      <c r="N302" s="43">
        <v>45704</v>
      </c>
      <c r="O302" s="18" t="str">
        <f>TEXT(Table1[[#This Row],[Order_Date]],"mmm")</f>
        <v>Feb</v>
      </c>
      <c r="P302" s="18">
        <f t="shared" si="8"/>
        <v>2025</v>
      </c>
      <c r="Q302" s="45">
        <v>45712</v>
      </c>
      <c r="R302" s="19">
        <f>'Cleaned Data'!$Q302-'Cleaned Data'!$N302</f>
        <v>8</v>
      </c>
      <c r="S302" s="19" t="str">
        <f t="shared" si="9"/>
        <v>Summer</v>
      </c>
    </row>
    <row r="303" spans="1:19" x14ac:dyDescent="0.3">
      <c r="A303" s="11" t="s">
        <v>480</v>
      </c>
      <c r="B303" s="11" t="s">
        <v>26</v>
      </c>
      <c r="C303" s="3" t="s">
        <v>32</v>
      </c>
      <c r="D303" s="3" t="s">
        <v>40</v>
      </c>
      <c r="E303" s="3" t="s">
        <v>59</v>
      </c>
      <c r="F303" s="3" t="s">
        <v>64</v>
      </c>
      <c r="G303" s="3" t="s">
        <v>76</v>
      </c>
      <c r="H303" s="37">
        <v>46549.51</v>
      </c>
      <c r="I303" s="12">
        <v>0</v>
      </c>
      <c r="J303" s="37">
        <v>46549.51</v>
      </c>
      <c r="K303" s="3">
        <v>4</v>
      </c>
      <c r="L303" s="61">
        <f>Table1[[#This Row],[Final_Unit_Price]]*Table1[[#This Row],[Quantity]]</f>
        <v>186198.04</v>
      </c>
      <c r="M303" s="59">
        <v>65169.31</v>
      </c>
      <c r="N303" s="42">
        <v>45847</v>
      </c>
      <c r="O303" s="20" t="str">
        <f>TEXT(Table1[[#This Row],[Order_Date]],"mmm")</f>
        <v>Jul</v>
      </c>
      <c r="P303" s="20">
        <f t="shared" si="8"/>
        <v>2025</v>
      </c>
      <c r="Q303" s="46">
        <v>45849</v>
      </c>
      <c r="R303" s="20">
        <f>'Cleaned Data'!$Q303-'Cleaned Data'!$N303</f>
        <v>2</v>
      </c>
      <c r="S303" s="19" t="str">
        <f t="shared" si="9"/>
        <v>Monsoon</v>
      </c>
    </row>
    <row r="304" spans="1:19" x14ac:dyDescent="0.3">
      <c r="A304" s="13" t="s">
        <v>481</v>
      </c>
      <c r="B304" s="13" t="s">
        <v>29</v>
      </c>
      <c r="C304" s="5" t="s">
        <v>35</v>
      </c>
      <c r="D304" s="5" t="s">
        <v>44</v>
      </c>
      <c r="E304" s="5" t="s">
        <v>60</v>
      </c>
      <c r="F304" s="5" t="s">
        <v>61</v>
      </c>
      <c r="G304" s="5" t="s">
        <v>71</v>
      </c>
      <c r="H304" s="38">
        <v>14893.94</v>
      </c>
      <c r="I304" s="14">
        <v>0.05</v>
      </c>
      <c r="J304" s="38">
        <v>14149.243</v>
      </c>
      <c r="K304" s="5">
        <v>5</v>
      </c>
      <c r="L304" s="62">
        <f>Table1[[#This Row],[Final_Unit_Price]]*Table1[[#This Row],[Quantity]]</f>
        <v>70746.214999999997</v>
      </c>
      <c r="M304" s="60">
        <v>10611.93</v>
      </c>
      <c r="N304" s="43">
        <v>45740</v>
      </c>
      <c r="O304" s="18" t="str">
        <f>TEXT(Table1[[#This Row],[Order_Date]],"mmm")</f>
        <v>Mar</v>
      </c>
      <c r="P304" s="18">
        <f t="shared" si="8"/>
        <v>2025</v>
      </c>
      <c r="Q304" s="45">
        <v>45743</v>
      </c>
      <c r="R304" s="19">
        <f>'Cleaned Data'!$Q304-'Cleaned Data'!$N304</f>
        <v>3</v>
      </c>
      <c r="S304" s="19" t="str">
        <f t="shared" si="9"/>
        <v>Summer</v>
      </c>
    </row>
    <row r="305" spans="1:19" x14ac:dyDescent="0.3">
      <c r="A305" s="11" t="s">
        <v>482</v>
      </c>
      <c r="B305" s="11" t="s">
        <v>19</v>
      </c>
      <c r="C305" s="3" t="s">
        <v>33</v>
      </c>
      <c r="D305" s="3" t="s">
        <v>39</v>
      </c>
      <c r="E305" s="3" t="s">
        <v>58</v>
      </c>
      <c r="F305" s="3" t="s">
        <v>64</v>
      </c>
      <c r="G305" s="3" t="s">
        <v>72</v>
      </c>
      <c r="H305" s="37">
        <v>2105.71</v>
      </c>
      <c r="I305" s="12">
        <v>0.05</v>
      </c>
      <c r="J305" s="37">
        <v>2000.4245000000001</v>
      </c>
      <c r="K305" s="3">
        <v>1</v>
      </c>
      <c r="L305" s="61">
        <f>Table1[[#This Row],[Final_Unit_Price]]*Table1[[#This Row],[Quantity]]</f>
        <v>2000.4245000000001</v>
      </c>
      <c r="M305" s="59">
        <v>500.11</v>
      </c>
      <c r="N305" s="42">
        <v>45815</v>
      </c>
      <c r="O305" s="20" t="str">
        <f>TEXT(Table1[[#This Row],[Order_Date]],"mmm")</f>
        <v>Jun</v>
      </c>
      <c r="P305" s="20">
        <f t="shared" si="8"/>
        <v>2025</v>
      </c>
      <c r="Q305" s="46">
        <v>45824</v>
      </c>
      <c r="R305" s="20">
        <f>'Cleaned Data'!$Q305-'Cleaned Data'!$N305</f>
        <v>9</v>
      </c>
      <c r="S305" s="19" t="str">
        <f t="shared" si="9"/>
        <v>Monsoon</v>
      </c>
    </row>
    <row r="306" spans="1:19" x14ac:dyDescent="0.3">
      <c r="A306" s="13" t="s">
        <v>483</v>
      </c>
      <c r="B306" s="13" t="s">
        <v>18</v>
      </c>
      <c r="C306" s="5" t="s">
        <v>33</v>
      </c>
      <c r="D306" s="5" t="s">
        <v>53</v>
      </c>
      <c r="E306" s="5" t="s">
        <v>58</v>
      </c>
      <c r="F306" s="5" t="s">
        <v>63</v>
      </c>
      <c r="G306" s="5" t="s">
        <v>73</v>
      </c>
      <c r="H306" s="38">
        <v>47220.59</v>
      </c>
      <c r="I306" s="14">
        <v>0.3</v>
      </c>
      <c r="J306" s="38">
        <v>33054.412999999993</v>
      </c>
      <c r="K306" s="5">
        <v>4</v>
      </c>
      <c r="L306" s="62">
        <f>Table1[[#This Row],[Final_Unit_Price]]*Table1[[#This Row],[Quantity]]</f>
        <v>132217.65199999997</v>
      </c>
      <c r="M306" s="60">
        <v>33054.410000000003</v>
      </c>
      <c r="N306" s="43">
        <v>45309</v>
      </c>
      <c r="O306" s="18" t="str">
        <f>TEXT(Table1[[#This Row],[Order_Date]],"mmm")</f>
        <v>Jan</v>
      </c>
      <c r="P306" s="18">
        <f t="shared" si="8"/>
        <v>2024</v>
      </c>
      <c r="Q306" s="45">
        <v>45311</v>
      </c>
      <c r="R306" s="19">
        <f>'Cleaned Data'!$Q306-'Cleaned Data'!$N306</f>
        <v>2</v>
      </c>
      <c r="S306" s="19" t="str">
        <f t="shared" si="9"/>
        <v>Winter</v>
      </c>
    </row>
    <row r="307" spans="1:19" x14ac:dyDescent="0.3">
      <c r="A307" s="11" t="s">
        <v>484</v>
      </c>
      <c r="B307" s="11" t="s">
        <v>19</v>
      </c>
      <c r="C307" s="3" t="s">
        <v>33</v>
      </c>
      <c r="D307" s="3" t="s">
        <v>56</v>
      </c>
      <c r="E307" s="3" t="s">
        <v>60</v>
      </c>
      <c r="F307" s="3" t="s">
        <v>61</v>
      </c>
      <c r="G307" s="3" t="s">
        <v>71</v>
      </c>
      <c r="H307" s="37">
        <v>1587.47</v>
      </c>
      <c r="I307" s="12">
        <v>0.05</v>
      </c>
      <c r="J307" s="37">
        <v>1508.0965000000001</v>
      </c>
      <c r="K307" s="3">
        <v>1</v>
      </c>
      <c r="L307" s="61">
        <f>Table1[[#This Row],[Final_Unit_Price]]*Table1[[#This Row],[Quantity]]</f>
        <v>1508.0965000000001</v>
      </c>
      <c r="M307" s="59">
        <v>226.21</v>
      </c>
      <c r="N307" s="42">
        <v>45844</v>
      </c>
      <c r="O307" s="20" t="str">
        <f>TEXT(Table1[[#This Row],[Order_Date]],"mmm")</f>
        <v>Jul</v>
      </c>
      <c r="P307" s="20">
        <f t="shared" si="8"/>
        <v>2025</v>
      </c>
      <c r="Q307" s="46">
        <v>45846</v>
      </c>
      <c r="R307" s="20">
        <f>'Cleaned Data'!$Q307-'Cleaned Data'!$N307</f>
        <v>2</v>
      </c>
      <c r="S307" s="19" t="str">
        <f t="shared" si="9"/>
        <v>Monsoon</v>
      </c>
    </row>
    <row r="308" spans="1:19" x14ac:dyDescent="0.3">
      <c r="A308" s="13" t="s">
        <v>485</v>
      </c>
      <c r="B308" s="13" t="s">
        <v>19</v>
      </c>
      <c r="C308" s="5" t="s">
        <v>33</v>
      </c>
      <c r="D308" s="5" t="s">
        <v>50</v>
      </c>
      <c r="E308" s="5" t="s">
        <v>59</v>
      </c>
      <c r="F308" s="5" t="s">
        <v>63</v>
      </c>
      <c r="G308" s="5" t="s">
        <v>75</v>
      </c>
      <c r="H308" s="38">
        <v>2296.5500000000002</v>
      </c>
      <c r="I308" s="14">
        <v>0.15</v>
      </c>
      <c r="J308" s="38">
        <v>1952.0675000000001</v>
      </c>
      <c r="K308" s="5">
        <v>4</v>
      </c>
      <c r="L308" s="62">
        <f>Table1[[#This Row],[Final_Unit_Price]]*Table1[[#This Row],[Quantity]]</f>
        <v>7808.27</v>
      </c>
      <c r="M308" s="60">
        <v>2732.89</v>
      </c>
      <c r="N308" s="43">
        <v>45530</v>
      </c>
      <c r="O308" s="18" t="str">
        <f>TEXT(Table1[[#This Row],[Order_Date]],"mmm")</f>
        <v>Aug</v>
      </c>
      <c r="P308" s="18">
        <f t="shared" si="8"/>
        <v>2024</v>
      </c>
      <c r="Q308" s="45">
        <v>45536</v>
      </c>
      <c r="R308" s="19">
        <f>'Cleaned Data'!$Q308-'Cleaned Data'!$N308</f>
        <v>6</v>
      </c>
      <c r="S308" s="19" t="str">
        <f t="shared" si="9"/>
        <v>Monsoon</v>
      </c>
    </row>
    <row r="309" spans="1:19" x14ac:dyDescent="0.3">
      <c r="A309" s="11" t="s">
        <v>486</v>
      </c>
      <c r="B309" s="11" t="s">
        <v>23</v>
      </c>
      <c r="C309" s="3" t="s">
        <v>35</v>
      </c>
      <c r="D309" s="3" t="s">
        <v>44</v>
      </c>
      <c r="E309" s="3" t="s">
        <v>60</v>
      </c>
      <c r="F309" s="3" t="s">
        <v>64</v>
      </c>
      <c r="G309" s="3" t="s">
        <v>76</v>
      </c>
      <c r="H309" s="37">
        <v>23182.3</v>
      </c>
      <c r="I309" s="12">
        <v>0.1</v>
      </c>
      <c r="J309" s="37">
        <v>20864.07</v>
      </c>
      <c r="K309" s="3">
        <v>1</v>
      </c>
      <c r="L309" s="61">
        <f>Table1[[#This Row],[Final_Unit_Price]]*Table1[[#This Row],[Quantity]]</f>
        <v>20864.07</v>
      </c>
      <c r="M309" s="59">
        <v>3129.61</v>
      </c>
      <c r="N309" s="42">
        <v>45507</v>
      </c>
      <c r="O309" s="20" t="str">
        <f>TEXT(Table1[[#This Row],[Order_Date]],"mmm")</f>
        <v>Aug</v>
      </c>
      <c r="P309" s="20">
        <f t="shared" si="8"/>
        <v>2024</v>
      </c>
      <c r="Q309" s="46">
        <v>45516</v>
      </c>
      <c r="R309" s="20">
        <f>'Cleaned Data'!$Q309-'Cleaned Data'!$N309</f>
        <v>9</v>
      </c>
      <c r="S309" s="19" t="str">
        <f t="shared" si="9"/>
        <v>Monsoon</v>
      </c>
    </row>
    <row r="310" spans="1:19" x14ac:dyDescent="0.3">
      <c r="A310" s="13" t="s">
        <v>487</v>
      </c>
      <c r="B310" s="13" t="s">
        <v>24</v>
      </c>
      <c r="C310" s="5" t="s">
        <v>32</v>
      </c>
      <c r="D310" s="5" t="s">
        <v>54</v>
      </c>
      <c r="E310" s="5" t="s">
        <v>60</v>
      </c>
      <c r="F310" s="5" t="s">
        <v>61</v>
      </c>
      <c r="G310" s="5" t="s">
        <v>71</v>
      </c>
      <c r="H310" s="38">
        <v>20384.439999999999</v>
      </c>
      <c r="I310" s="14">
        <v>0.2</v>
      </c>
      <c r="J310" s="38">
        <v>16307.552</v>
      </c>
      <c r="K310" s="5">
        <v>5</v>
      </c>
      <c r="L310" s="62">
        <f>Table1[[#This Row],[Final_Unit_Price]]*Table1[[#This Row],[Quantity]]</f>
        <v>81537.759999999995</v>
      </c>
      <c r="M310" s="60">
        <v>12230.66</v>
      </c>
      <c r="N310" s="43">
        <v>45703</v>
      </c>
      <c r="O310" s="18" t="str">
        <f>TEXT(Table1[[#This Row],[Order_Date]],"mmm")</f>
        <v>Feb</v>
      </c>
      <c r="P310" s="18">
        <f t="shared" si="8"/>
        <v>2025</v>
      </c>
      <c r="Q310" s="45">
        <v>45705</v>
      </c>
      <c r="R310" s="19">
        <f>'Cleaned Data'!$Q310-'Cleaned Data'!$N310</f>
        <v>2</v>
      </c>
      <c r="S310" s="19" t="str">
        <f t="shared" si="9"/>
        <v>Summer</v>
      </c>
    </row>
    <row r="311" spans="1:19" x14ac:dyDescent="0.3">
      <c r="A311" s="11" t="s">
        <v>488</v>
      </c>
      <c r="B311" s="11" t="s">
        <v>21</v>
      </c>
      <c r="C311" s="3" t="s">
        <v>34</v>
      </c>
      <c r="D311" s="3" t="s">
        <v>41</v>
      </c>
      <c r="E311" s="3" t="s">
        <v>60</v>
      </c>
      <c r="F311" s="3" t="s">
        <v>62</v>
      </c>
      <c r="G311" s="3" t="s">
        <v>66</v>
      </c>
      <c r="H311" s="37">
        <v>2671.48</v>
      </c>
      <c r="I311" s="12">
        <v>0.05</v>
      </c>
      <c r="J311" s="37">
        <v>2537.9059999999999</v>
      </c>
      <c r="K311" s="3">
        <v>2</v>
      </c>
      <c r="L311" s="61">
        <f>Table1[[#This Row],[Final_Unit_Price]]*Table1[[#This Row],[Quantity]]</f>
        <v>5075.8119999999999</v>
      </c>
      <c r="M311" s="59">
        <v>761.37</v>
      </c>
      <c r="N311" s="42">
        <v>45782</v>
      </c>
      <c r="O311" s="20" t="str">
        <f>TEXT(Table1[[#This Row],[Order_Date]],"mmm")</f>
        <v>May</v>
      </c>
      <c r="P311" s="20">
        <f t="shared" si="8"/>
        <v>2025</v>
      </c>
      <c r="Q311" s="46">
        <v>45789</v>
      </c>
      <c r="R311" s="20">
        <f>'Cleaned Data'!$Q311-'Cleaned Data'!$N311</f>
        <v>7</v>
      </c>
      <c r="S311" s="19" t="str">
        <f t="shared" si="9"/>
        <v>Summer</v>
      </c>
    </row>
    <row r="312" spans="1:19" x14ac:dyDescent="0.3">
      <c r="A312" s="13" t="s">
        <v>489</v>
      </c>
      <c r="B312" s="13" t="s">
        <v>16</v>
      </c>
      <c r="C312" s="5" t="s">
        <v>31</v>
      </c>
      <c r="D312" s="5" t="s">
        <v>42</v>
      </c>
      <c r="E312" s="5" t="s">
        <v>60</v>
      </c>
      <c r="F312" s="5" t="s">
        <v>64</v>
      </c>
      <c r="G312" s="5" t="s">
        <v>74</v>
      </c>
      <c r="H312" s="38">
        <v>2367.77</v>
      </c>
      <c r="I312" s="14">
        <v>0.25</v>
      </c>
      <c r="J312" s="38">
        <v>1775.8275000000001</v>
      </c>
      <c r="K312" s="5">
        <v>5</v>
      </c>
      <c r="L312" s="62">
        <f>Table1[[#This Row],[Final_Unit_Price]]*Table1[[#This Row],[Quantity]]</f>
        <v>8879.1375000000007</v>
      </c>
      <c r="M312" s="60">
        <v>532.75</v>
      </c>
      <c r="N312" s="43">
        <v>45462</v>
      </c>
      <c r="O312" s="18" t="str">
        <f>TEXT(Table1[[#This Row],[Order_Date]],"mmm")</f>
        <v>Jun</v>
      </c>
      <c r="P312" s="18">
        <f t="shared" si="8"/>
        <v>2024</v>
      </c>
      <c r="Q312" s="45">
        <v>45467</v>
      </c>
      <c r="R312" s="19">
        <f>'Cleaned Data'!$Q312-'Cleaned Data'!$N312</f>
        <v>5</v>
      </c>
      <c r="S312" s="19" t="str">
        <f t="shared" si="9"/>
        <v>Monsoon</v>
      </c>
    </row>
    <row r="313" spans="1:19" x14ac:dyDescent="0.3">
      <c r="A313" s="11" t="s">
        <v>490</v>
      </c>
      <c r="B313" s="11" t="s">
        <v>27</v>
      </c>
      <c r="C313" s="3" t="s">
        <v>35</v>
      </c>
      <c r="D313" s="3" t="s">
        <v>44</v>
      </c>
      <c r="E313" s="3" t="s">
        <v>60</v>
      </c>
      <c r="F313" s="3" t="s">
        <v>62</v>
      </c>
      <c r="G313" s="3" t="s">
        <v>67</v>
      </c>
      <c r="H313" s="37">
        <v>7028.47</v>
      </c>
      <c r="I313" s="12">
        <v>0.25</v>
      </c>
      <c r="J313" s="37">
        <v>5271.3525</v>
      </c>
      <c r="K313" s="3">
        <v>1</v>
      </c>
      <c r="L313" s="61">
        <f>Table1[[#This Row],[Final_Unit_Price]]*Table1[[#This Row],[Quantity]]</f>
        <v>5271.3525</v>
      </c>
      <c r="M313" s="59">
        <v>790.7</v>
      </c>
      <c r="N313" s="42">
        <v>45656</v>
      </c>
      <c r="O313" s="20" t="str">
        <f>TEXT(Table1[[#This Row],[Order_Date]],"mmm")</f>
        <v>Dec</v>
      </c>
      <c r="P313" s="20">
        <f t="shared" si="8"/>
        <v>2024</v>
      </c>
      <c r="Q313" s="46">
        <v>45661</v>
      </c>
      <c r="R313" s="20">
        <f>'Cleaned Data'!$Q313-'Cleaned Data'!$N313</f>
        <v>5</v>
      </c>
      <c r="S313" s="19" t="str">
        <f t="shared" si="9"/>
        <v>Winter</v>
      </c>
    </row>
    <row r="314" spans="1:19" x14ac:dyDescent="0.3">
      <c r="A314" s="13" t="s">
        <v>491</v>
      </c>
      <c r="B314" s="13" t="s">
        <v>16</v>
      </c>
      <c r="C314" s="5" t="s">
        <v>31</v>
      </c>
      <c r="D314" s="5" t="s">
        <v>47</v>
      </c>
      <c r="E314" s="5" t="s">
        <v>59</v>
      </c>
      <c r="F314" s="5" t="s">
        <v>64</v>
      </c>
      <c r="G314" s="5" t="s">
        <v>74</v>
      </c>
      <c r="H314" s="38">
        <v>3317.34</v>
      </c>
      <c r="I314" s="14">
        <v>0.2</v>
      </c>
      <c r="J314" s="38">
        <v>2653.8719999999998</v>
      </c>
      <c r="K314" s="5">
        <v>2</v>
      </c>
      <c r="L314" s="62">
        <f>Table1[[#This Row],[Final_Unit_Price]]*Table1[[#This Row],[Quantity]]</f>
        <v>5307.7439999999997</v>
      </c>
      <c r="M314" s="60">
        <v>1857.71</v>
      </c>
      <c r="N314" s="43">
        <v>45358</v>
      </c>
      <c r="O314" s="18" t="str">
        <f>TEXT(Table1[[#This Row],[Order_Date]],"mmm")</f>
        <v>Mar</v>
      </c>
      <c r="P314" s="18">
        <f t="shared" si="8"/>
        <v>2024</v>
      </c>
      <c r="Q314" s="45">
        <v>45361</v>
      </c>
      <c r="R314" s="19">
        <f>'Cleaned Data'!$Q314-'Cleaned Data'!$N314</f>
        <v>3</v>
      </c>
      <c r="S314" s="19" t="str">
        <f t="shared" si="9"/>
        <v>Summer</v>
      </c>
    </row>
    <row r="315" spans="1:19" x14ac:dyDescent="0.3">
      <c r="A315" s="11" t="s">
        <v>492</v>
      </c>
      <c r="B315" s="11" t="s">
        <v>26</v>
      </c>
      <c r="C315" s="3" t="s">
        <v>32</v>
      </c>
      <c r="D315" s="3" t="s">
        <v>40</v>
      </c>
      <c r="E315" s="3" t="s">
        <v>59</v>
      </c>
      <c r="F315" s="3" t="s">
        <v>61</v>
      </c>
      <c r="G315" s="3" t="s">
        <v>70</v>
      </c>
      <c r="H315" s="37">
        <v>41692.14</v>
      </c>
      <c r="I315" s="12">
        <v>0.3</v>
      </c>
      <c r="J315" s="37">
        <v>29184.498</v>
      </c>
      <c r="K315" s="3">
        <v>2</v>
      </c>
      <c r="L315" s="61">
        <f>Table1[[#This Row],[Final_Unit_Price]]*Table1[[#This Row],[Quantity]]</f>
        <v>58368.995999999999</v>
      </c>
      <c r="M315" s="59">
        <v>20429.150000000001</v>
      </c>
      <c r="N315" s="42">
        <v>45397</v>
      </c>
      <c r="O315" s="20" t="str">
        <f>TEXT(Table1[[#This Row],[Order_Date]],"mmm")</f>
        <v>Apr</v>
      </c>
      <c r="P315" s="20">
        <f t="shared" si="8"/>
        <v>2024</v>
      </c>
      <c r="Q315" s="46">
        <v>45401</v>
      </c>
      <c r="R315" s="20">
        <f>'Cleaned Data'!$Q315-'Cleaned Data'!$N315</f>
        <v>4</v>
      </c>
      <c r="S315" s="19" t="str">
        <f t="shared" si="9"/>
        <v>Summer</v>
      </c>
    </row>
    <row r="316" spans="1:19" x14ac:dyDescent="0.3">
      <c r="A316" s="13" t="s">
        <v>493</v>
      </c>
      <c r="B316" s="13" t="s">
        <v>28</v>
      </c>
      <c r="C316" s="5" t="s">
        <v>34</v>
      </c>
      <c r="D316" s="5" t="s">
        <v>52</v>
      </c>
      <c r="E316" s="5" t="s">
        <v>60</v>
      </c>
      <c r="F316" s="5" t="s">
        <v>61</v>
      </c>
      <c r="G316" s="5" t="s">
        <v>65</v>
      </c>
      <c r="H316" s="38">
        <v>1235.08</v>
      </c>
      <c r="I316" s="14">
        <v>0.1</v>
      </c>
      <c r="J316" s="38">
        <v>1111.5719999999999</v>
      </c>
      <c r="K316" s="5">
        <v>1</v>
      </c>
      <c r="L316" s="62">
        <f>Table1[[#This Row],[Final_Unit_Price]]*Table1[[#This Row],[Quantity]]</f>
        <v>1111.5719999999999</v>
      </c>
      <c r="M316" s="60">
        <v>166.74</v>
      </c>
      <c r="N316" s="43">
        <v>45701</v>
      </c>
      <c r="O316" s="18" t="str">
        <f>TEXT(Table1[[#This Row],[Order_Date]],"mmm")</f>
        <v>Feb</v>
      </c>
      <c r="P316" s="18">
        <f t="shared" si="8"/>
        <v>2025</v>
      </c>
      <c r="Q316" s="45">
        <v>45707</v>
      </c>
      <c r="R316" s="19">
        <f>'Cleaned Data'!$Q316-'Cleaned Data'!$N316</f>
        <v>6</v>
      </c>
      <c r="S316" s="19" t="str">
        <f t="shared" si="9"/>
        <v>Summer</v>
      </c>
    </row>
    <row r="317" spans="1:19" x14ac:dyDescent="0.3">
      <c r="A317" s="11" t="s">
        <v>494</v>
      </c>
      <c r="B317" s="11" t="s">
        <v>24</v>
      </c>
      <c r="C317" s="3" t="s">
        <v>32</v>
      </c>
      <c r="D317" s="3" t="s">
        <v>54</v>
      </c>
      <c r="E317" s="3" t="s">
        <v>60</v>
      </c>
      <c r="F317" s="3" t="s">
        <v>63</v>
      </c>
      <c r="G317" s="3" t="s">
        <v>75</v>
      </c>
      <c r="H317" s="37">
        <v>19473.990000000002</v>
      </c>
      <c r="I317" s="12">
        <v>0.05</v>
      </c>
      <c r="J317" s="37">
        <v>18500.290499999999</v>
      </c>
      <c r="K317" s="3">
        <v>2</v>
      </c>
      <c r="L317" s="61">
        <f>Table1[[#This Row],[Final_Unit_Price]]*Table1[[#This Row],[Quantity]]</f>
        <v>37000.580999999998</v>
      </c>
      <c r="M317" s="59">
        <v>5550.09</v>
      </c>
      <c r="N317" s="42">
        <v>45709</v>
      </c>
      <c r="O317" s="20" t="str">
        <f>TEXT(Table1[[#This Row],[Order_Date]],"mmm")</f>
        <v>Feb</v>
      </c>
      <c r="P317" s="20">
        <f t="shared" si="8"/>
        <v>2025</v>
      </c>
      <c r="Q317" s="46">
        <v>45715</v>
      </c>
      <c r="R317" s="20">
        <f>'Cleaned Data'!$Q317-'Cleaned Data'!$N317</f>
        <v>6</v>
      </c>
      <c r="S317" s="19" t="str">
        <f t="shared" si="9"/>
        <v>Summer</v>
      </c>
    </row>
    <row r="318" spans="1:19" x14ac:dyDescent="0.3">
      <c r="A318" s="13" t="s">
        <v>495</v>
      </c>
      <c r="B318" s="13" t="s">
        <v>23</v>
      </c>
      <c r="C318" s="5" t="s">
        <v>35</v>
      </c>
      <c r="D318" s="5" t="s">
        <v>38</v>
      </c>
      <c r="E318" s="5" t="s">
        <v>59</v>
      </c>
      <c r="F318" s="5" t="s">
        <v>64</v>
      </c>
      <c r="G318" s="5" t="s">
        <v>74</v>
      </c>
      <c r="H318" s="38">
        <v>32229.45</v>
      </c>
      <c r="I318" s="14">
        <v>0.1</v>
      </c>
      <c r="J318" s="38">
        <v>29006.505000000001</v>
      </c>
      <c r="K318" s="5">
        <v>3</v>
      </c>
      <c r="L318" s="62">
        <f>Table1[[#This Row],[Final_Unit_Price]]*Table1[[#This Row],[Quantity]]</f>
        <v>87019.514999999999</v>
      </c>
      <c r="M318" s="60">
        <v>30456.83</v>
      </c>
      <c r="N318" s="43">
        <v>45579</v>
      </c>
      <c r="O318" s="18" t="str">
        <f>TEXT(Table1[[#This Row],[Order_Date]],"mmm")</f>
        <v>Oct</v>
      </c>
      <c r="P318" s="18">
        <f t="shared" si="8"/>
        <v>2024</v>
      </c>
      <c r="Q318" s="45">
        <v>45587</v>
      </c>
      <c r="R318" s="19">
        <f>'Cleaned Data'!$Q318-'Cleaned Data'!$N318</f>
        <v>8</v>
      </c>
      <c r="S318" s="19" t="str">
        <f t="shared" si="9"/>
        <v>Winter</v>
      </c>
    </row>
    <row r="319" spans="1:19" x14ac:dyDescent="0.3">
      <c r="A319" s="11" t="s">
        <v>496</v>
      </c>
      <c r="B319" s="11" t="s">
        <v>27</v>
      </c>
      <c r="C319" s="3" t="s">
        <v>35</v>
      </c>
      <c r="D319" s="3" t="s">
        <v>44</v>
      </c>
      <c r="E319" s="3" t="s">
        <v>60</v>
      </c>
      <c r="F319" s="3" t="s">
        <v>61</v>
      </c>
      <c r="G319" s="3" t="s">
        <v>70</v>
      </c>
      <c r="H319" s="37">
        <v>6472.25</v>
      </c>
      <c r="I319" s="12">
        <v>0.2</v>
      </c>
      <c r="J319" s="37">
        <v>5177.8</v>
      </c>
      <c r="K319" s="3">
        <v>4</v>
      </c>
      <c r="L319" s="61">
        <f>Table1[[#This Row],[Final_Unit_Price]]*Table1[[#This Row],[Quantity]]</f>
        <v>20711.2</v>
      </c>
      <c r="M319" s="59">
        <v>3106.68</v>
      </c>
      <c r="N319" s="42">
        <v>45415</v>
      </c>
      <c r="O319" s="20" t="str">
        <f>TEXT(Table1[[#This Row],[Order_Date]],"mmm")</f>
        <v>May</v>
      </c>
      <c r="P319" s="20">
        <f t="shared" si="8"/>
        <v>2024</v>
      </c>
      <c r="Q319" s="46">
        <v>45425</v>
      </c>
      <c r="R319" s="20">
        <f>'Cleaned Data'!$Q319-'Cleaned Data'!$N319</f>
        <v>10</v>
      </c>
      <c r="S319" s="19" t="str">
        <f t="shared" si="9"/>
        <v>Summer</v>
      </c>
    </row>
    <row r="320" spans="1:19" x14ac:dyDescent="0.3">
      <c r="A320" s="13" t="s">
        <v>497</v>
      </c>
      <c r="B320" s="13" t="s">
        <v>26</v>
      </c>
      <c r="C320" s="5" t="s">
        <v>32</v>
      </c>
      <c r="D320" s="5" t="s">
        <v>43</v>
      </c>
      <c r="E320" s="5" t="s">
        <v>58</v>
      </c>
      <c r="F320" s="5" t="s">
        <v>63</v>
      </c>
      <c r="G320" s="5" t="s">
        <v>75</v>
      </c>
      <c r="H320" s="38">
        <v>34580.129999999997</v>
      </c>
      <c r="I320" s="14">
        <v>0</v>
      </c>
      <c r="J320" s="38">
        <v>34580.129999999997</v>
      </c>
      <c r="K320" s="5">
        <v>2</v>
      </c>
      <c r="L320" s="62">
        <f>Table1[[#This Row],[Final_Unit_Price]]*Table1[[#This Row],[Quantity]]</f>
        <v>69160.259999999995</v>
      </c>
      <c r="M320" s="60">
        <v>17290.060000000001</v>
      </c>
      <c r="N320" s="43">
        <v>45586</v>
      </c>
      <c r="O320" s="18" t="str">
        <f>TEXT(Table1[[#This Row],[Order_Date]],"mmm")</f>
        <v>Oct</v>
      </c>
      <c r="P320" s="18">
        <f t="shared" si="8"/>
        <v>2024</v>
      </c>
      <c r="Q320" s="45">
        <v>45591</v>
      </c>
      <c r="R320" s="19">
        <f>'Cleaned Data'!$Q320-'Cleaned Data'!$N320</f>
        <v>5</v>
      </c>
      <c r="S320" s="19" t="str">
        <f t="shared" si="9"/>
        <v>Winter</v>
      </c>
    </row>
    <row r="321" spans="1:19" x14ac:dyDescent="0.3">
      <c r="A321" s="11" t="s">
        <v>498</v>
      </c>
      <c r="B321" s="11" t="s">
        <v>17</v>
      </c>
      <c r="C321" s="3" t="s">
        <v>32</v>
      </c>
      <c r="D321" s="3" t="s">
        <v>43</v>
      </c>
      <c r="E321" s="3" t="s">
        <v>58</v>
      </c>
      <c r="F321" s="3" t="s">
        <v>61</v>
      </c>
      <c r="G321" s="3" t="s">
        <v>65</v>
      </c>
      <c r="H321" s="37">
        <v>7575.31</v>
      </c>
      <c r="I321" s="12">
        <v>0.2</v>
      </c>
      <c r="J321" s="37">
        <v>6060.2480000000014</v>
      </c>
      <c r="K321" s="3">
        <v>3</v>
      </c>
      <c r="L321" s="61">
        <f>Table1[[#This Row],[Final_Unit_Price]]*Table1[[#This Row],[Quantity]]</f>
        <v>18180.744000000006</v>
      </c>
      <c r="M321" s="59">
        <v>4545.1899999999996</v>
      </c>
      <c r="N321" s="42">
        <v>45734</v>
      </c>
      <c r="O321" s="20" t="str">
        <f>TEXT(Table1[[#This Row],[Order_Date]],"mmm")</f>
        <v>Mar</v>
      </c>
      <c r="P321" s="20">
        <f t="shared" si="8"/>
        <v>2025</v>
      </c>
      <c r="Q321" s="46">
        <v>45739</v>
      </c>
      <c r="R321" s="20">
        <f>'Cleaned Data'!$Q321-'Cleaned Data'!$N321</f>
        <v>5</v>
      </c>
      <c r="S321" s="19" t="str">
        <f t="shared" si="9"/>
        <v>Summer</v>
      </c>
    </row>
    <row r="322" spans="1:19" x14ac:dyDescent="0.3">
      <c r="A322" s="13" t="s">
        <v>499</v>
      </c>
      <c r="B322" s="13" t="s">
        <v>20</v>
      </c>
      <c r="C322" s="5" t="s">
        <v>32</v>
      </c>
      <c r="D322" s="5" t="s">
        <v>40</v>
      </c>
      <c r="E322" s="5" t="s">
        <v>59</v>
      </c>
      <c r="F322" s="5" t="s">
        <v>64</v>
      </c>
      <c r="G322" s="5" t="s">
        <v>76</v>
      </c>
      <c r="H322" s="38">
        <v>37528.31</v>
      </c>
      <c r="I322" s="14">
        <v>0.3</v>
      </c>
      <c r="J322" s="38">
        <v>26269.816999999999</v>
      </c>
      <c r="K322" s="5">
        <v>4</v>
      </c>
      <c r="L322" s="62">
        <f>Table1[[#This Row],[Final_Unit_Price]]*Table1[[#This Row],[Quantity]]</f>
        <v>105079.268</v>
      </c>
      <c r="M322" s="60">
        <v>36777.74</v>
      </c>
      <c r="N322" s="43">
        <v>45307</v>
      </c>
      <c r="O322" s="18" t="str">
        <f>TEXT(Table1[[#This Row],[Order_Date]],"mmm")</f>
        <v>Jan</v>
      </c>
      <c r="P322" s="18">
        <f t="shared" si="8"/>
        <v>2024</v>
      </c>
      <c r="Q322" s="45">
        <v>45316</v>
      </c>
      <c r="R322" s="19">
        <f>'Cleaned Data'!$Q322-'Cleaned Data'!$N322</f>
        <v>9</v>
      </c>
      <c r="S322" s="19" t="str">
        <f t="shared" si="9"/>
        <v>Winter</v>
      </c>
    </row>
    <row r="323" spans="1:19" x14ac:dyDescent="0.3">
      <c r="A323" s="11" t="s">
        <v>500</v>
      </c>
      <c r="B323" s="11" t="s">
        <v>25</v>
      </c>
      <c r="C323" s="3" t="s">
        <v>34</v>
      </c>
      <c r="D323" s="3" t="s">
        <v>45</v>
      </c>
      <c r="E323" s="3" t="s">
        <v>59</v>
      </c>
      <c r="F323" s="3" t="s">
        <v>64</v>
      </c>
      <c r="G323" s="3" t="s">
        <v>76</v>
      </c>
      <c r="H323" s="37">
        <v>1064.52</v>
      </c>
      <c r="I323" s="12">
        <v>0</v>
      </c>
      <c r="J323" s="37">
        <v>1064.52</v>
      </c>
      <c r="K323" s="3">
        <v>5</v>
      </c>
      <c r="L323" s="61">
        <f>Table1[[#This Row],[Final_Unit_Price]]*Table1[[#This Row],[Quantity]]</f>
        <v>5322.6</v>
      </c>
      <c r="M323" s="59">
        <v>1862.91</v>
      </c>
      <c r="N323" s="42">
        <v>45521</v>
      </c>
      <c r="O323" s="20" t="str">
        <f>TEXT(Table1[[#This Row],[Order_Date]],"mmm")</f>
        <v>Aug</v>
      </c>
      <c r="P323" s="20">
        <f t="shared" ref="P323:P386" si="10">YEAR(N323)</f>
        <v>2024</v>
      </c>
      <c r="Q323" s="46">
        <v>45526</v>
      </c>
      <c r="R323" s="20">
        <f>'Cleaned Data'!$Q323-'Cleaned Data'!$N323</f>
        <v>5</v>
      </c>
      <c r="S323" s="19" t="str">
        <f t="shared" ref="S323:S386" si="11">IF(OR(O323="Feb",O323="Mar",O323="Apr",O323="May"),"Summer",
   IF(OR(O323="Jun",O323="Jul",O323="Aug",O323="Sep"),"Monsoon",
   IF(OR(O323="Oct",O323="Nov",O323="Dec",O323= "Jan"),"Winter","Invalid")))</f>
        <v>Monsoon</v>
      </c>
    </row>
    <row r="324" spans="1:19" x14ac:dyDescent="0.3">
      <c r="A324" s="13" t="s">
        <v>501</v>
      </c>
      <c r="B324" s="13" t="s">
        <v>24</v>
      </c>
      <c r="C324" s="5" t="s">
        <v>32</v>
      </c>
      <c r="D324" s="5" t="s">
        <v>54</v>
      </c>
      <c r="E324" s="5" t="s">
        <v>60</v>
      </c>
      <c r="F324" s="5" t="s">
        <v>61</v>
      </c>
      <c r="G324" s="5" t="s">
        <v>71</v>
      </c>
      <c r="H324" s="38">
        <v>20114.689999999999</v>
      </c>
      <c r="I324" s="14">
        <v>0.05</v>
      </c>
      <c r="J324" s="38">
        <v>19108.9555</v>
      </c>
      <c r="K324" s="5">
        <v>4</v>
      </c>
      <c r="L324" s="62">
        <f>Table1[[#This Row],[Final_Unit_Price]]*Table1[[#This Row],[Quantity]]</f>
        <v>76435.822</v>
      </c>
      <c r="M324" s="60">
        <v>11465.37</v>
      </c>
      <c r="N324" s="43">
        <v>45508</v>
      </c>
      <c r="O324" s="18" t="str">
        <f>TEXT(Table1[[#This Row],[Order_Date]],"mmm")</f>
        <v>Aug</v>
      </c>
      <c r="P324" s="18">
        <f t="shared" si="10"/>
        <v>2024</v>
      </c>
      <c r="Q324" s="45">
        <v>45514</v>
      </c>
      <c r="R324" s="19">
        <f>'Cleaned Data'!$Q324-'Cleaned Data'!$N324</f>
        <v>6</v>
      </c>
      <c r="S324" s="19" t="str">
        <f t="shared" si="11"/>
        <v>Monsoon</v>
      </c>
    </row>
    <row r="325" spans="1:19" x14ac:dyDescent="0.3">
      <c r="A325" s="11" t="s">
        <v>502</v>
      </c>
      <c r="B325" s="11" t="s">
        <v>28</v>
      </c>
      <c r="C325" s="3" t="s">
        <v>34</v>
      </c>
      <c r="D325" s="3" t="s">
        <v>52</v>
      </c>
      <c r="E325" s="3" t="s">
        <v>60</v>
      </c>
      <c r="F325" s="3" t="s">
        <v>61</v>
      </c>
      <c r="G325" s="3" t="s">
        <v>65</v>
      </c>
      <c r="H325" s="37">
        <v>1287.6199999999999</v>
      </c>
      <c r="I325" s="12">
        <v>0.15</v>
      </c>
      <c r="J325" s="37">
        <v>1094.4770000000001</v>
      </c>
      <c r="K325" s="3">
        <v>9</v>
      </c>
      <c r="L325" s="61">
        <f>Table1[[#This Row],[Final_Unit_Price]]*Table1[[#This Row],[Quantity]]</f>
        <v>9850.2930000000015</v>
      </c>
      <c r="M325" s="59">
        <v>820.86</v>
      </c>
      <c r="N325" s="42">
        <v>45627</v>
      </c>
      <c r="O325" s="20" t="str">
        <f>TEXT(Table1[[#This Row],[Order_Date]],"mmm")</f>
        <v>Dec</v>
      </c>
      <c r="P325" s="20">
        <f t="shared" si="10"/>
        <v>2024</v>
      </c>
      <c r="Q325" s="46">
        <v>45632</v>
      </c>
      <c r="R325" s="20">
        <f>'Cleaned Data'!$Q325-'Cleaned Data'!$N325</f>
        <v>5</v>
      </c>
      <c r="S325" s="19" t="str">
        <f t="shared" si="11"/>
        <v>Winter</v>
      </c>
    </row>
    <row r="326" spans="1:19" x14ac:dyDescent="0.3">
      <c r="A326" s="13" t="s">
        <v>503</v>
      </c>
      <c r="B326" s="13" t="s">
        <v>25</v>
      </c>
      <c r="C326" s="5" t="s">
        <v>34</v>
      </c>
      <c r="D326" s="5" t="s">
        <v>51</v>
      </c>
      <c r="E326" s="5" t="s">
        <v>59</v>
      </c>
      <c r="F326" s="5" t="s">
        <v>64</v>
      </c>
      <c r="G326" s="5" t="s">
        <v>72</v>
      </c>
      <c r="H326" s="38">
        <v>1053.3</v>
      </c>
      <c r="I326" s="14">
        <v>0.3</v>
      </c>
      <c r="J326" s="38">
        <v>737.31</v>
      </c>
      <c r="K326" s="5">
        <v>4</v>
      </c>
      <c r="L326" s="62">
        <f>Table1[[#This Row],[Final_Unit_Price]]*Table1[[#This Row],[Quantity]]</f>
        <v>2949.24</v>
      </c>
      <c r="M326" s="60">
        <v>1032.23</v>
      </c>
      <c r="N326" s="43">
        <v>45789</v>
      </c>
      <c r="O326" s="18" t="str">
        <f>TEXT(Table1[[#This Row],[Order_Date]],"mmm")</f>
        <v>May</v>
      </c>
      <c r="P326" s="18">
        <f t="shared" si="10"/>
        <v>2025</v>
      </c>
      <c r="Q326" s="45">
        <v>45791</v>
      </c>
      <c r="R326" s="19">
        <f>'Cleaned Data'!$Q326-'Cleaned Data'!$N326</f>
        <v>2</v>
      </c>
      <c r="S326" s="19" t="str">
        <f t="shared" si="11"/>
        <v>Summer</v>
      </c>
    </row>
    <row r="327" spans="1:19" x14ac:dyDescent="0.3">
      <c r="A327" s="11" t="s">
        <v>504</v>
      </c>
      <c r="B327" s="11" t="s">
        <v>24</v>
      </c>
      <c r="C327" s="3" t="s">
        <v>32</v>
      </c>
      <c r="D327" s="3" t="s">
        <v>40</v>
      </c>
      <c r="E327" s="3" t="s">
        <v>59</v>
      </c>
      <c r="F327" s="3" t="s">
        <v>61</v>
      </c>
      <c r="G327" s="3" t="s">
        <v>65</v>
      </c>
      <c r="H327" s="37">
        <v>28222.09</v>
      </c>
      <c r="I327" s="12">
        <v>0.1</v>
      </c>
      <c r="J327" s="37">
        <v>25399.881000000001</v>
      </c>
      <c r="K327" s="3">
        <v>4</v>
      </c>
      <c r="L327" s="61">
        <f>Table1[[#This Row],[Final_Unit_Price]]*Table1[[#This Row],[Quantity]]</f>
        <v>101599.524</v>
      </c>
      <c r="M327" s="59">
        <v>35559.83</v>
      </c>
      <c r="N327" s="42">
        <v>45536</v>
      </c>
      <c r="O327" s="20" t="str">
        <f>TEXT(Table1[[#This Row],[Order_Date]],"mmm")</f>
        <v>Sep</v>
      </c>
      <c r="P327" s="20">
        <f t="shared" si="10"/>
        <v>2024</v>
      </c>
      <c r="Q327" s="46">
        <v>45545</v>
      </c>
      <c r="R327" s="20">
        <f>'Cleaned Data'!$Q327-'Cleaned Data'!$N327</f>
        <v>9</v>
      </c>
      <c r="S327" s="19" t="str">
        <f t="shared" si="11"/>
        <v>Monsoon</v>
      </c>
    </row>
    <row r="328" spans="1:19" x14ac:dyDescent="0.3">
      <c r="A328" s="13" t="s">
        <v>505</v>
      </c>
      <c r="B328" s="13" t="s">
        <v>18</v>
      </c>
      <c r="C328" s="5" t="s">
        <v>33</v>
      </c>
      <c r="D328" s="5" t="s">
        <v>38</v>
      </c>
      <c r="E328" s="5" t="s">
        <v>59</v>
      </c>
      <c r="F328" s="5" t="s">
        <v>62</v>
      </c>
      <c r="G328" s="5" t="s">
        <v>66</v>
      </c>
      <c r="H328" s="38">
        <v>61921.86</v>
      </c>
      <c r="I328" s="14">
        <v>0.3</v>
      </c>
      <c r="J328" s="38">
        <v>43345.302000000003</v>
      </c>
      <c r="K328" s="5">
        <v>2</v>
      </c>
      <c r="L328" s="62">
        <f>Table1[[#This Row],[Final_Unit_Price]]*Table1[[#This Row],[Quantity]]</f>
        <v>86690.604000000007</v>
      </c>
      <c r="M328" s="60">
        <v>30341.71</v>
      </c>
      <c r="N328" s="43">
        <v>45594</v>
      </c>
      <c r="O328" s="18" t="str">
        <f>TEXT(Table1[[#This Row],[Order_Date]],"mmm")</f>
        <v>Oct</v>
      </c>
      <c r="P328" s="18">
        <f t="shared" si="10"/>
        <v>2024</v>
      </c>
      <c r="Q328" s="45">
        <v>45604</v>
      </c>
      <c r="R328" s="19">
        <f>'Cleaned Data'!$Q328-'Cleaned Data'!$N328</f>
        <v>10</v>
      </c>
      <c r="S328" s="19" t="str">
        <f t="shared" si="11"/>
        <v>Winter</v>
      </c>
    </row>
    <row r="329" spans="1:19" x14ac:dyDescent="0.3">
      <c r="A329" s="11" t="s">
        <v>506</v>
      </c>
      <c r="B329" s="11" t="s">
        <v>30</v>
      </c>
      <c r="C329" s="3" t="s">
        <v>33</v>
      </c>
      <c r="D329" s="3" t="s">
        <v>57</v>
      </c>
      <c r="E329" s="3" t="s">
        <v>60</v>
      </c>
      <c r="F329" s="3" t="s">
        <v>62</v>
      </c>
      <c r="G329" s="3" t="s">
        <v>66</v>
      </c>
      <c r="H329" s="37">
        <v>13070.69</v>
      </c>
      <c r="I329" s="12">
        <v>0</v>
      </c>
      <c r="J329" s="37">
        <v>13070.69</v>
      </c>
      <c r="K329" s="3">
        <v>2</v>
      </c>
      <c r="L329" s="61">
        <f>Table1[[#This Row],[Final_Unit_Price]]*Table1[[#This Row],[Quantity]]</f>
        <v>26141.38</v>
      </c>
      <c r="M329" s="59">
        <v>3921.21</v>
      </c>
      <c r="N329" s="42">
        <v>45853</v>
      </c>
      <c r="O329" s="20" t="str">
        <f>TEXT(Table1[[#This Row],[Order_Date]],"mmm")</f>
        <v>Jul</v>
      </c>
      <c r="P329" s="20">
        <f t="shared" si="10"/>
        <v>2025</v>
      </c>
      <c r="Q329" s="46">
        <v>45863</v>
      </c>
      <c r="R329" s="20">
        <f>'Cleaned Data'!$Q329-'Cleaned Data'!$N329</f>
        <v>10</v>
      </c>
      <c r="S329" s="19" t="str">
        <f t="shared" si="11"/>
        <v>Monsoon</v>
      </c>
    </row>
    <row r="330" spans="1:19" x14ac:dyDescent="0.3">
      <c r="A330" s="13" t="s">
        <v>507</v>
      </c>
      <c r="B330" s="13" t="s">
        <v>25</v>
      </c>
      <c r="C330" s="5" t="s">
        <v>34</v>
      </c>
      <c r="D330" s="5" t="s">
        <v>49</v>
      </c>
      <c r="E330" s="5" t="s">
        <v>59</v>
      </c>
      <c r="F330" s="5" t="s">
        <v>62</v>
      </c>
      <c r="G330" s="5" t="s">
        <v>67</v>
      </c>
      <c r="H330" s="38">
        <v>1027.6500000000001</v>
      </c>
      <c r="I330" s="14">
        <v>0</v>
      </c>
      <c r="J330" s="38">
        <v>1027.6500000000001</v>
      </c>
      <c r="K330" s="5">
        <v>4</v>
      </c>
      <c r="L330" s="62">
        <f>Table1[[#This Row],[Final_Unit_Price]]*Table1[[#This Row],[Quantity]]</f>
        <v>4110.6000000000004</v>
      </c>
      <c r="M330" s="60">
        <v>1438.71</v>
      </c>
      <c r="N330" s="43">
        <v>45720</v>
      </c>
      <c r="O330" s="18" t="str">
        <f>TEXT(Table1[[#This Row],[Order_Date]],"mmm")</f>
        <v>Mar</v>
      </c>
      <c r="P330" s="18">
        <f t="shared" si="10"/>
        <v>2025</v>
      </c>
      <c r="Q330" s="45">
        <v>45722</v>
      </c>
      <c r="R330" s="19">
        <f>'Cleaned Data'!$Q330-'Cleaned Data'!$N330</f>
        <v>2</v>
      </c>
      <c r="S330" s="19" t="str">
        <f t="shared" si="11"/>
        <v>Summer</v>
      </c>
    </row>
    <row r="331" spans="1:19" x14ac:dyDescent="0.3">
      <c r="A331" s="11" t="s">
        <v>508</v>
      </c>
      <c r="B331" s="11" t="s">
        <v>23</v>
      </c>
      <c r="C331" s="3" t="s">
        <v>35</v>
      </c>
      <c r="D331" s="3" t="s">
        <v>44</v>
      </c>
      <c r="E331" s="3" t="s">
        <v>60</v>
      </c>
      <c r="F331" s="3" t="s">
        <v>64</v>
      </c>
      <c r="G331" s="3" t="s">
        <v>72</v>
      </c>
      <c r="H331" s="37">
        <v>23463.03</v>
      </c>
      <c r="I331" s="12">
        <v>0.1</v>
      </c>
      <c r="J331" s="37">
        <v>21116.726999999999</v>
      </c>
      <c r="K331" s="3">
        <v>5</v>
      </c>
      <c r="L331" s="61">
        <f>Table1[[#This Row],[Final_Unit_Price]]*Table1[[#This Row],[Quantity]]</f>
        <v>105583.63499999999</v>
      </c>
      <c r="M331" s="59">
        <v>15837.54</v>
      </c>
      <c r="N331" s="42">
        <v>45514</v>
      </c>
      <c r="O331" s="20" t="str">
        <f>TEXT(Table1[[#This Row],[Order_Date]],"mmm")</f>
        <v>Aug</v>
      </c>
      <c r="P331" s="20">
        <f t="shared" si="10"/>
        <v>2024</v>
      </c>
      <c r="Q331" s="46">
        <v>45518</v>
      </c>
      <c r="R331" s="20">
        <f>'Cleaned Data'!$Q331-'Cleaned Data'!$N331</f>
        <v>4</v>
      </c>
      <c r="S331" s="19" t="str">
        <f t="shared" si="11"/>
        <v>Monsoon</v>
      </c>
    </row>
    <row r="332" spans="1:19" x14ac:dyDescent="0.3">
      <c r="A332" s="13" t="s">
        <v>509</v>
      </c>
      <c r="B332" s="13" t="s">
        <v>29</v>
      </c>
      <c r="C332" s="5" t="s">
        <v>35</v>
      </c>
      <c r="D332" s="5" t="s">
        <v>46</v>
      </c>
      <c r="E332" s="5" t="s">
        <v>59</v>
      </c>
      <c r="F332" s="5" t="s">
        <v>61</v>
      </c>
      <c r="G332" s="5" t="s">
        <v>71</v>
      </c>
      <c r="H332" s="38">
        <v>21442.28</v>
      </c>
      <c r="I332" s="14">
        <v>0.05</v>
      </c>
      <c r="J332" s="38">
        <v>20370.166000000001</v>
      </c>
      <c r="K332" s="5">
        <v>3</v>
      </c>
      <c r="L332" s="62">
        <f>Table1[[#This Row],[Final_Unit_Price]]*Table1[[#This Row],[Quantity]]</f>
        <v>61110.498000000007</v>
      </c>
      <c r="M332" s="60">
        <v>21388.67</v>
      </c>
      <c r="N332" s="43">
        <v>45516</v>
      </c>
      <c r="O332" s="18" t="str">
        <f>TEXT(Table1[[#This Row],[Order_Date]],"mmm")</f>
        <v>Aug</v>
      </c>
      <c r="P332" s="18">
        <f t="shared" si="10"/>
        <v>2024</v>
      </c>
      <c r="Q332" s="45">
        <v>45524</v>
      </c>
      <c r="R332" s="19">
        <f>'Cleaned Data'!$Q332-'Cleaned Data'!$N332</f>
        <v>8</v>
      </c>
      <c r="S332" s="19" t="str">
        <f t="shared" si="11"/>
        <v>Monsoon</v>
      </c>
    </row>
    <row r="333" spans="1:19" x14ac:dyDescent="0.3">
      <c r="A333" s="11" t="s">
        <v>510</v>
      </c>
      <c r="B333" s="11" t="s">
        <v>24</v>
      </c>
      <c r="C333" s="3" t="s">
        <v>32</v>
      </c>
      <c r="D333" s="3" t="s">
        <v>40</v>
      </c>
      <c r="E333" s="3" t="s">
        <v>59</v>
      </c>
      <c r="F333" s="3" t="s">
        <v>62</v>
      </c>
      <c r="G333" s="3" t="s">
        <v>69</v>
      </c>
      <c r="H333" s="37">
        <v>31380.94</v>
      </c>
      <c r="I333" s="12">
        <v>0.3</v>
      </c>
      <c r="J333" s="37">
        <v>21966.657999999999</v>
      </c>
      <c r="K333" s="3">
        <v>3</v>
      </c>
      <c r="L333" s="61">
        <f>Table1[[#This Row],[Final_Unit_Price]]*Table1[[#This Row],[Quantity]]</f>
        <v>65899.974000000002</v>
      </c>
      <c r="M333" s="59">
        <v>23064.99</v>
      </c>
      <c r="N333" s="42">
        <v>45805</v>
      </c>
      <c r="O333" s="20" t="str">
        <f>TEXT(Table1[[#This Row],[Order_Date]],"mmm")</f>
        <v>May</v>
      </c>
      <c r="P333" s="20">
        <f t="shared" si="10"/>
        <v>2025</v>
      </c>
      <c r="Q333" s="46">
        <v>45812</v>
      </c>
      <c r="R333" s="20">
        <f>'Cleaned Data'!$Q333-'Cleaned Data'!$N333</f>
        <v>7</v>
      </c>
      <c r="S333" s="19" t="str">
        <f t="shared" si="11"/>
        <v>Summer</v>
      </c>
    </row>
    <row r="334" spans="1:19" x14ac:dyDescent="0.3">
      <c r="A334" s="13" t="s">
        <v>511</v>
      </c>
      <c r="B334" s="13" t="s">
        <v>16</v>
      </c>
      <c r="C334" s="5" t="s">
        <v>31</v>
      </c>
      <c r="D334" s="5" t="s">
        <v>42</v>
      </c>
      <c r="E334" s="5" t="s">
        <v>60</v>
      </c>
      <c r="F334" s="5" t="s">
        <v>62</v>
      </c>
      <c r="G334" s="5" t="s">
        <v>66</v>
      </c>
      <c r="H334" s="38">
        <v>2201.1799999999998</v>
      </c>
      <c r="I334" s="14">
        <v>0.25</v>
      </c>
      <c r="J334" s="38">
        <v>1650.885</v>
      </c>
      <c r="K334" s="5">
        <v>4</v>
      </c>
      <c r="L334" s="62">
        <f>Table1[[#This Row],[Final_Unit_Price]]*Table1[[#This Row],[Quantity]]</f>
        <v>6603.54</v>
      </c>
      <c r="M334" s="60">
        <v>495.27</v>
      </c>
      <c r="N334" s="43">
        <v>45534</v>
      </c>
      <c r="O334" s="18" t="str">
        <f>TEXT(Table1[[#This Row],[Order_Date]],"mmm")</f>
        <v>Aug</v>
      </c>
      <c r="P334" s="18">
        <f t="shared" si="10"/>
        <v>2024</v>
      </c>
      <c r="Q334" s="45">
        <v>45539</v>
      </c>
      <c r="R334" s="19">
        <f>'Cleaned Data'!$Q334-'Cleaned Data'!$N334</f>
        <v>5</v>
      </c>
      <c r="S334" s="19" t="str">
        <f t="shared" si="11"/>
        <v>Monsoon</v>
      </c>
    </row>
    <row r="335" spans="1:19" x14ac:dyDescent="0.3">
      <c r="A335" s="11" t="s">
        <v>512</v>
      </c>
      <c r="B335" s="11" t="s">
        <v>16</v>
      </c>
      <c r="C335" s="3" t="s">
        <v>31</v>
      </c>
      <c r="D335" s="3" t="s">
        <v>36</v>
      </c>
      <c r="E335" s="3" t="s">
        <v>58</v>
      </c>
      <c r="F335" s="3" t="s">
        <v>64</v>
      </c>
      <c r="G335" s="3" t="s">
        <v>76</v>
      </c>
      <c r="H335" s="37">
        <v>2722.04</v>
      </c>
      <c r="I335" s="12">
        <v>0.15</v>
      </c>
      <c r="J335" s="37">
        <v>2313.7339999999999</v>
      </c>
      <c r="K335" s="3">
        <v>5</v>
      </c>
      <c r="L335" s="61">
        <f>Table1[[#This Row],[Final_Unit_Price]]*Table1[[#This Row],[Quantity]]</f>
        <v>11568.67</v>
      </c>
      <c r="M335" s="59">
        <v>2892.17</v>
      </c>
      <c r="N335" s="42">
        <v>45547</v>
      </c>
      <c r="O335" s="20" t="str">
        <f>TEXT(Table1[[#This Row],[Order_Date]],"mmm")</f>
        <v>Sep</v>
      </c>
      <c r="P335" s="20">
        <f t="shared" si="10"/>
        <v>2024</v>
      </c>
      <c r="Q335" s="46">
        <v>45550</v>
      </c>
      <c r="R335" s="20">
        <f>'Cleaned Data'!$Q335-'Cleaned Data'!$N335</f>
        <v>3</v>
      </c>
      <c r="S335" s="19" t="str">
        <f t="shared" si="11"/>
        <v>Monsoon</v>
      </c>
    </row>
    <row r="336" spans="1:19" x14ac:dyDescent="0.3">
      <c r="A336" s="13" t="s">
        <v>513</v>
      </c>
      <c r="B336" s="13" t="s">
        <v>19</v>
      </c>
      <c r="C336" s="5" t="s">
        <v>33</v>
      </c>
      <c r="D336" s="5" t="s">
        <v>39</v>
      </c>
      <c r="E336" s="5" t="s">
        <v>58</v>
      </c>
      <c r="F336" s="5" t="s">
        <v>61</v>
      </c>
      <c r="G336" s="5" t="s">
        <v>71</v>
      </c>
      <c r="H336" s="38">
        <v>1971.6</v>
      </c>
      <c r="I336" s="14">
        <v>0.2</v>
      </c>
      <c r="J336" s="38">
        <v>1577.28</v>
      </c>
      <c r="K336" s="5">
        <v>4</v>
      </c>
      <c r="L336" s="62">
        <f>Table1[[#This Row],[Final_Unit_Price]]*Table1[[#This Row],[Quantity]]</f>
        <v>6309.12</v>
      </c>
      <c r="M336" s="60">
        <v>1577.28</v>
      </c>
      <c r="N336" s="43">
        <v>45493</v>
      </c>
      <c r="O336" s="18" t="str">
        <f>TEXT(Table1[[#This Row],[Order_Date]],"mmm")</f>
        <v>Jul</v>
      </c>
      <c r="P336" s="18">
        <f t="shared" si="10"/>
        <v>2024</v>
      </c>
      <c r="Q336" s="45">
        <v>45495</v>
      </c>
      <c r="R336" s="19">
        <f>'Cleaned Data'!$Q336-'Cleaned Data'!$N336</f>
        <v>2</v>
      </c>
      <c r="S336" s="19" t="str">
        <f t="shared" si="11"/>
        <v>Monsoon</v>
      </c>
    </row>
    <row r="337" spans="1:19" x14ac:dyDescent="0.3">
      <c r="A337" s="11" t="s">
        <v>514</v>
      </c>
      <c r="B337" s="11" t="s">
        <v>18</v>
      </c>
      <c r="C337" s="3" t="s">
        <v>33</v>
      </c>
      <c r="D337" s="3" t="s">
        <v>50</v>
      </c>
      <c r="E337" s="3" t="s">
        <v>59</v>
      </c>
      <c r="F337" s="3" t="s">
        <v>63</v>
      </c>
      <c r="G337" s="3" t="s">
        <v>75</v>
      </c>
      <c r="H337" s="37">
        <v>58786.26</v>
      </c>
      <c r="I337" s="12">
        <v>0.2</v>
      </c>
      <c r="J337" s="37">
        <v>47029.008000000002</v>
      </c>
      <c r="K337" s="3">
        <v>4</v>
      </c>
      <c r="L337" s="61">
        <f>Table1[[#This Row],[Final_Unit_Price]]*Table1[[#This Row],[Quantity]]</f>
        <v>188116.03200000001</v>
      </c>
      <c r="M337" s="59">
        <v>65840.61</v>
      </c>
      <c r="N337" s="42">
        <v>45334</v>
      </c>
      <c r="O337" s="20" t="str">
        <f>TEXT(Table1[[#This Row],[Order_Date]],"mmm")</f>
        <v>Feb</v>
      </c>
      <c r="P337" s="20">
        <f t="shared" si="10"/>
        <v>2024</v>
      </c>
      <c r="Q337" s="46">
        <v>45342</v>
      </c>
      <c r="R337" s="20">
        <f>'Cleaned Data'!$Q337-'Cleaned Data'!$N337</f>
        <v>8</v>
      </c>
      <c r="S337" s="19" t="str">
        <f t="shared" si="11"/>
        <v>Summer</v>
      </c>
    </row>
    <row r="338" spans="1:19" x14ac:dyDescent="0.3">
      <c r="A338" s="13" t="s">
        <v>515</v>
      </c>
      <c r="B338" s="13" t="s">
        <v>20</v>
      </c>
      <c r="C338" s="5" t="s">
        <v>32</v>
      </c>
      <c r="D338" s="5" t="s">
        <v>54</v>
      </c>
      <c r="E338" s="5" t="s">
        <v>60</v>
      </c>
      <c r="F338" s="5" t="s">
        <v>64</v>
      </c>
      <c r="G338" s="5" t="s">
        <v>74</v>
      </c>
      <c r="H338" s="38">
        <v>28439.64</v>
      </c>
      <c r="I338" s="14">
        <v>0.3</v>
      </c>
      <c r="J338" s="38">
        <v>19907.748</v>
      </c>
      <c r="K338" s="5">
        <v>2</v>
      </c>
      <c r="L338" s="62">
        <f>Table1[[#This Row],[Final_Unit_Price]]*Table1[[#This Row],[Quantity]]</f>
        <v>39815.495999999999</v>
      </c>
      <c r="M338" s="60">
        <v>5972.32</v>
      </c>
      <c r="N338" s="43">
        <v>45345</v>
      </c>
      <c r="O338" s="18" t="str">
        <f>TEXT(Table1[[#This Row],[Order_Date]],"mmm")</f>
        <v>Feb</v>
      </c>
      <c r="P338" s="18">
        <f t="shared" si="10"/>
        <v>2024</v>
      </c>
      <c r="Q338" s="45">
        <v>45354</v>
      </c>
      <c r="R338" s="19">
        <f>'Cleaned Data'!$Q338-'Cleaned Data'!$N338</f>
        <v>9</v>
      </c>
      <c r="S338" s="19" t="str">
        <f t="shared" si="11"/>
        <v>Summer</v>
      </c>
    </row>
    <row r="339" spans="1:19" x14ac:dyDescent="0.3">
      <c r="A339" s="11" t="s">
        <v>516</v>
      </c>
      <c r="B339" s="11" t="s">
        <v>22</v>
      </c>
      <c r="C339" s="3" t="s">
        <v>31</v>
      </c>
      <c r="D339" s="3" t="s">
        <v>36</v>
      </c>
      <c r="E339" s="3" t="s">
        <v>58</v>
      </c>
      <c r="F339" s="3" t="s">
        <v>62</v>
      </c>
      <c r="G339" s="3" t="s">
        <v>66</v>
      </c>
      <c r="H339" s="37">
        <v>3596.24</v>
      </c>
      <c r="I339" s="12">
        <v>0.05</v>
      </c>
      <c r="J339" s="37">
        <v>3416.427999999999</v>
      </c>
      <c r="K339" s="3">
        <v>1</v>
      </c>
      <c r="L339" s="61">
        <f>Table1[[#This Row],[Final_Unit_Price]]*Table1[[#This Row],[Quantity]]</f>
        <v>3416.427999999999</v>
      </c>
      <c r="M339" s="59">
        <v>854.11</v>
      </c>
      <c r="N339" s="42">
        <v>45469</v>
      </c>
      <c r="O339" s="20" t="str">
        <f>TEXT(Table1[[#This Row],[Order_Date]],"mmm")</f>
        <v>Jun</v>
      </c>
      <c r="P339" s="20">
        <f t="shared" si="10"/>
        <v>2024</v>
      </c>
      <c r="Q339" s="46">
        <v>45477</v>
      </c>
      <c r="R339" s="20">
        <f>'Cleaned Data'!$Q339-'Cleaned Data'!$N339</f>
        <v>8</v>
      </c>
      <c r="S339" s="19" t="str">
        <f t="shared" si="11"/>
        <v>Monsoon</v>
      </c>
    </row>
    <row r="340" spans="1:19" x14ac:dyDescent="0.3">
      <c r="A340" s="13" t="s">
        <v>517</v>
      </c>
      <c r="B340" s="13" t="s">
        <v>17</v>
      </c>
      <c r="C340" s="5" t="s">
        <v>32</v>
      </c>
      <c r="D340" s="5" t="s">
        <v>40</v>
      </c>
      <c r="E340" s="5" t="s">
        <v>59</v>
      </c>
      <c r="F340" s="5" t="s">
        <v>61</v>
      </c>
      <c r="G340" s="5" t="s">
        <v>65</v>
      </c>
      <c r="H340" s="38">
        <v>9771.65</v>
      </c>
      <c r="I340" s="14">
        <v>0.05</v>
      </c>
      <c r="J340" s="38">
        <v>9283.0674999999992</v>
      </c>
      <c r="K340" s="5">
        <v>5</v>
      </c>
      <c r="L340" s="62">
        <f>Table1[[#This Row],[Final_Unit_Price]]*Table1[[#This Row],[Quantity]]</f>
        <v>46415.337499999994</v>
      </c>
      <c r="M340" s="60">
        <v>16245.37</v>
      </c>
      <c r="N340" s="43">
        <v>45863</v>
      </c>
      <c r="O340" s="18" t="str">
        <f>TEXT(Table1[[#This Row],[Order_Date]],"mmm")</f>
        <v>Jul</v>
      </c>
      <c r="P340" s="18">
        <f t="shared" si="10"/>
        <v>2025</v>
      </c>
      <c r="Q340" s="45">
        <v>45872</v>
      </c>
      <c r="R340" s="19">
        <f>'Cleaned Data'!$Q340-'Cleaned Data'!$N340</f>
        <v>9</v>
      </c>
      <c r="S340" s="19" t="str">
        <f t="shared" si="11"/>
        <v>Monsoon</v>
      </c>
    </row>
    <row r="341" spans="1:19" x14ac:dyDescent="0.3">
      <c r="A341" s="11" t="s">
        <v>518</v>
      </c>
      <c r="B341" s="11" t="s">
        <v>28</v>
      </c>
      <c r="C341" s="3" t="s">
        <v>34</v>
      </c>
      <c r="D341" s="3" t="s">
        <v>49</v>
      </c>
      <c r="E341" s="3" t="s">
        <v>59</v>
      </c>
      <c r="F341" s="3" t="s">
        <v>64</v>
      </c>
      <c r="G341" s="3" t="s">
        <v>74</v>
      </c>
      <c r="H341" s="37">
        <v>1960.5</v>
      </c>
      <c r="I341" s="12">
        <v>0.05</v>
      </c>
      <c r="J341" s="37">
        <v>1862.4749999999999</v>
      </c>
      <c r="K341" s="3">
        <v>2</v>
      </c>
      <c r="L341" s="61">
        <f>Table1[[#This Row],[Final_Unit_Price]]*Table1[[#This Row],[Quantity]]</f>
        <v>3724.95</v>
      </c>
      <c r="M341" s="59">
        <v>1303.73</v>
      </c>
      <c r="N341" s="42">
        <v>45450</v>
      </c>
      <c r="O341" s="20" t="str">
        <f>TEXT(Table1[[#This Row],[Order_Date]],"mmm")</f>
        <v>Jun</v>
      </c>
      <c r="P341" s="20">
        <f t="shared" si="10"/>
        <v>2024</v>
      </c>
      <c r="Q341" s="46">
        <v>45456</v>
      </c>
      <c r="R341" s="20">
        <f>'Cleaned Data'!$Q341-'Cleaned Data'!$N341</f>
        <v>6</v>
      </c>
      <c r="S341" s="19" t="str">
        <f t="shared" si="11"/>
        <v>Monsoon</v>
      </c>
    </row>
    <row r="342" spans="1:19" x14ac:dyDescent="0.3">
      <c r="A342" s="13" t="s">
        <v>519</v>
      </c>
      <c r="B342" s="13" t="s">
        <v>17</v>
      </c>
      <c r="C342" s="5" t="s">
        <v>32</v>
      </c>
      <c r="D342" s="5" t="s">
        <v>54</v>
      </c>
      <c r="E342" s="5" t="s">
        <v>60</v>
      </c>
      <c r="F342" s="5" t="s">
        <v>62</v>
      </c>
      <c r="G342" s="5" t="s">
        <v>69</v>
      </c>
      <c r="H342" s="38">
        <v>6739.88</v>
      </c>
      <c r="I342" s="14">
        <v>0.05</v>
      </c>
      <c r="J342" s="38">
        <v>6402.8860000000004</v>
      </c>
      <c r="K342" s="5">
        <v>5</v>
      </c>
      <c r="L342" s="62">
        <f>Table1[[#This Row],[Final_Unit_Price]]*Table1[[#This Row],[Quantity]]</f>
        <v>32014.43</v>
      </c>
      <c r="M342" s="60">
        <v>4802.16</v>
      </c>
      <c r="N342" s="43">
        <v>45429</v>
      </c>
      <c r="O342" s="18" t="str">
        <f>TEXT(Table1[[#This Row],[Order_Date]],"mmm")</f>
        <v>May</v>
      </c>
      <c r="P342" s="18">
        <f t="shared" si="10"/>
        <v>2024</v>
      </c>
      <c r="Q342" s="45">
        <v>45438</v>
      </c>
      <c r="R342" s="19">
        <f>'Cleaned Data'!$Q342-'Cleaned Data'!$N342</f>
        <v>9</v>
      </c>
      <c r="S342" s="19" t="str">
        <f t="shared" si="11"/>
        <v>Summer</v>
      </c>
    </row>
    <row r="343" spans="1:19" x14ac:dyDescent="0.3">
      <c r="A343" s="11" t="s">
        <v>520</v>
      </c>
      <c r="B343" s="11" t="s">
        <v>18</v>
      </c>
      <c r="C343" s="3" t="s">
        <v>33</v>
      </c>
      <c r="D343" s="3" t="s">
        <v>50</v>
      </c>
      <c r="E343" s="3" t="s">
        <v>59</v>
      </c>
      <c r="F343" s="3" t="s">
        <v>62</v>
      </c>
      <c r="G343" s="3" t="s">
        <v>66</v>
      </c>
      <c r="H343" s="37">
        <v>65342.91</v>
      </c>
      <c r="I343" s="12">
        <v>0.2</v>
      </c>
      <c r="J343" s="37">
        <v>52274.328000000009</v>
      </c>
      <c r="K343" s="3">
        <v>3</v>
      </c>
      <c r="L343" s="61">
        <f>Table1[[#This Row],[Final_Unit_Price]]*Table1[[#This Row],[Quantity]]</f>
        <v>156822.98400000003</v>
      </c>
      <c r="M343" s="59">
        <v>54888.04</v>
      </c>
      <c r="N343" s="42">
        <v>45541</v>
      </c>
      <c r="O343" s="20" t="str">
        <f>TEXT(Table1[[#This Row],[Order_Date]],"mmm")</f>
        <v>Sep</v>
      </c>
      <c r="P343" s="20">
        <f t="shared" si="10"/>
        <v>2024</v>
      </c>
      <c r="Q343" s="46">
        <v>45544</v>
      </c>
      <c r="R343" s="20">
        <f>'Cleaned Data'!$Q343-'Cleaned Data'!$N343</f>
        <v>3</v>
      </c>
      <c r="S343" s="19" t="str">
        <f t="shared" si="11"/>
        <v>Monsoon</v>
      </c>
    </row>
    <row r="344" spans="1:19" x14ac:dyDescent="0.3">
      <c r="A344" s="13" t="s">
        <v>521</v>
      </c>
      <c r="B344" s="13" t="s">
        <v>24</v>
      </c>
      <c r="C344" s="5" t="s">
        <v>32</v>
      </c>
      <c r="D344" s="5" t="s">
        <v>54</v>
      </c>
      <c r="E344" s="5" t="s">
        <v>60</v>
      </c>
      <c r="F344" s="5" t="s">
        <v>63</v>
      </c>
      <c r="G344" s="5" t="s">
        <v>68</v>
      </c>
      <c r="H344" s="38">
        <v>19757.13</v>
      </c>
      <c r="I344" s="14">
        <v>0.25</v>
      </c>
      <c r="J344" s="38">
        <v>14817.8475</v>
      </c>
      <c r="K344" s="5">
        <v>2</v>
      </c>
      <c r="L344" s="62">
        <f>Table1[[#This Row],[Final_Unit_Price]]*Table1[[#This Row],[Quantity]]</f>
        <v>29635.695</v>
      </c>
      <c r="M344" s="60">
        <v>4445.3500000000004</v>
      </c>
      <c r="N344" s="43">
        <v>45608</v>
      </c>
      <c r="O344" s="18" t="str">
        <f>TEXT(Table1[[#This Row],[Order_Date]],"mmm")</f>
        <v>Nov</v>
      </c>
      <c r="P344" s="18">
        <f t="shared" si="10"/>
        <v>2024</v>
      </c>
      <c r="Q344" s="45">
        <v>45615</v>
      </c>
      <c r="R344" s="19">
        <f>'Cleaned Data'!$Q344-'Cleaned Data'!$N344</f>
        <v>7</v>
      </c>
      <c r="S344" s="19" t="str">
        <f t="shared" si="11"/>
        <v>Winter</v>
      </c>
    </row>
    <row r="345" spans="1:19" x14ac:dyDescent="0.3">
      <c r="A345" s="11" t="s">
        <v>522</v>
      </c>
      <c r="B345" s="11" t="s">
        <v>21</v>
      </c>
      <c r="C345" s="3" t="s">
        <v>34</v>
      </c>
      <c r="D345" s="3" t="s">
        <v>55</v>
      </c>
      <c r="E345" s="3" t="s">
        <v>58</v>
      </c>
      <c r="F345" s="3" t="s">
        <v>61</v>
      </c>
      <c r="G345" s="3" t="s">
        <v>71</v>
      </c>
      <c r="H345" s="37">
        <v>2877.5</v>
      </c>
      <c r="I345" s="12">
        <v>0.2</v>
      </c>
      <c r="J345" s="37">
        <v>2302</v>
      </c>
      <c r="K345" s="3">
        <v>3</v>
      </c>
      <c r="L345" s="61">
        <f>Table1[[#This Row],[Final_Unit_Price]]*Table1[[#This Row],[Quantity]]</f>
        <v>6906</v>
      </c>
      <c r="M345" s="59">
        <v>1726.5</v>
      </c>
      <c r="N345" s="42">
        <v>45483</v>
      </c>
      <c r="O345" s="20" t="str">
        <f>TEXT(Table1[[#This Row],[Order_Date]],"mmm")</f>
        <v>Jul</v>
      </c>
      <c r="P345" s="20">
        <f t="shared" si="10"/>
        <v>2024</v>
      </c>
      <c r="Q345" s="46">
        <v>45486</v>
      </c>
      <c r="R345" s="20">
        <f>'Cleaned Data'!$Q345-'Cleaned Data'!$N345</f>
        <v>3</v>
      </c>
      <c r="S345" s="19" t="str">
        <f t="shared" si="11"/>
        <v>Monsoon</v>
      </c>
    </row>
    <row r="346" spans="1:19" x14ac:dyDescent="0.3">
      <c r="A346" s="13" t="s">
        <v>523</v>
      </c>
      <c r="B346" s="13" t="s">
        <v>23</v>
      </c>
      <c r="C346" s="5" t="s">
        <v>35</v>
      </c>
      <c r="D346" s="5" t="s">
        <v>48</v>
      </c>
      <c r="E346" s="5" t="s">
        <v>58</v>
      </c>
      <c r="F346" s="5" t="s">
        <v>62</v>
      </c>
      <c r="G346" s="5" t="s">
        <v>69</v>
      </c>
      <c r="H346" s="38">
        <v>25744.63</v>
      </c>
      <c r="I346" s="14">
        <v>0.1</v>
      </c>
      <c r="J346" s="38">
        <v>23170.167000000001</v>
      </c>
      <c r="K346" s="5">
        <v>3</v>
      </c>
      <c r="L346" s="62">
        <f>Table1[[#This Row],[Final_Unit_Price]]*Table1[[#This Row],[Quantity]]</f>
        <v>69510.501000000004</v>
      </c>
      <c r="M346" s="60">
        <v>17377.62</v>
      </c>
      <c r="N346" s="43">
        <v>45333</v>
      </c>
      <c r="O346" s="18" t="str">
        <f>TEXT(Table1[[#This Row],[Order_Date]],"mmm")</f>
        <v>Feb</v>
      </c>
      <c r="P346" s="18">
        <f t="shared" si="10"/>
        <v>2024</v>
      </c>
      <c r="Q346" s="45">
        <v>45335</v>
      </c>
      <c r="R346" s="19">
        <f>'Cleaned Data'!$Q346-'Cleaned Data'!$N346</f>
        <v>2</v>
      </c>
      <c r="S346" s="19" t="str">
        <f t="shared" si="11"/>
        <v>Summer</v>
      </c>
    </row>
    <row r="347" spans="1:19" x14ac:dyDescent="0.3">
      <c r="A347" s="11" t="s">
        <v>524</v>
      </c>
      <c r="B347" s="11" t="s">
        <v>24</v>
      </c>
      <c r="C347" s="3" t="s">
        <v>32</v>
      </c>
      <c r="D347" s="3" t="s">
        <v>43</v>
      </c>
      <c r="E347" s="3" t="s">
        <v>58</v>
      </c>
      <c r="F347" s="3" t="s">
        <v>62</v>
      </c>
      <c r="G347" s="3" t="s">
        <v>66</v>
      </c>
      <c r="H347" s="37">
        <v>26995.3</v>
      </c>
      <c r="I347" s="12">
        <v>0.15</v>
      </c>
      <c r="J347" s="37">
        <v>22946.005000000001</v>
      </c>
      <c r="K347" s="3">
        <v>1</v>
      </c>
      <c r="L347" s="61">
        <f>Table1[[#This Row],[Final_Unit_Price]]*Table1[[#This Row],[Quantity]]</f>
        <v>22946.005000000001</v>
      </c>
      <c r="M347" s="59">
        <v>5736.5</v>
      </c>
      <c r="N347" s="42">
        <v>45466</v>
      </c>
      <c r="O347" s="20" t="str">
        <f>TEXT(Table1[[#This Row],[Order_Date]],"mmm")</f>
        <v>Jun</v>
      </c>
      <c r="P347" s="20">
        <f t="shared" si="10"/>
        <v>2024</v>
      </c>
      <c r="Q347" s="46">
        <v>45471</v>
      </c>
      <c r="R347" s="20">
        <f>'Cleaned Data'!$Q347-'Cleaned Data'!$N347</f>
        <v>5</v>
      </c>
      <c r="S347" s="19" t="str">
        <f t="shared" si="11"/>
        <v>Monsoon</v>
      </c>
    </row>
    <row r="348" spans="1:19" x14ac:dyDescent="0.3">
      <c r="A348" s="13" t="s">
        <v>525</v>
      </c>
      <c r="B348" s="13" t="s">
        <v>25</v>
      </c>
      <c r="C348" s="5" t="s">
        <v>34</v>
      </c>
      <c r="D348" s="5" t="s">
        <v>52</v>
      </c>
      <c r="E348" s="5" t="s">
        <v>60</v>
      </c>
      <c r="F348" s="5" t="s">
        <v>61</v>
      </c>
      <c r="G348" s="5" t="s">
        <v>70</v>
      </c>
      <c r="H348" s="38">
        <v>696.53</v>
      </c>
      <c r="I348" s="14">
        <v>0.3</v>
      </c>
      <c r="J348" s="38">
        <v>487.57100000000003</v>
      </c>
      <c r="K348" s="5">
        <v>3</v>
      </c>
      <c r="L348" s="62">
        <f>Table1[[#This Row],[Final_Unit_Price]]*Table1[[#This Row],[Quantity]]</f>
        <v>1462.7130000000002</v>
      </c>
      <c r="M348" s="60">
        <v>219.41</v>
      </c>
      <c r="N348" s="43">
        <v>45500</v>
      </c>
      <c r="O348" s="18" t="str">
        <f>TEXT(Table1[[#This Row],[Order_Date]],"mmm")</f>
        <v>Jul</v>
      </c>
      <c r="P348" s="18">
        <f t="shared" si="10"/>
        <v>2024</v>
      </c>
      <c r="Q348" s="45">
        <v>45508</v>
      </c>
      <c r="R348" s="19">
        <f>'Cleaned Data'!$Q348-'Cleaned Data'!$N348</f>
        <v>8</v>
      </c>
      <c r="S348" s="19" t="str">
        <f t="shared" si="11"/>
        <v>Monsoon</v>
      </c>
    </row>
    <row r="349" spans="1:19" x14ac:dyDescent="0.3">
      <c r="A349" s="11" t="s">
        <v>526</v>
      </c>
      <c r="B349" s="11" t="s">
        <v>22</v>
      </c>
      <c r="C349" s="3" t="s">
        <v>31</v>
      </c>
      <c r="D349" s="3" t="s">
        <v>36</v>
      </c>
      <c r="E349" s="3" t="s">
        <v>58</v>
      </c>
      <c r="F349" s="3" t="s">
        <v>62</v>
      </c>
      <c r="G349" s="3" t="s">
        <v>66</v>
      </c>
      <c r="H349" s="37">
        <v>3578.46</v>
      </c>
      <c r="I349" s="12">
        <v>0.25</v>
      </c>
      <c r="J349" s="37">
        <v>2683.8449999999998</v>
      </c>
      <c r="K349" s="3">
        <v>4</v>
      </c>
      <c r="L349" s="61">
        <f>Table1[[#This Row],[Final_Unit_Price]]*Table1[[#This Row],[Quantity]]</f>
        <v>10735.38</v>
      </c>
      <c r="M349" s="59">
        <v>2683.84</v>
      </c>
      <c r="N349" s="42">
        <v>45812</v>
      </c>
      <c r="O349" s="20" t="str">
        <f>TEXT(Table1[[#This Row],[Order_Date]],"mmm")</f>
        <v>Jun</v>
      </c>
      <c r="P349" s="20">
        <f t="shared" si="10"/>
        <v>2025</v>
      </c>
      <c r="Q349" s="46">
        <v>45818</v>
      </c>
      <c r="R349" s="20">
        <f>'Cleaned Data'!$Q349-'Cleaned Data'!$N349</f>
        <v>6</v>
      </c>
      <c r="S349" s="19" t="str">
        <f t="shared" si="11"/>
        <v>Monsoon</v>
      </c>
    </row>
    <row r="350" spans="1:19" x14ac:dyDescent="0.3">
      <c r="A350" s="13" t="s">
        <v>527</v>
      </c>
      <c r="B350" s="13" t="s">
        <v>20</v>
      </c>
      <c r="C350" s="5" t="s">
        <v>32</v>
      </c>
      <c r="D350" s="5" t="s">
        <v>43</v>
      </c>
      <c r="E350" s="5" t="s">
        <v>58</v>
      </c>
      <c r="F350" s="5" t="s">
        <v>63</v>
      </c>
      <c r="G350" s="5" t="s">
        <v>73</v>
      </c>
      <c r="H350" s="38">
        <v>27593.08</v>
      </c>
      <c r="I350" s="14">
        <v>0.15</v>
      </c>
      <c r="J350" s="38">
        <v>23454.117999999999</v>
      </c>
      <c r="K350" s="5">
        <v>1</v>
      </c>
      <c r="L350" s="62">
        <f>Table1[[#This Row],[Final_Unit_Price]]*Table1[[#This Row],[Quantity]]</f>
        <v>23454.117999999999</v>
      </c>
      <c r="M350" s="60">
        <v>5863.53</v>
      </c>
      <c r="N350" s="43">
        <v>45338</v>
      </c>
      <c r="O350" s="18" t="str">
        <f>TEXT(Table1[[#This Row],[Order_Date]],"mmm")</f>
        <v>Feb</v>
      </c>
      <c r="P350" s="18">
        <f t="shared" si="10"/>
        <v>2024</v>
      </c>
      <c r="Q350" s="45">
        <v>45345</v>
      </c>
      <c r="R350" s="19">
        <f>'Cleaned Data'!$Q350-'Cleaned Data'!$N350</f>
        <v>7</v>
      </c>
      <c r="S350" s="19" t="str">
        <f t="shared" si="11"/>
        <v>Summer</v>
      </c>
    </row>
    <row r="351" spans="1:19" x14ac:dyDescent="0.3">
      <c r="A351" s="11" t="s">
        <v>528</v>
      </c>
      <c r="B351" s="11" t="s">
        <v>16</v>
      </c>
      <c r="C351" s="3" t="s">
        <v>31</v>
      </c>
      <c r="D351" s="3" t="s">
        <v>42</v>
      </c>
      <c r="E351" s="3" t="s">
        <v>60</v>
      </c>
      <c r="F351" s="3" t="s">
        <v>64</v>
      </c>
      <c r="G351" s="3" t="s">
        <v>74</v>
      </c>
      <c r="H351" s="37">
        <v>2247.89</v>
      </c>
      <c r="I351" s="12">
        <v>0</v>
      </c>
      <c r="J351" s="37">
        <v>2247.89</v>
      </c>
      <c r="K351" s="3">
        <v>1</v>
      </c>
      <c r="L351" s="61">
        <f>Table1[[#This Row],[Final_Unit_Price]]*Table1[[#This Row],[Quantity]]</f>
        <v>2247.89</v>
      </c>
      <c r="M351" s="59">
        <v>337.18</v>
      </c>
      <c r="N351" s="42">
        <v>45324</v>
      </c>
      <c r="O351" s="20" t="str">
        <f>TEXT(Table1[[#This Row],[Order_Date]],"mmm")</f>
        <v>Feb</v>
      </c>
      <c r="P351" s="20">
        <f t="shared" si="10"/>
        <v>2024</v>
      </c>
      <c r="Q351" s="46">
        <v>45330</v>
      </c>
      <c r="R351" s="20">
        <f>'Cleaned Data'!$Q351-'Cleaned Data'!$N351</f>
        <v>6</v>
      </c>
      <c r="S351" s="19" t="str">
        <f t="shared" si="11"/>
        <v>Summer</v>
      </c>
    </row>
    <row r="352" spans="1:19" x14ac:dyDescent="0.3">
      <c r="A352" s="13" t="s">
        <v>529</v>
      </c>
      <c r="B352" s="13" t="s">
        <v>17</v>
      </c>
      <c r="C352" s="5" t="s">
        <v>32</v>
      </c>
      <c r="D352" s="5" t="s">
        <v>43</v>
      </c>
      <c r="E352" s="5" t="s">
        <v>58</v>
      </c>
      <c r="F352" s="5" t="s">
        <v>62</v>
      </c>
      <c r="G352" s="5" t="s">
        <v>69</v>
      </c>
      <c r="H352" s="38">
        <v>8509.64</v>
      </c>
      <c r="I352" s="14">
        <v>0.25</v>
      </c>
      <c r="J352" s="38">
        <v>6382.23</v>
      </c>
      <c r="K352" s="5">
        <v>5</v>
      </c>
      <c r="L352" s="62">
        <f>Table1[[#This Row],[Final_Unit_Price]]*Table1[[#This Row],[Quantity]]</f>
        <v>31911.149999999998</v>
      </c>
      <c r="M352" s="60">
        <v>7977.79</v>
      </c>
      <c r="N352" s="43">
        <v>45644</v>
      </c>
      <c r="O352" s="18" t="str">
        <f>TEXT(Table1[[#This Row],[Order_Date]],"mmm")</f>
        <v>Dec</v>
      </c>
      <c r="P352" s="18">
        <f t="shared" si="10"/>
        <v>2024</v>
      </c>
      <c r="Q352" s="45">
        <v>45649</v>
      </c>
      <c r="R352" s="19">
        <f>'Cleaned Data'!$Q352-'Cleaned Data'!$N352</f>
        <v>5</v>
      </c>
      <c r="S352" s="19" t="str">
        <f t="shared" si="11"/>
        <v>Winter</v>
      </c>
    </row>
    <row r="353" spans="1:19" x14ac:dyDescent="0.3">
      <c r="A353" s="11" t="s">
        <v>530</v>
      </c>
      <c r="B353" s="11" t="s">
        <v>18</v>
      </c>
      <c r="C353" s="3" t="s">
        <v>33</v>
      </c>
      <c r="D353" s="3" t="s">
        <v>53</v>
      </c>
      <c r="E353" s="3" t="s">
        <v>58</v>
      </c>
      <c r="F353" s="3" t="s">
        <v>61</v>
      </c>
      <c r="G353" s="3" t="s">
        <v>70</v>
      </c>
      <c r="H353" s="37">
        <v>49991.3</v>
      </c>
      <c r="I353" s="12">
        <v>0</v>
      </c>
      <c r="J353" s="37">
        <v>49991.3</v>
      </c>
      <c r="K353" s="3">
        <v>3</v>
      </c>
      <c r="L353" s="61">
        <f>Table1[[#This Row],[Final_Unit_Price]]*Table1[[#This Row],[Quantity]]</f>
        <v>149973.90000000002</v>
      </c>
      <c r="M353" s="59">
        <v>37493.47</v>
      </c>
      <c r="N353" s="42">
        <v>45357</v>
      </c>
      <c r="O353" s="20" t="str">
        <f>TEXT(Table1[[#This Row],[Order_Date]],"mmm")</f>
        <v>Mar</v>
      </c>
      <c r="P353" s="20">
        <f t="shared" si="10"/>
        <v>2024</v>
      </c>
      <c r="Q353" s="46">
        <v>45361</v>
      </c>
      <c r="R353" s="20">
        <f>'Cleaned Data'!$Q353-'Cleaned Data'!$N353</f>
        <v>4</v>
      </c>
      <c r="S353" s="19" t="str">
        <f t="shared" si="11"/>
        <v>Summer</v>
      </c>
    </row>
    <row r="354" spans="1:19" x14ac:dyDescent="0.3">
      <c r="A354" s="13" t="s">
        <v>531</v>
      </c>
      <c r="B354" s="13" t="s">
        <v>20</v>
      </c>
      <c r="C354" s="5" t="s">
        <v>32</v>
      </c>
      <c r="D354" s="5" t="s">
        <v>40</v>
      </c>
      <c r="E354" s="5" t="s">
        <v>59</v>
      </c>
      <c r="F354" s="5" t="s">
        <v>61</v>
      </c>
      <c r="G354" s="5" t="s">
        <v>71</v>
      </c>
      <c r="H354" s="38">
        <v>34601.96</v>
      </c>
      <c r="I354" s="14">
        <v>0.05</v>
      </c>
      <c r="J354" s="38">
        <v>32871.862000000001</v>
      </c>
      <c r="K354" s="5">
        <v>1</v>
      </c>
      <c r="L354" s="62">
        <f>Table1[[#This Row],[Final_Unit_Price]]*Table1[[#This Row],[Quantity]]</f>
        <v>32871.862000000001</v>
      </c>
      <c r="M354" s="60">
        <v>11505.15</v>
      </c>
      <c r="N354" s="43">
        <v>45851</v>
      </c>
      <c r="O354" s="18" t="str">
        <f>TEXT(Table1[[#This Row],[Order_Date]],"mmm")</f>
        <v>Jul</v>
      </c>
      <c r="P354" s="18">
        <f t="shared" si="10"/>
        <v>2025</v>
      </c>
      <c r="Q354" s="45">
        <v>45860</v>
      </c>
      <c r="R354" s="19">
        <f>'Cleaned Data'!$Q354-'Cleaned Data'!$N354</f>
        <v>9</v>
      </c>
      <c r="S354" s="19" t="str">
        <f t="shared" si="11"/>
        <v>Monsoon</v>
      </c>
    </row>
    <row r="355" spans="1:19" x14ac:dyDescent="0.3">
      <c r="A355" s="11" t="s">
        <v>532</v>
      </c>
      <c r="B355" s="11" t="s">
        <v>28</v>
      </c>
      <c r="C355" s="3" t="s">
        <v>34</v>
      </c>
      <c r="D355" s="3" t="s">
        <v>45</v>
      </c>
      <c r="E355" s="3" t="s">
        <v>59</v>
      </c>
      <c r="F355" s="3" t="s">
        <v>61</v>
      </c>
      <c r="G355" s="3" t="s">
        <v>70</v>
      </c>
      <c r="H355" s="37">
        <v>1801.8</v>
      </c>
      <c r="I355" s="12">
        <v>0.3</v>
      </c>
      <c r="J355" s="37">
        <v>1261.26</v>
      </c>
      <c r="K355" s="3">
        <v>9</v>
      </c>
      <c r="L355" s="61">
        <f>Table1[[#This Row],[Final_Unit_Price]]*Table1[[#This Row],[Quantity]]</f>
        <v>11351.34</v>
      </c>
      <c r="M355" s="59">
        <v>2207.1999999999998</v>
      </c>
      <c r="N355" s="42">
        <v>45605</v>
      </c>
      <c r="O355" s="20" t="str">
        <f>TEXT(Table1[[#This Row],[Order_Date]],"mmm")</f>
        <v>Nov</v>
      </c>
      <c r="P355" s="20">
        <f t="shared" si="10"/>
        <v>2024</v>
      </c>
      <c r="Q355" s="46">
        <v>45613</v>
      </c>
      <c r="R355" s="20">
        <f>'Cleaned Data'!$Q355-'Cleaned Data'!$N355</f>
        <v>8</v>
      </c>
      <c r="S355" s="19" t="str">
        <f t="shared" si="11"/>
        <v>Winter</v>
      </c>
    </row>
    <row r="356" spans="1:19" x14ac:dyDescent="0.3">
      <c r="A356" s="13" t="s">
        <v>533</v>
      </c>
      <c r="B356" s="13" t="s">
        <v>23</v>
      </c>
      <c r="C356" s="5" t="s">
        <v>35</v>
      </c>
      <c r="D356" s="5" t="s">
        <v>46</v>
      </c>
      <c r="E356" s="5" t="s">
        <v>59</v>
      </c>
      <c r="F356" s="5" t="s">
        <v>61</v>
      </c>
      <c r="G356" s="5" t="s">
        <v>71</v>
      </c>
      <c r="H356" s="38">
        <v>30132.67</v>
      </c>
      <c r="I356" s="14">
        <v>0.05</v>
      </c>
      <c r="J356" s="38">
        <v>28626.036499999998</v>
      </c>
      <c r="K356" s="5">
        <v>4</v>
      </c>
      <c r="L356" s="62">
        <f>Table1[[#This Row],[Final_Unit_Price]]*Table1[[#This Row],[Quantity]]</f>
        <v>114504.14599999999</v>
      </c>
      <c r="M356" s="60">
        <v>40076.449999999997</v>
      </c>
      <c r="N356" s="43">
        <v>45651</v>
      </c>
      <c r="O356" s="18" t="str">
        <f>TEXT(Table1[[#This Row],[Order_Date]],"mmm")</f>
        <v>Dec</v>
      </c>
      <c r="P356" s="18">
        <f t="shared" si="10"/>
        <v>2024</v>
      </c>
      <c r="Q356" s="45">
        <v>45654</v>
      </c>
      <c r="R356" s="19">
        <f>'Cleaned Data'!$Q356-'Cleaned Data'!$N356</f>
        <v>3</v>
      </c>
      <c r="S356" s="19" t="str">
        <f t="shared" si="11"/>
        <v>Winter</v>
      </c>
    </row>
    <row r="357" spans="1:19" x14ac:dyDescent="0.3">
      <c r="A357" s="11" t="s">
        <v>534</v>
      </c>
      <c r="B357" s="11" t="s">
        <v>22</v>
      </c>
      <c r="C357" s="3" t="s">
        <v>31</v>
      </c>
      <c r="D357" s="3" t="s">
        <v>36</v>
      </c>
      <c r="E357" s="3" t="s">
        <v>58</v>
      </c>
      <c r="F357" s="3" t="s">
        <v>63</v>
      </c>
      <c r="G357" s="3" t="s">
        <v>73</v>
      </c>
      <c r="H357" s="37">
        <v>3393.91</v>
      </c>
      <c r="I357" s="12">
        <v>0.1</v>
      </c>
      <c r="J357" s="37">
        <v>3054.5189999999998</v>
      </c>
      <c r="K357" s="3">
        <v>2</v>
      </c>
      <c r="L357" s="61">
        <f>Table1[[#This Row],[Final_Unit_Price]]*Table1[[#This Row],[Quantity]]</f>
        <v>6109.0379999999996</v>
      </c>
      <c r="M357" s="59">
        <v>1527.26</v>
      </c>
      <c r="N357" s="42">
        <v>45552</v>
      </c>
      <c r="O357" s="20" t="str">
        <f>TEXT(Table1[[#This Row],[Order_Date]],"mmm")</f>
        <v>Sep</v>
      </c>
      <c r="P357" s="20">
        <f t="shared" si="10"/>
        <v>2024</v>
      </c>
      <c r="Q357" s="46">
        <v>45560</v>
      </c>
      <c r="R357" s="20">
        <f>'Cleaned Data'!$Q357-'Cleaned Data'!$N357</f>
        <v>8</v>
      </c>
      <c r="S357" s="19" t="str">
        <f t="shared" si="11"/>
        <v>Monsoon</v>
      </c>
    </row>
    <row r="358" spans="1:19" x14ac:dyDescent="0.3">
      <c r="A358" s="13" t="s">
        <v>535</v>
      </c>
      <c r="B358" s="13" t="s">
        <v>24</v>
      </c>
      <c r="C358" s="5" t="s">
        <v>32</v>
      </c>
      <c r="D358" s="5" t="s">
        <v>40</v>
      </c>
      <c r="E358" s="5" t="s">
        <v>59</v>
      </c>
      <c r="F358" s="5" t="s">
        <v>64</v>
      </c>
      <c r="G358" s="5" t="s">
        <v>72</v>
      </c>
      <c r="H358" s="38">
        <v>33234.199999999997</v>
      </c>
      <c r="I358" s="14">
        <v>0.05</v>
      </c>
      <c r="J358" s="38">
        <v>31572.489999999991</v>
      </c>
      <c r="K358" s="5">
        <v>1</v>
      </c>
      <c r="L358" s="62">
        <f>Table1[[#This Row],[Final_Unit_Price]]*Table1[[#This Row],[Quantity]]</f>
        <v>31572.489999999991</v>
      </c>
      <c r="M358" s="60">
        <v>11050.37</v>
      </c>
      <c r="N358" s="43">
        <v>45836</v>
      </c>
      <c r="O358" s="18" t="str">
        <f>TEXT(Table1[[#This Row],[Order_Date]],"mmm")</f>
        <v>Jun</v>
      </c>
      <c r="P358" s="18">
        <f t="shared" si="10"/>
        <v>2025</v>
      </c>
      <c r="Q358" s="45">
        <v>45845</v>
      </c>
      <c r="R358" s="19">
        <f>'Cleaned Data'!$Q358-'Cleaned Data'!$N358</f>
        <v>9</v>
      </c>
      <c r="S358" s="19" t="str">
        <f t="shared" si="11"/>
        <v>Monsoon</v>
      </c>
    </row>
    <row r="359" spans="1:19" x14ac:dyDescent="0.3">
      <c r="A359" s="11" t="s">
        <v>536</v>
      </c>
      <c r="B359" s="11" t="s">
        <v>27</v>
      </c>
      <c r="C359" s="3" t="s">
        <v>35</v>
      </c>
      <c r="D359" s="3" t="s">
        <v>46</v>
      </c>
      <c r="E359" s="3" t="s">
        <v>59</v>
      </c>
      <c r="F359" s="3" t="s">
        <v>62</v>
      </c>
      <c r="G359" s="3" t="s">
        <v>67</v>
      </c>
      <c r="H359" s="37">
        <v>10474.129999999999</v>
      </c>
      <c r="I359" s="12">
        <v>0.1</v>
      </c>
      <c r="J359" s="37">
        <v>9426.7169999999987</v>
      </c>
      <c r="K359" s="3">
        <v>3</v>
      </c>
      <c r="L359" s="61">
        <f>Table1[[#This Row],[Final_Unit_Price]]*Table1[[#This Row],[Quantity]]</f>
        <v>28280.150999999998</v>
      </c>
      <c r="M359" s="59">
        <v>9898.0499999999993</v>
      </c>
      <c r="N359" s="42">
        <v>45596</v>
      </c>
      <c r="O359" s="20" t="str">
        <f>TEXT(Table1[[#This Row],[Order_Date]],"mmm")</f>
        <v>Oct</v>
      </c>
      <c r="P359" s="20">
        <f t="shared" si="10"/>
        <v>2024</v>
      </c>
      <c r="Q359" s="46">
        <v>45605</v>
      </c>
      <c r="R359" s="20">
        <f>'Cleaned Data'!$Q359-'Cleaned Data'!$N359</f>
        <v>9</v>
      </c>
      <c r="S359" s="19" t="str">
        <f t="shared" si="11"/>
        <v>Winter</v>
      </c>
    </row>
    <row r="360" spans="1:19" x14ac:dyDescent="0.3">
      <c r="A360" s="13" t="s">
        <v>537</v>
      </c>
      <c r="B360" s="13" t="s">
        <v>21</v>
      </c>
      <c r="C360" s="5" t="s">
        <v>34</v>
      </c>
      <c r="D360" s="5" t="s">
        <v>45</v>
      </c>
      <c r="E360" s="5" t="s">
        <v>59</v>
      </c>
      <c r="F360" s="5" t="s">
        <v>61</v>
      </c>
      <c r="G360" s="5" t="s">
        <v>70</v>
      </c>
      <c r="H360" s="38">
        <v>3426.87</v>
      </c>
      <c r="I360" s="14">
        <v>0.3</v>
      </c>
      <c r="J360" s="38">
        <v>2398.8090000000002</v>
      </c>
      <c r="K360" s="5">
        <v>4</v>
      </c>
      <c r="L360" s="62">
        <f>Table1[[#This Row],[Final_Unit_Price]]*Table1[[#This Row],[Quantity]]</f>
        <v>9595.2360000000008</v>
      </c>
      <c r="M360" s="60">
        <v>3358.33</v>
      </c>
      <c r="N360" s="43">
        <v>45421</v>
      </c>
      <c r="O360" s="18" t="str">
        <f>TEXT(Table1[[#This Row],[Order_Date]],"mmm")</f>
        <v>May</v>
      </c>
      <c r="P360" s="18">
        <f t="shared" si="10"/>
        <v>2024</v>
      </c>
      <c r="Q360" s="45">
        <v>45428</v>
      </c>
      <c r="R360" s="19">
        <f>'Cleaned Data'!$Q360-'Cleaned Data'!$N360</f>
        <v>7</v>
      </c>
      <c r="S360" s="19" t="str">
        <f t="shared" si="11"/>
        <v>Summer</v>
      </c>
    </row>
    <row r="361" spans="1:19" x14ac:dyDescent="0.3">
      <c r="A361" s="11" t="s">
        <v>538</v>
      </c>
      <c r="B361" s="11" t="s">
        <v>26</v>
      </c>
      <c r="C361" s="3" t="s">
        <v>32</v>
      </c>
      <c r="D361" s="3" t="s">
        <v>37</v>
      </c>
      <c r="E361" s="3" t="s">
        <v>59</v>
      </c>
      <c r="F361" s="3" t="s">
        <v>62</v>
      </c>
      <c r="G361" s="3" t="s">
        <v>67</v>
      </c>
      <c r="H361" s="37">
        <v>42641.4</v>
      </c>
      <c r="I361" s="12">
        <v>0.05</v>
      </c>
      <c r="J361" s="37">
        <v>40509.33</v>
      </c>
      <c r="K361" s="3">
        <v>1</v>
      </c>
      <c r="L361" s="61">
        <f>Table1[[#This Row],[Final_Unit_Price]]*Table1[[#This Row],[Quantity]]</f>
        <v>40509.33</v>
      </c>
      <c r="M361" s="59">
        <v>14178.27</v>
      </c>
      <c r="N361" s="42">
        <v>45723</v>
      </c>
      <c r="O361" s="20" t="str">
        <f>TEXT(Table1[[#This Row],[Order_Date]],"mmm")</f>
        <v>Mar</v>
      </c>
      <c r="P361" s="20">
        <f t="shared" si="10"/>
        <v>2025</v>
      </c>
      <c r="Q361" s="46">
        <v>45728</v>
      </c>
      <c r="R361" s="20">
        <f>'Cleaned Data'!$Q361-'Cleaned Data'!$N361</f>
        <v>5</v>
      </c>
      <c r="S361" s="19" t="str">
        <f t="shared" si="11"/>
        <v>Summer</v>
      </c>
    </row>
    <row r="362" spans="1:19" x14ac:dyDescent="0.3">
      <c r="A362" s="13" t="s">
        <v>539</v>
      </c>
      <c r="B362" s="13" t="s">
        <v>18</v>
      </c>
      <c r="C362" s="5" t="s">
        <v>33</v>
      </c>
      <c r="D362" s="5" t="s">
        <v>50</v>
      </c>
      <c r="E362" s="5" t="s">
        <v>59</v>
      </c>
      <c r="F362" s="5" t="s">
        <v>61</v>
      </c>
      <c r="G362" s="5" t="s">
        <v>70</v>
      </c>
      <c r="H362" s="38">
        <v>58271.28</v>
      </c>
      <c r="I362" s="14">
        <v>0.2</v>
      </c>
      <c r="J362" s="38">
        <v>46617.023999999998</v>
      </c>
      <c r="K362" s="5">
        <v>3</v>
      </c>
      <c r="L362" s="62">
        <f>Table1[[#This Row],[Final_Unit_Price]]*Table1[[#This Row],[Quantity]]</f>
        <v>139851.07199999999</v>
      </c>
      <c r="M362" s="60">
        <v>48947.87</v>
      </c>
      <c r="N362" s="43">
        <v>45473</v>
      </c>
      <c r="O362" s="18" t="str">
        <f>TEXT(Table1[[#This Row],[Order_Date]],"mmm")</f>
        <v>Jun</v>
      </c>
      <c r="P362" s="18">
        <f t="shared" si="10"/>
        <v>2024</v>
      </c>
      <c r="Q362" s="45">
        <v>45480</v>
      </c>
      <c r="R362" s="19">
        <f>'Cleaned Data'!$Q362-'Cleaned Data'!$N362</f>
        <v>7</v>
      </c>
      <c r="S362" s="19" t="str">
        <f t="shared" si="11"/>
        <v>Monsoon</v>
      </c>
    </row>
    <row r="363" spans="1:19" x14ac:dyDescent="0.3">
      <c r="A363" s="11" t="s">
        <v>540</v>
      </c>
      <c r="B363" s="11" t="s">
        <v>16</v>
      </c>
      <c r="C363" s="3" t="s">
        <v>31</v>
      </c>
      <c r="D363" s="3" t="s">
        <v>42</v>
      </c>
      <c r="E363" s="3" t="s">
        <v>60</v>
      </c>
      <c r="F363" s="3" t="s">
        <v>63</v>
      </c>
      <c r="G363" s="3" t="s">
        <v>75</v>
      </c>
      <c r="H363" s="37">
        <v>2071.25</v>
      </c>
      <c r="I363" s="12">
        <v>0.15</v>
      </c>
      <c r="J363" s="37">
        <v>1760.5625</v>
      </c>
      <c r="K363" s="3">
        <v>8</v>
      </c>
      <c r="L363" s="61">
        <f>Table1[[#This Row],[Final_Unit_Price]]*Table1[[#This Row],[Quantity]]</f>
        <v>14084.5</v>
      </c>
      <c r="M363" s="59">
        <v>1056.3399999999999</v>
      </c>
      <c r="N363" s="42">
        <v>45853</v>
      </c>
      <c r="O363" s="20" t="str">
        <f>TEXT(Table1[[#This Row],[Order_Date]],"mmm")</f>
        <v>Jul</v>
      </c>
      <c r="P363" s="20">
        <f t="shared" si="10"/>
        <v>2025</v>
      </c>
      <c r="Q363" s="46">
        <v>45856</v>
      </c>
      <c r="R363" s="20">
        <f>'Cleaned Data'!$Q363-'Cleaned Data'!$N363</f>
        <v>3</v>
      </c>
      <c r="S363" s="19" t="str">
        <f t="shared" si="11"/>
        <v>Monsoon</v>
      </c>
    </row>
    <row r="364" spans="1:19" x14ac:dyDescent="0.3">
      <c r="A364" s="13" t="s">
        <v>541</v>
      </c>
      <c r="B364" s="13" t="s">
        <v>19</v>
      </c>
      <c r="C364" s="5" t="s">
        <v>33</v>
      </c>
      <c r="D364" s="5" t="s">
        <v>39</v>
      </c>
      <c r="E364" s="5" t="s">
        <v>58</v>
      </c>
      <c r="F364" s="5" t="s">
        <v>61</v>
      </c>
      <c r="G364" s="5" t="s">
        <v>65</v>
      </c>
      <c r="H364" s="38">
        <v>2000.2</v>
      </c>
      <c r="I364" s="14">
        <v>0.05</v>
      </c>
      <c r="J364" s="38">
        <v>1900.19</v>
      </c>
      <c r="K364" s="5">
        <v>3</v>
      </c>
      <c r="L364" s="62">
        <f>Table1[[#This Row],[Final_Unit_Price]]*Table1[[#This Row],[Quantity]]</f>
        <v>5700.57</v>
      </c>
      <c r="M364" s="60">
        <v>1425.14</v>
      </c>
      <c r="N364" s="43">
        <v>45447</v>
      </c>
      <c r="O364" s="18" t="str">
        <f>TEXT(Table1[[#This Row],[Order_Date]],"mmm")</f>
        <v>Jun</v>
      </c>
      <c r="P364" s="18">
        <f t="shared" si="10"/>
        <v>2024</v>
      </c>
      <c r="Q364" s="45">
        <v>45451</v>
      </c>
      <c r="R364" s="19">
        <f>'Cleaned Data'!$Q364-'Cleaned Data'!$N364</f>
        <v>4</v>
      </c>
      <c r="S364" s="19" t="str">
        <f t="shared" si="11"/>
        <v>Monsoon</v>
      </c>
    </row>
    <row r="365" spans="1:19" x14ac:dyDescent="0.3">
      <c r="A365" s="11" t="s">
        <v>542</v>
      </c>
      <c r="B365" s="11" t="s">
        <v>25</v>
      </c>
      <c r="C365" s="3" t="s">
        <v>34</v>
      </c>
      <c r="D365" s="3" t="s">
        <v>41</v>
      </c>
      <c r="E365" s="3" t="s">
        <v>60</v>
      </c>
      <c r="F365" s="3" t="s">
        <v>63</v>
      </c>
      <c r="G365" s="3" t="s">
        <v>73</v>
      </c>
      <c r="H365" s="37">
        <v>663.35</v>
      </c>
      <c r="I365" s="12">
        <v>0.3</v>
      </c>
      <c r="J365" s="37">
        <v>464.34500000000003</v>
      </c>
      <c r="K365" s="3">
        <v>3</v>
      </c>
      <c r="L365" s="61">
        <f>Table1[[#This Row],[Final_Unit_Price]]*Table1[[#This Row],[Quantity]]</f>
        <v>1393.0350000000001</v>
      </c>
      <c r="M365" s="59">
        <v>208.95</v>
      </c>
      <c r="N365" s="42">
        <v>45496</v>
      </c>
      <c r="O365" s="20" t="str">
        <f>TEXT(Table1[[#This Row],[Order_Date]],"mmm")</f>
        <v>Jul</v>
      </c>
      <c r="P365" s="20">
        <f t="shared" si="10"/>
        <v>2024</v>
      </c>
      <c r="Q365" s="46">
        <v>45499</v>
      </c>
      <c r="R365" s="20">
        <f>'Cleaned Data'!$Q365-'Cleaned Data'!$N365</f>
        <v>3</v>
      </c>
      <c r="S365" s="19" t="str">
        <f t="shared" si="11"/>
        <v>Monsoon</v>
      </c>
    </row>
    <row r="366" spans="1:19" x14ac:dyDescent="0.3">
      <c r="A366" s="13" t="s">
        <v>543</v>
      </c>
      <c r="B366" s="13" t="s">
        <v>26</v>
      </c>
      <c r="C366" s="5" t="s">
        <v>32</v>
      </c>
      <c r="D366" s="5" t="s">
        <v>54</v>
      </c>
      <c r="E366" s="5" t="s">
        <v>60</v>
      </c>
      <c r="F366" s="5" t="s">
        <v>61</v>
      </c>
      <c r="G366" s="5" t="s">
        <v>70</v>
      </c>
      <c r="H366" s="38">
        <v>29487.84</v>
      </c>
      <c r="I366" s="14">
        <v>0.1</v>
      </c>
      <c r="J366" s="38">
        <v>26539.056</v>
      </c>
      <c r="K366" s="5">
        <v>4</v>
      </c>
      <c r="L366" s="62">
        <f>Table1[[#This Row],[Final_Unit_Price]]*Table1[[#This Row],[Quantity]]</f>
        <v>106156.224</v>
      </c>
      <c r="M366" s="60">
        <v>15923.43</v>
      </c>
      <c r="N366" s="43">
        <v>45696</v>
      </c>
      <c r="O366" s="18" t="str">
        <f>TEXT(Table1[[#This Row],[Order_Date]],"mmm")</f>
        <v>Feb</v>
      </c>
      <c r="P366" s="18">
        <f t="shared" si="10"/>
        <v>2025</v>
      </c>
      <c r="Q366" s="45">
        <v>45706</v>
      </c>
      <c r="R366" s="19">
        <f>'Cleaned Data'!$Q366-'Cleaned Data'!$N366</f>
        <v>10</v>
      </c>
      <c r="S366" s="19" t="str">
        <f t="shared" si="11"/>
        <v>Summer</v>
      </c>
    </row>
    <row r="367" spans="1:19" x14ac:dyDescent="0.3">
      <c r="A367" s="11" t="s">
        <v>544</v>
      </c>
      <c r="B367" s="11" t="s">
        <v>21</v>
      </c>
      <c r="C367" s="3" t="s">
        <v>34</v>
      </c>
      <c r="D367" s="3" t="s">
        <v>45</v>
      </c>
      <c r="E367" s="3" t="s">
        <v>59</v>
      </c>
      <c r="F367" s="3" t="s">
        <v>61</v>
      </c>
      <c r="G367" s="3" t="s">
        <v>70</v>
      </c>
      <c r="H367" s="37">
        <v>3378.62</v>
      </c>
      <c r="I367" s="12">
        <v>0</v>
      </c>
      <c r="J367" s="37">
        <v>3378.62</v>
      </c>
      <c r="K367" s="3">
        <v>8</v>
      </c>
      <c r="L367" s="61">
        <f>Table1[[#This Row],[Final_Unit_Price]]*Table1[[#This Row],[Quantity]]</f>
        <v>27028.959999999999</v>
      </c>
      <c r="M367" s="59">
        <v>4730.07</v>
      </c>
      <c r="N367" s="42">
        <v>45685</v>
      </c>
      <c r="O367" s="20" t="str">
        <f>TEXT(Table1[[#This Row],[Order_Date]],"mmm")</f>
        <v>Jan</v>
      </c>
      <c r="P367" s="20">
        <f t="shared" si="10"/>
        <v>2025</v>
      </c>
      <c r="Q367" s="46">
        <v>45690</v>
      </c>
      <c r="R367" s="20">
        <f>'Cleaned Data'!$Q367-'Cleaned Data'!$N367</f>
        <v>5</v>
      </c>
      <c r="S367" s="19" t="str">
        <f t="shared" si="11"/>
        <v>Winter</v>
      </c>
    </row>
    <row r="368" spans="1:19" x14ac:dyDescent="0.3">
      <c r="A368" s="13" t="s">
        <v>545</v>
      </c>
      <c r="B368" s="13" t="s">
        <v>25</v>
      </c>
      <c r="C368" s="5" t="s">
        <v>34</v>
      </c>
      <c r="D368" s="5" t="s">
        <v>41</v>
      </c>
      <c r="E368" s="5" t="s">
        <v>60</v>
      </c>
      <c r="F368" s="5" t="s">
        <v>61</v>
      </c>
      <c r="G368" s="5" t="s">
        <v>71</v>
      </c>
      <c r="H368" s="38">
        <v>656.01</v>
      </c>
      <c r="I368" s="14">
        <v>0.05</v>
      </c>
      <c r="J368" s="38">
        <v>623.20949999999993</v>
      </c>
      <c r="K368" s="5">
        <v>5</v>
      </c>
      <c r="L368" s="62">
        <f>Table1[[#This Row],[Final_Unit_Price]]*Table1[[#This Row],[Quantity]]</f>
        <v>3116.0474999999997</v>
      </c>
      <c r="M368" s="60">
        <v>467.41</v>
      </c>
      <c r="N368" s="43">
        <v>45592</v>
      </c>
      <c r="O368" s="18" t="str">
        <f>TEXT(Table1[[#This Row],[Order_Date]],"mmm")</f>
        <v>Oct</v>
      </c>
      <c r="P368" s="18">
        <f t="shared" si="10"/>
        <v>2024</v>
      </c>
      <c r="Q368" s="45">
        <v>45598</v>
      </c>
      <c r="R368" s="19">
        <f>'Cleaned Data'!$Q368-'Cleaned Data'!$N368</f>
        <v>6</v>
      </c>
      <c r="S368" s="19" t="str">
        <f t="shared" si="11"/>
        <v>Winter</v>
      </c>
    </row>
    <row r="369" spans="1:19" x14ac:dyDescent="0.3">
      <c r="A369" s="11" t="s">
        <v>546</v>
      </c>
      <c r="B369" s="11" t="s">
        <v>29</v>
      </c>
      <c r="C369" s="3" t="s">
        <v>35</v>
      </c>
      <c r="D369" s="3" t="s">
        <v>44</v>
      </c>
      <c r="E369" s="3" t="s">
        <v>60</v>
      </c>
      <c r="F369" s="3" t="s">
        <v>63</v>
      </c>
      <c r="G369" s="3" t="s">
        <v>68</v>
      </c>
      <c r="H369" s="37">
        <v>15042.24</v>
      </c>
      <c r="I369" s="12">
        <v>0.25</v>
      </c>
      <c r="J369" s="37">
        <v>11281.68</v>
      </c>
      <c r="K369" s="3">
        <v>3</v>
      </c>
      <c r="L369" s="61">
        <f>Table1[[#This Row],[Final_Unit_Price]]*Table1[[#This Row],[Quantity]]</f>
        <v>33845.040000000001</v>
      </c>
      <c r="M369" s="59">
        <v>5076.76</v>
      </c>
      <c r="N369" s="42">
        <v>45504</v>
      </c>
      <c r="O369" s="20" t="str">
        <f>TEXT(Table1[[#This Row],[Order_Date]],"mmm")</f>
        <v>Jul</v>
      </c>
      <c r="P369" s="20">
        <f t="shared" si="10"/>
        <v>2024</v>
      </c>
      <c r="Q369" s="46">
        <v>45507</v>
      </c>
      <c r="R369" s="20">
        <f>'Cleaned Data'!$Q369-'Cleaned Data'!$N369</f>
        <v>3</v>
      </c>
      <c r="S369" s="19" t="str">
        <f t="shared" si="11"/>
        <v>Monsoon</v>
      </c>
    </row>
    <row r="370" spans="1:19" x14ac:dyDescent="0.3">
      <c r="A370" s="13" t="s">
        <v>547</v>
      </c>
      <c r="B370" s="13" t="s">
        <v>23</v>
      </c>
      <c r="C370" s="5" t="s">
        <v>35</v>
      </c>
      <c r="D370" s="5" t="s">
        <v>48</v>
      </c>
      <c r="E370" s="5" t="s">
        <v>58</v>
      </c>
      <c r="F370" s="5" t="s">
        <v>62</v>
      </c>
      <c r="G370" s="5" t="s">
        <v>69</v>
      </c>
      <c r="H370" s="38">
        <v>25206.84</v>
      </c>
      <c r="I370" s="14">
        <v>0.25</v>
      </c>
      <c r="J370" s="38">
        <v>18905.13</v>
      </c>
      <c r="K370" s="5">
        <v>3</v>
      </c>
      <c r="L370" s="62">
        <f>Table1[[#This Row],[Final_Unit_Price]]*Table1[[#This Row],[Quantity]]</f>
        <v>56715.39</v>
      </c>
      <c r="M370" s="60">
        <v>14178.85</v>
      </c>
      <c r="N370" s="43">
        <v>45624</v>
      </c>
      <c r="O370" s="18" t="str">
        <f>TEXT(Table1[[#This Row],[Order_Date]],"mmm")</f>
        <v>Nov</v>
      </c>
      <c r="P370" s="18">
        <f t="shared" si="10"/>
        <v>2024</v>
      </c>
      <c r="Q370" s="45">
        <v>45628</v>
      </c>
      <c r="R370" s="19">
        <f>'Cleaned Data'!$Q370-'Cleaned Data'!$N370</f>
        <v>4</v>
      </c>
      <c r="S370" s="19" t="str">
        <f t="shared" si="11"/>
        <v>Winter</v>
      </c>
    </row>
    <row r="371" spans="1:19" x14ac:dyDescent="0.3">
      <c r="A371" s="11" t="s">
        <v>548</v>
      </c>
      <c r="B371" s="11" t="s">
        <v>30</v>
      </c>
      <c r="C371" s="3" t="s">
        <v>33</v>
      </c>
      <c r="D371" s="3" t="s">
        <v>56</v>
      </c>
      <c r="E371" s="3" t="s">
        <v>60</v>
      </c>
      <c r="F371" s="3" t="s">
        <v>62</v>
      </c>
      <c r="G371" s="3" t="s">
        <v>69</v>
      </c>
      <c r="H371" s="37">
        <v>12883.35</v>
      </c>
      <c r="I371" s="12">
        <v>0.05</v>
      </c>
      <c r="J371" s="37">
        <v>12239.182500000001</v>
      </c>
      <c r="K371" s="3">
        <v>4</v>
      </c>
      <c r="L371" s="61">
        <f>Table1[[#This Row],[Final_Unit_Price]]*Table1[[#This Row],[Quantity]]</f>
        <v>48956.73</v>
      </c>
      <c r="M371" s="59">
        <v>7343.51</v>
      </c>
      <c r="N371" s="42">
        <v>45328</v>
      </c>
      <c r="O371" s="20" t="str">
        <f>TEXT(Table1[[#This Row],[Order_Date]],"mmm")</f>
        <v>Feb</v>
      </c>
      <c r="P371" s="20">
        <f t="shared" si="10"/>
        <v>2024</v>
      </c>
      <c r="Q371" s="46">
        <v>45334</v>
      </c>
      <c r="R371" s="20">
        <f>'Cleaned Data'!$Q371-'Cleaned Data'!$N371</f>
        <v>6</v>
      </c>
      <c r="S371" s="19" t="str">
        <f t="shared" si="11"/>
        <v>Summer</v>
      </c>
    </row>
    <row r="372" spans="1:19" x14ac:dyDescent="0.3">
      <c r="A372" s="13" t="s">
        <v>549</v>
      </c>
      <c r="B372" s="13" t="s">
        <v>23</v>
      </c>
      <c r="C372" s="5" t="s">
        <v>35</v>
      </c>
      <c r="D372" s="5" t="s">
        <v>48</v>
      </c>
      <c r="E372" s="5" t="s">
        <v>58</v>
      </c>
      <c r="F372" s="5" t="s">
        <v>62</v>
      </c>
      <c r="G372" s="5" t="s">
        <v>69</v>
      </c>
      <c r="H372" s="38">
        <v>27159.95</v>
      </c>
      <c r="I372" s="14">
        <v>0.15</v>
      </c>
      <c r="J372" s="38">
        <v>23085.9575</v>
      </c>
      <c r="K372" s="5">
        <v>5</v>
      </c>
      <c r="L372" s="62">
        <f>Table1[[#This Row],[Final_Unit_Price]]*Table1[[#This Row],[Quantity]]</f>
        <v>115429.78750000001</v>
      </c>
      <c r="M372" s="60">
        <v>28857.45</v>
      </c>
      <c r="N372" s="43">
        <v>45747</v>
      </c>
      <c r="O372" s="18" t="str">
        <f>TEXT(Table1[[#This Row],[Order_Date]],"mmm")</f>
        <v>Mar</v>
      </c>
      <c r="P372" s="18">
        <f t="shared" si="10"/>
        <v>2025</v>
      </c>
      <c r="Q372" s="45">
        <v>45750</v>
      </c>
      <c r="R372" s="19">
        <f>'Cleaned Data'!$Q372-'Cleaned Data'!$N372</f>
        <v>3</v>
      </c>
      <c r="S372" s="19" t="str">
        <f t="shared" si="11"/>
        <v>Summer</v>
      </c>
    </row>
    <row r="373" spans="1:19" x14ac:dyDescent="0.3">
      <c r="A373" s="11" t="s">
        <v>550</v>
      </c>
      <c r="B373" s="11" t="s">
        <v>25</v>
      </c>
      <c r="C373" s="3" t="s">
        <v>34</v>
      </c>
      <c r="D373" s="3" t="s">
        <v>41</v>
      </c>
      <c r="E373" s="3" t="s">
        <v>60</v>
      </c>
      <c r="F373" s="3" t="s">
        <v>62</v>
      </c>
      <c r="G373" s="3" t="s">
        <v>66</v>
      </c>
      <c r="H373" s="37">
        <v>684.05</v>
      </c>
      <c r="I373" s="12">
        <v>0.25</v>
      </c>
      <c r="J373" s="37">
        <v>513.03749999999991</v>
      </c>
      <c r="K373" s="3">
        <v>3</v>
      </c>
      <c r="L373" s="61">
        <f>Table1[[#This Row],[Final_Unit_Price]]*Table1[[#This Row],[Quantity]]</f>
        <v>1539.1124999999997</v>
      </c>
      <c r="M373" s="59">
        <v>230.87</v>
      </c>
      <c r="N373" s="42">
        <v>45372</v>
      </c>
      <c r="O373" s="20" t="str">
        <f>TEXT(Table1[[#This Row],[Order_Date]],"mmm")</f>
        <v>Mar</v>
      </c>
      <c r="P373" s="20">
        <f t="shared" si="10"/>
        <v>2024</v>
      </c>
      <c r="Q373" s="46">
        <v>45381</v>
      </c>
      <c r="R373" s="20">
        <f>'Cleaned Data'!$Q373-'Cleaned Data'!$N373</f>
        <v>9</v>
      </c>
      <c r="S373" s="19" t="str">
        <f t="shared" si="11"/>
        <v>Summer</v>
      </c>
    </row>
    <row r="374" spans="1:19" x14ac:dyDescent="0.3">
      <c r="A374" s="13" t="s">
        <v>551</v>
      </c>
      <c r="B374" s="13" t="s">
        <v>26</v>
      </c>
      <c r="C374" s="5" t="s">
        <v>32</v>
      </c>
      <c r="D374" s="5" t="s">
        <v>40</v>
      </c>
      <c r="E374" s="5" t="s">
        <v>59</v>
      </c>
      <c r="F374" s="5" t="s">
        <v>62</v>
      </c>
      <c r="G374" s="5" t="s">
        <v>67</v>
      </c>
      <c r="H374" s="38">
        <v>44585.33</v>
      </c>
      <c r="I374" s="14">
        <v>0.15</v>
      </c>
      <c r="J374" s="38">
        <v>37897.530500000001</v>
      </c>
      <c r="K374" s="5">
        <v>1</v>
      </c>
      <c r="L374" s="62">
        <f>Table1[[#This Row],[Final_Unit_Price]]*Table1[[#This Row],[Quantity]]</f>
        <v>37897.530500000001</v>
      </c>
      <c r="M374" s="60">
        <v>13264.14</v>
      </c>
      <c r="N374" s="43">
        <v>45551</v>
      </c>
      <c r="O374" s="18" t="str">
        <f>TEXT(Table1[[#This Row],[Order_Date]],"mmm")</f>
        <v>Sep</v>
      </c>
      <c r="P374" s="18">
        <f t="shared" si="10"/>
        <v>2024</v>
      </c>
      <c r="Q374" s="45">
        <v>45556</v>
      </c>
      <c r="R374" s="19">
        <f>'Cleaned Data'!$Q374-'Cleaned Data'!$N374</f>
        <v>5</v>
      </c>
      <c r="S374" s="19" t="str">
        <f t="shared" si="11"/>
        <v>Monsoon</v>
      </c>
    </row>
    <row r="375" spans="1:19" x14ac:dyDescent="0.3">
      <c r="A375" s="11" t="s">
        <v>552</v>
      </c>
      <c r="B375" s="11" t="s">
        <v>29</v>
      </c>
      <c r="C375" s="3" t="s">
        <v>35</v>
      </c>
      <c r="D375" s="3" t="s">
        <v>44</v>
      </c>
      <c r="E375" s="3" t="s">
        <v>60</v>
      </c>
      <c r="F375" s="3" t="s">
        <v>62</v>
      </c>
      <c r="G375" s="3" t="s">
        <v>69</v>
      </c>
      <c r="H375" s="37">
        <v>15711.9</v>
      </c>
      <c r="I375" s="12">
        <v>0.15</v>
      </c>
      <c r="J375" s="37">
        <v>13355.115</v>
      </c>
      <c r="K375" s="3">
        <v>4</v>
      </c>
      <c r="L375" s="61">
        <f>Table1[[#This Row],[Final_Unit_Price]]*Table1[[#This Row],[Quantity]]</f>
        <v>53420.46</v>
      </c>
      <c r="M375" s="59">
        <v>8013.07</v>
      </c>
      <c r="N375" s="42">
        <v>45476</v>
      </c>
      <c r="O375" s="20" t="str">
        <f>TEXT(Table1[[#This Row],[Order_Date]],"mmm")</f>
        <v>Jul</v>
      </c>
      <c r="P375" s="20">
        <f t="shared" si="10"/>
        <v>2024</v>
      </c>
      <c r="Q375" s="46">
        <v>45486</v>
      </c>
      <c r="R375" s="20">
        <f>'Cleaned Data'!$Q375-'Cleaned Data'!$N375</f>
        <v>10</v>
      </c>
      <c r="S375" s="19" t="str">
        <f t="shared" si="11"/>
        <v>Monsoon</v>
      </c>
    </row>
    <row r="376" spans="1:19" x14ac:dyDescent="0.3">
      <c r="A376" s="13" t="s">
        <v>553</v>
      </c>
      <c r="B376" s="13" t="s">
        <v>16</v>
      </c>
      <c r="C376" s="5" t="s">
        <v>31</v>
      </c>
      <c r="D376" s="5" t="s">
        <v>47</v>
      </c>
      <c r="E376" s="5" t="s">
        <v>59</v>
      </c>
      <c r="F376" s="5" t="s">
        <v>62</v>
      </c>
      <c r="G376" s="5" t="s">
        <v>67</v>
      </c>
      <c r="H376" s="38">
        <v>3096.11</v>
      </c>
      <c r="I376" s="14">
        <v>0.05</v>
      </c>
      <c r="J376" s="38">
        <v>2941.3045000000002</v>
      </c>
      <c r="K376" s="5">
        <v>4</v>
      </c>
      <c r="L376" s="62">
        <f>Table1[[#This Row],[Final_Unit_Price]]*Table1[[#This Row],[Quantity]]</f>
        <v>11765.218000000001</v>
      </c>
      <c r="M376" s="60">
        <v>4117.83</v>
      </c>
      <c r="N376" s="43">
        <v>45638</v>
      </c>
      <c r="O376" s="18" t="str">
        <f>TEXT(Table1[[#This Row],[Order_Date]],"mmm")</f>
        <v>Dec</v>
      </c>
      <c r="P376" s="18">
        <f t="shared" si="10"/>
        <v>2024</v>
      </c>
      <c r="Q376" s="45">
        <v>45643</v>
      </c>
      <c r="R376" s="19">
        <f>'Cleaned Data'!$Q376-'Cleaned Data'!$N376</f>
        <v>5</v>
      </c>
      <c r="S376" s="19" t="str">
        <f t="shared" si="11"/>
        <v>Winter</v>
      </c>
    </row>
    <row r="377" spans="1:19" x14ac:dyDescent="0.3">
      <c r="A377" s="11" t="s">
        <v>554</v>
      </c>
      <c r="B377" s="11" t="s">
        <v>23</v>
      </c>
      <c r="C377" s="3" t="s">
        <v>35</v>
      </c>
      <c r="D377" s="3" t="s">
        <v>46</v>
      </c>
      <c r="E377" s="3" t="s">
        <v>59</v>
      </c>
      <c r="F377" s="3" t="s">
        <v>62</v>
      </c>
      <c r="G377" s="3" t="s">
        <v>67</v>
      </c>
      <c r="H377" s="37">
        <v>31196.42</v>
      </c>
      <c r="I377" s="12">
        <v>0.3</v>
      </c>
      <c r="J377" s="37">
        <v>21837.493999999999</v>
      </c>
      <c r="K377" s="3">
        <v>4</v>
      </c>
      <c r="L377" s="61">
        <f>Table1[[#This Row],[Final_Unit_Price]]*Table1[[#This Row],[Quantity]]</f>
        <v>87349.975999999995</v>
      </c>
      <c r="M377" s="59">
        <v>30572.49</v>
      </c>
      <c r="N377" s="42">
        <v>45720</v>
      </c>
      <c r="O377" s="20" t="str">
        <f>TEXT(Table1[[#This Row],[Order_Date]],"mmm")</f>
        <v>Mar</v>
      </c>
      <c r="P377" s="20">
        <f t="shared" si="10"/>
        <v>2025</v>
      </c>
      <c r="Q377" s="46">
        <v>45726</v>
      </c>
      <c r="R377" s="20">
        <f>'Cleaned Data'!$Q377-'Cleaned Data'!$N377</f>
        <v>6</v>
      </c>
      <c r="S377" s="19" t="str">
        <f t="shared" si="11"/>
        <v>Summer</v>
      </c>
    </row>
    <row r="378" spans="1:19" x14ac:dyDescent="0.3">
      <c r="A378" s="13" t="s">
        <v>555</v>
      </c>
      <c r="B378" s="13" t="s">
        <v>16</v>
      </c>
      <c r="C378" s="5" t="s">
        <v>31</v>
      </c>
      <c r="D378" s="5" t="s">
        <v>36</v>
      </c>
      <c r="E378" s="5" t="s">
        <v>58</v>
      </c>
      <c r="F378" s="5" t="s">
        <v>61</v>
      </c>
      <c r="G378" s="5" t="s">
        <v>71</v>
      </c>
      <c r="H378" s="38">
        <v>2414.25</v>
      </c>
      <c r="I378" s="14">
        <v>0.1</v>
      </c>
      <c r="J378" s="38">
        <v>2172.8249999999998</v>
      </c>
      <c r="K378" s="5">
        <v>5</v>
      </c>
      <c r="L378" s="62">
        <f>Table1[[#This Row],[Final_Unit_Price]]*Table1[[#This Row],[Quantity]]</f>
        <v>10864.125</v>
      </c>
      <c r="M378" s="60">
        <v>2716.03</v>
      </c>
      <c r="N378" s="43">
        <v>45404</v>
      </c>
      <c r="O378" s="18" t="str">
        <f>TEXT(Table1[[#This Row],[Order_Date]],"mmm")</f>
        <v>Apr</v>
      </c>
      <c r="P378" s="18">
        <f t="shared" si="10"/>
        <v>2024</v>
      </c>
      <c r="Q378" s="45">
        <v>45406</v>
      </c>
      <c r="R378" s="19">
        <f>'Cleaned Data'!$Q378-'Cleaned Data'!$N378</f>
        <v>2</v>
      </c>
      <c r="S378" s="19" t="str">
        <f t="shared" si="11"/>
        <v>Summer</v>
      </c>
    </row>
    <row r="379" spans="1:19" x14ac:dyDescent="0.3">
      <c r="A379" s="11" t="s">
        <v>556</v>
      </c>
      <c r="B379" s="11" t="s">
        <v>28</v>
      </c>
      <c r="C379" s="3" t="s">
        <v>34</v>
      </c>
      <c r="D379" s="3" t="s">
        <v>49</v>
      </c>
      <c r="E379" s="3" t="s">
        <v>59</v>
      </c>
      <c r="F379" s="3" t="s">
        <v>61</v>
      </c>
      <c r="G379" s="3" t="s">
        <v>71</v>
      </c>
      <c r="H379" s="37">
        <v>1710.75</v>
      </c>
      <c r="I379" s="12">
        <v>0.15</v>
      </c>
      <c r="J379" s="37">
        <v>1454.1375</v>
      </c>
      <c r="K379" s="3">
        <v>1</v>
      </c>
      <c r="L379" s="61">
        <f>Table1[[#This Row],[Final_Unit_Price]]*Table1[[#This Row],[Quantity]]</f>
        <v>1454.1375</v>
      </c>
      <c r="M379" s="59">
        <v>508.95</v>
      </c>
      <c r="N379" s="42">
        <v>45858</v>
      </c>
      <c r="O379" s="20" t="str">
        <f>TEXT(Table1[[#This Row],[Order_Date]],"mmm")</f>
        <v>Jul</v>
      </c>
      <c r="P379" s="20">
        <f t="shared" si="10"/>
        <v>2025</v>
      </c>
      <c r="Q379" s="46">
        <v>45868</v>
      </c>
      <c r="R379" s="20">
        <f>'Cleaned Data'!$Q379-'Cleaned Data'!$N379</f>
        <v>10</v>
      </c>
      <c r="S379" s="19" t="str">
        <f t="shared" si="11"/>
        <v>Monsoon</v>
      </c>
    </row>
    <row r="380" spans="1:19" x14ac:dyDescent="0.3">
      <c r="A380" s="13" t="s">
        <v>557</v>
      </c>
      <c r="B380" s="13" t="s">
        <v>21</v>
      </c>
      <c r="C380" s="5" t="s">
        <v>34</v>
      </c>
      <c r="D380" s="5" t="s">
        <v>51</v>
      </c>
      <c r="E380" s="5" t="s">
        <v>59</v>
      </c>
      <c r="F380" s="5" t="s">
        <v>61</v>
      </c>
      <c r="G380" s="5" t="s">
        <v>71</v>
      </c>
      <c r="H380" s="38">
        <v>3420.79</v>
      </c>
      <c r="I380" s="14">
        <v>0.25</v>
      </c>
      <c r="J380" s="38">
        <v>2565.5925000000002</v>
      </c>
      <c r="K380" s="5">
        <v>3</v>
      </c>
      <c r="L380" s="62">
        <f>Table1[[#This Row],[Final_Unit_Price]]*Table1[[#This Row],[Quantity]]</f>
        <v>7696.7775000000001</v>
      </c>
      <c r="M380" s="60">
        <v>2693.87</v>
      </c>
      <c r="N380" s="43">
        <v>45757</v>
      </c>
      <c r="O380" s="18" t="str">
        <f>TEXT(Table1[[#This Row],[Order_Date]],"mmm")</f>
        <v>Apr</v>
      </c>
      <c r="P380" s="18">
        <f t="shared" si="10"/>
        <v>2025</v>
      </c>
      <c r="Q380" s="45">
        <v>45764</v>
      </c>
      <c r="R380" s="19">
        <f>'Cleaned Data'!$Q380-'Cleaned Data'!$N380</f>
        <v>7</v>
      </c>
      <c r="S380" s="19" t="str">
        <f t="shared" si="11"/>
        <v>Summer</v>
      </c>
    </row>
    <row r="381" spans="1:19" x14ac:dyDescent="0.3">
      <c r="A381" s="11" t="s">
        <v>558</v>
      </c>
      <c r="B381" s="11" t="s">
        <v>22</v>
      </c>
      <c r="C381" s="3" t="s">
        <v>31</v>
      </c>
      <c r="D381" s="3" t="s">
        <v>36</v>
      </c>
      <c r="E381" s="3" t="s">
        <v>58</v>
      </c>
      <c r="F381" s="3" t="s">
        <v>63</v>
      </c>
      <c r="G381" s="3" t="s">
        <v>68</v>
      </c>
      <c r="H381" s="37">
        <v>3248.61</v>
      </c>
      <c r="I381" s="12">
        <v>0.15</v>
      </c>
      <c r="J381" s="37">
        <v>2761.3184999999999</v>
      </c>
      <c r="K381" s="3">
        <v>4</v>
      </c>
      <c r="L381" s="61">
        <f>Table1[[#This Row],[Final_Unit_Price]]*Table1[[#This Row],[Quantity]]</f>
        <v>11045.273999999999</v>
      </c>
      <c r="M381" s="59">
        <v>2761.32</v>
      </c>
      <c r="N381" s="42">
        <v>45554</v>
      </c>
      <c r="O381" s="20" t="str">
        <f>TEXT(Table1[[#This Row],[Order_Date]],"mmm")</f>
        <v>Sep</v>
      </c>
      <c r="P381" s="20">
        <f t="shared" si="10"/>
        <v>2024</v>
      </c>
      <c r="Q381" s="46">
        <v>45560</v>
      </c>
      <c r="R381" s="20">
        <f>'Cleaned Data'!$Q381-'Cleaned Data'!$N381</f>
        <v>6</v>
      </c>
      <c r="S381" s="19" t="str">
        <f t="shared" si="11"/>
        <v>Monsoon</v>
      </c>
    </row>
    <row r="382" spans="1:19" x14ac:dyDescent="0.3">
      <c r="A382" s="13" t="s">
        <v>559</v>
      </c>
      <c r="B382" s="13" t="s">
        <v>24</v>
      </c>
      <c r="C382" s="5" t="s">
        <v>32</v>
      </c>
      <c r="D382" s="5" t="s">
        <v>43</v>
      </c>
      <c r="E382" s="5" t="s">
        <v>58</v>
      </c>
      <c r="F382" s="5" t="s">
        <v>64</v>
      </c>
      <c r="G382" s="5" t="s">
        <v>76</v>
      </c>
      <c r="H382" s="38">
        <v>26010.89</v>
      </c>
      <c r="I382" s="14">
        <v>0.2</v>
      </c>
      <c r="J382" s="38">
        <v>20808.712</v>
      </c>
      <c r="K382" s="5">
        <v>1</v>
      </c>
      <c r="L382" s="62">
        <f>Table1[[#This Row],[Final_Unit_Price]]*Table1[[#This Row],[Quantity]]</f>
        <v>20808.712</v>
      </c>
      <c r="M382" s="60">
        <v>5202.18</v>
      </c>
      <c r="N382" s="43">
        <v>45817</v>
      </c>
      <c r="O382" s="18" t="str">
        <f>TEXT(Table1[[#This Row],[Order_Date]],"mmm")</f>
        <v>Jun</v>
      </c>
      <c r="P382" s="18">
        <f t="shared" si="10"/>
        <v>2025</v>
      </c>
      <c r="Q382" s="45">
        <v>45821</v>
      </c>
      <c r="R382" s="19">
        <f>'Cleaned Data'!$Q382-'Cleaned Data'!$N382</f>
        <v>4</v>
      </c>
      <c r="S382" s="19" t="str">
        <f t="shared" si="11"/>
        <v>Monsoon</v>
      </c>
    </row>
    <row r="383" spans="1:19" x14ac:dyDescent="0.3">
      <c r="A383" s="11" t="s">
        <v>560</v>
      </c>
      <c r="B383" s="11" t="s">
        <v>30</v>
      </c>
      <c r="C383" s="3" t="s">
        <v>33</v>
      </c>
      <c r="D383" s="3" t="s">
        <v>38</v>
      </c>
      <c r="E383" s="3" t="s">
        <v>59</v>
      </c>
      <c r="F383" s="3" t="s">
        <v>63</v>
      </c>
      <c r="G383" s="3" t="s">
        <v>68</v>
      </c>
      <c r="H383" s="37">
        <v>16566.79</v>
      </c>
      <c r="I383" s="12">
        <v>0.1</v>
      </c>
      <c r="J383" s="37">
        <v>14910.111000000001</v>
      </c>
      <c r="K383" s="3">
        <v>5</v>
      </c>
      <c r="L383" s="61">
        <f>Table1[[#This Row],[Final_Unit_Price]]*Table1[[#This Row],[Quantity]]</f>
        <v>74550.555000000008</v>
      </c>
      <c r="M383" s="59">
        <v>26092.7</v>
      </c>
      <c r="N383" s="42">
        <v>45630</v>
      </c>
      <c r="O383" s="20" t="str">
        <f>TEXT(Table1[[#This Row],[Order_Date]],"mmm")</f>
        <v>Dec</v>
      </c>
      <c r="P383" s="20">
        <f t="shared" si="10"/>
        <v>2024</v>
      </c>
      <c r="Q383" s="46">
        <v>45635</v>
      </c>
      <c r="R383" s="20">
        <f>'Cleaned Data'!$Q383-'Cleaned Data'!$N383</f>
        <v>5</v>
      </c>
      <c r="S383" s="19" t="str">
        <f t="shared" si="11"/>
        <v>Winter</v>
      </c>
    </row>
    <row r="384" spans="1:19" x14ac:dyDescent="0.3">
      <c r="A384" s="13" t="s">
        <v>561</v>
      </c>
      <c r="B384" s="13" t="s">
        <v>17</v>
      </c>
      <c r="C384" s="5" t="s">
        <v>32</v>
      </c>
      <c r="D384" s="5" t="s">
        <v>43</v>
      </c>
      <c r="E384" s="5" t="s">
        <v>58</v>
      </c>
      <c r="F384" s="5" t="s">
        <v>61</v>
      </c>
      <c r="G384" s="5" t="s">
        <v>71</v>
      </c>
      <c r="H384" s="38">
        <v>7677.76</v>
      </c>
      <c r="I384" s="14">
        <v>0.3</v>
      </c>
      <c r="J384" s="38">
        <v>5374.4319999999998</v>
      </c>
      <c r="K384" s="5">
        <v>2</v>
      </c>
      <c r="L384" s="62">
        <f>Table1[[#This Row],[Final_Unit_Price]]*Table1[[#This Row],[Quantity]]</f>
        <v>10748.864</v>
      </c>
      <c r="M384" s="60">
        <v>2687.22</v>
      </c>
      <c r="N384" s="43">
        <v>45571</v>
      </c>
      <c r="O384" s="18" t="str">
        <f>TEXT(Table1[[#This Row],[Order_Date]],"mmm")</f>
        <v>Oct</v>
      </c>
      <c r="P384" s="18">
        <f t="shared" si="10"/>
        <v>2024</v>
      </c>
      <c r="Q384" s="45">
        <v>45578</v>
      </c>
      <c r="R384" s="19">
        <f>'Cleaned Data'!$Q384-'Cleaned Data'!$N384</f>
        <v>7</v>
      </c>
      <c r="S384" s="19" t="str">
        <f t="shared" si="11"/>
        <v>Winter</v>
      </c>
    </row>
    <row r="385" spans="1:19" x14ac:dyDescent="0.3">
      <c r="A385" s="11" t="s">
        <v>562</v>
      </c>
      <c r="B385" s="11" t="s">
        <v>28</v>
      </c>
      <c r="C385" s="3" t="s">
        <v>34</v>
      </c>
      <c r="D385" s="3" t="s">
        <v>49</v>
      </c>
      <c r="E385" s="3" t="s">
        <v>59</v>
      </c>
      <c r="F385" s="3" t="s">
        <v>63</v>
      </c>
      <c r="G385" s="3" t="s">
        <v>68</v>
      </c>
      <c r="H385" s="37">
        <v>1661.9</v>
      </c>
      <c r="I385" s="12">
        <v>0.3</v>
      </c>
      <c r="J385" s="37">
        <v>1163.33</v>
      </c>
      <c r="K385" s="3">
        <v>4</v>
      </c>
      <c r="L385" s="61">
        <f>Table1[[#This Row],[Final_Unit_Price]]*Table1[[#This Row],[Quantity]]</f>
        <v>4653.32</v>
      </c>
      <c r="M385" s="59">
        <v>1628.66</v>
      </c>
      <c r="N385" s="42">
        <v>45507</v>
      </c>
      <c r="O385" s="20" t="str">
        <f>TEXT(Table1[[#This Row],[Order_Date]],"mmm")</f>
        <v>Aug</v>
      </c>
      <c r="P385" s="20">
        <f t="shared" si="10"/>
        <v>2024</v>
      </c>
      <c r="Q385" s="46">
        <v>45517</v>
      </c>
      <c r="R385" s="20">
        <f>'Cleaned Data'!$Q385-'Cleaned Data'!$N385</f>
        <v>10</v>
      </c>
      <c r="S385" s="19" t="str">
        <f t="shared" si="11"/>
        <v>Monsoon</v>
      </c>
    </row>
    <row r="386" spans="1:19" x14ac:dyDescent="0.3">
      <c r="A386" s="13" t="s">
        <v>563</v>
      </c>
      <c r="B386" s="13" t="s">
        <v>30</v>
      </c>
      <c r="C386" s="5" t="s">
        <v>33</v>
      </c>
      <c r="D386" s="5" t="s">
        <v>53</v>
      </c>
      <c r="E386" s="5" t="s">
        <v>58</v>
      </c>
      <c r="F386" s="5" t="s">
        <v>61</v>
      </c>
      <c r="G386" s="5" t="s">
        <v>71</v>
      </c>
      <c r="H386" s="38">
        <v>14742.02</v>
      </c>
      <c r="I386" s="14">
        <v>0</v>
      </c>
      <c r="J386" s="38">
        <v>14742.02</v>
      </c>
      <c r="K386" s="5">
        <v>4</v>
      </c>
      <c r="L386" s="62">
        <f>Table1[[#This Row],[Final_Unit_Price]]*Table1[[#This Row],[Quantity]]</f>
        <v>58968.08</v>
      </c>
      <c r="M386" s="60">
        <v>14742.02</v>
      </c>
      <c r="N386" s="43">
        <v>45730</v>
      </c>
      <c r="O386" s="18" t="str">
        <f>TEXT(Table1[[#This Row],[Order_Date]],"mmm")</f>
        <v>Mar</v>
      </c>
      <c r="P386" s="18">
        <f t="shared" si="10"/>
        <v>2025</v>
      </c>
      <c r="Q386" s="45">
        <v>45740</v>
      </c>
      <c r="R386" s="19">
        <f>'Cleaned Data'!$Q386-'Cleaned Data'!$N386</f>
        <v>10</v>
      </c>
      <c r="S386" s="19" t="str">
        <f t="shared" si="11"/>
        <v>Summer</v>
      </c>
    </row>
    <row r="387" spans="1:19" x14ac:dyDescent="0.3">
      <c r="A387" s="11" t="s">
        <v>564</v>
      </c>
      <c r="B387" s="11" t="s">
        <v>23</v>
      </c>
      <c r="C387" s="3" t="s">
        <v>35</v>
      </c>
      <c r="D387" s="3" t="s">
        <v>38</v>
      </c>
      <c r="E387" s="3" t="s">
        <v>59</v>
      </c>
      <c r="F387" s="3" t="s">
        <v>61</v>
      </c>
      <c r="G387" s="3" t="s">
        <v>70</v>
      </c>
      <c r="H387" s="37">
        <v>29234.79</v>
      </c>
      <c r="I387" s="12">
        <v>0.1</v>
      </c>
      <c r="J387" s="37">
        <v>26311.311000000002</v>
      </c>
      <c r="K387" s="3">
        <v>5</v>
      </c>
      <c r="L387" s="61">
        <f>Table1[[#This Row],[Final_Unit_Price]]*Table1[[#This Row],[Quantity]]</f>
        <v>131556.55499999999</v>
      </c>
      <c r="M387" s="59">
        <v>46044.79</v>
      </c>
      <c r="N387" s="42">
        <v>45438</v>
      </c>
      <c r="O387" s="20" t="str">
        <f>TEXT(Table1[[#This Row],[Order_Date]],"mmm")</f>
        <v>May</v>
      </c>
      <c r="P387" s="20">
        <f t="shared" ref="P387:P450" si="12">YEAR(N387)</f>
        <v>2024</v>
      </c>
      <c r="Q387" s="46">
        <v>45448</v>
      </c>
      <c r="R387" s="20">
        <f>'Cleaned Data'!$Q387-'Cleaned Data'!$N387</f>
        <v>10</v>
      </c>
      <c r="S387" s="19" t="str">
        <f t="shared" ref="S387:S450" si="13">IF(OR(O387="Feb",O387="Mar",O387="Apr",O387="May"),"Summer",
   IF(OR(O387="Jun",O387="Jul",O387="Aug",O387="Sep"),"Monsoon",
   IF(OR(O387="Oct",O387="Nov",O387="Dec",O387= "Jan"),"Winter","Invalid")))</f>
        <v>Summer</v>
      </c>
    </row>
    <row r="388" spans="1:19" x14ac:dyDescent="0.3">
      <c r="A388" s="13" t="s">
        <v>565</v>
      </c>
      <c r="B388" s="13" t="s">
        <v>21</v>
      </c>
      <c r="C388" s="5" t="s">
        <v>34</v>
      </c>
      <c r="D388" s="5" t="s">
        <v>41</v>
      </c>
      <c r="E388" s="5" t="s">
        <v>60</v>
      </c>
      <c r="F388" s="5" t="s">
        <v>61</v>
      </c>
      <c r="G388" s="5" t="s">
        <v>71</v>
      </c>
      <c r="H388" s="38">
        <v>2440.06</v>
      </c>
      <c r="I388" s="14">
        <v>0.15</v>
      </c>
      <c r="J388" s="38">
        <v>2074.0509999999999</v>
      </c>
      <c r="K388" s="5">
        <v>4</v>
      </c>
      <c r="L388" s="62">
        <f>Table1[[#This Row],[Final_Unit_Price]]*Table1[[#This Row],[Quantity]]</f>
        <v>8296.2039999999997</v>
      </c>
      <c r="M388" s="60">
        <v>1244.43</v>
      </c>
      <c r="N388" s="43">
        <v>45489</v>
      </c>
      <c r="O388" s="18" t="str">
        <f>TEXT(Table1[[#This Row],[Order_Date]],"mmm")</f>
        <v>Jul</v>
      </c>
      <c r="P388" s="18">
        <f t="shared" si="12"/>
        <v>2024</v>
      </c>
      <c r="Q388" s="45">
        <v>45496</v>
      </c>
      <c r="R388" s="19">
        <f>'Cleaned Data'!$Q388-'Cleaned Data'!$N388</f>
        <v>7</v>
      </c>
      <c r="S388" s="19" t="str">
        <f t="shared" si="13"/>
        <v>Monsoon</v>
      </c>
    </row>
    <row r="389" spans="1:19" x14ac:dyDescent="0.3">
      <c r="A389" s="11" t="s">
        <v>566</v>
      </c>
      <c r="B389" s="11" t="s">
        <v>26</v>
      </c>
      <c r="C389" s="3" t="s">
        <v>32</v>
      </c>
      <c r="D389" s="3" t="s">
        <v>43</v>
      </c>
      <c r="E389" s="3" t="s">
        <v>58</v>
      </c>
      <c r="F389" s="3" t="s">
        <v>63</v>
      </c>
      <c r="G389" s="3" t="s">
        <v>73</v>
      </c>
      <c r="H389" s="37">
        <v>34527.980000000003</v>
      </c>
      <c r="I389" s="12">
        <v>0.15</v>
      </c>
      <c r="J389" s="37">
        <v>29348.782999999999</v>
      </c>
      <c r="K389" s="3">
        <v>5</v>
      </c>
      <c r="L389" s="61">
        <f>Table1[[#This Row],[Final_Unit_Price]]*Table1[[#This Row],[Quantity]]</f>
        <v>146743.91500000001</v>
      </c>
      <c r="M389" s="59">
        <v>36685.980000000003</v>
      </c>
      <c r="N389" s="42">
        <v>45499</v>
      </c>
      <c r="O389" s="20" t="str">
        <f>TEXT(Table1[[#This Row],[Order_Date]],"mmm")</f>
        <v>Jul</v>
      </c>
      <c r="P389" s="20">
        <f t="shared" si="12"/>
        <v>2024</v>
      </c>
      <c r="Q389" s="46">
        <v>45507</v>
      </c>
      <c r="R389" s="20">
        <f>'Cleaned Data'!$Q389-'Cleaned Data'!$N389</f>
        <v>8</v>
      </c>
      <c r="S389" s="19" t="str">
        <f t="shared" si="13"/>
        <v>Monsoon</v>
      </c>
    </row>
    <row r="390" spans="1:19" x14ac:dyDescent="0.3">
      <c r="A390" s="13" t="s">
        <v>567</v>
      </c>
      <c r="B390" s="13" t="s">
        <v>24</v>
      </c>
      <c r="C390" s="5" t="s">
        <v>32</v>
      </c>
      <c r="D390" s="5" t="s">
        <v>40</v>
      </c>
      <c r="E390" s="5" t="s">
        <v>59</v>
      </c>
      <c r="F390" s="5" t="s">
        <v>63</v>
      </c>
      <c r="G390" s="5" t="s">
        <v>68</v>
      </c>
      <c r="H390" s="38">
        <v>28417.51</v>
      </c>
      <c r="I390" s="14">
        <v>0.25</v>
      </c>
      <c r="J390" s="38">
        <v>21313.1325</v>
      </c>
      <c r="K390" s="5">
        <v>4</v>
      </c>
      <c r="L390" s="62">
        <f>Table1[[#This Row],[Final_Unit_Price]]*Table1[[#This Row],[Quantity]]</f>
        <v>85252.53</v>
      </c>
      <c r="M390" s="60">
        <v>29838.39</v>
      </c>
      <c r="N390" s="43">
        <v>45612</v>
      </c>
      <c r="O390" s="18" t="str">
        <f>TEXT(Table1[[#This Row],[Order_Date]],"mmm")</f>
        <v>Nov</v>
      </c>
      <c r="P390" s="18">
        <f t="shared" si="12"/>
        <v>2024</v>
      </c>
      <c r="Q390" s="45">
        <v>45622</v>
      </c>
      <c r="R390" s="19">
        <f>'Cleaned Data'!$Q390-'Cleaned Data'!$N390</f>
        <v>10</v>
      </c>
      <c r="S390" s="19" t="str">
        <f t="shared" si="13"/>
        <v>Winter</v>
      </c>
    </row>
    <row r="391" spans="1:19" x14ac:dyDescent="0.3">
      <c r="A391" s="11" t="s">
        <v>568</v>
      </c>
      <c r="B391" s="11" t="s">
        <v>27</v>
      </c>
      <c r="C391" s="3" t="s">
        <v>35</v>
      </c>
      <c r="D391" s="3" t="s">
        <v>46</v>
      </c>
      <c r="E391" s="3" t="s">
        <v>59</v>
      </c>
      <c r="F391" s="3" t="s">
        <v>62</v>
      </c>
      <c r="G391" s="3" t="s">
        <v>67</v>
      </c>
      <c r="H391" s="37">
        <v>10003.879999999999</v>
      </c>
      <c r="I391" s="12">
        <v>0.2</v>
      </c>
      <c r="J391" s="37">
        <v>8003.1039999999994</v>
      </c>
      <c r="K391" s="3">
        <v>4</v>
      </c>
      <c r="L391" s="61">
        <f>Table1[[#This Row],[Final_Unit_Price]]*Table1[[#This Row],[Quantity]]</f>
        <v>32012.415999999997</v>
      </c>
      <c r="M391" s="59">
        <v>11204.35</v>
      </c>
      <c r="N391" s="42">
        <v>45321</v>
      </c>
      <c r="O391" s="20" t="str">
        <f>TEXT(Table1[[#This Row],[Order_Date]],"mmm")</f>
        <v>Jan</v>
      </c>
      <c r="P391" s="20">
        <f t="shared" si="12"/>
        <v>2024</v>
      </c>
      <c r="Q391" s="46">
        <v>45325</v>
      </c>
      <c r="R391" s="20">
        <f>'Cleaned Data'!$Q391-'Cleaned Data'!$N391</f>
        <v>4</v>
      </c>
      <c r="S391" s="19" t="str">
        <f t="shared" si="13"/>
        <v>Winter</v>
      </c>
    </row>
    <row r="392" spans="1:19" x14ac:dyDescent="0.3">
      <c r="A392" s="13" t="s">
        <v>569</v>
      </c>
      <c r="B392" s="13" t="s">
        <v>18</v>
      </c>
      <c r="C392" s="5" t="s">
        <v>33</v>
      </c>
      <c r="D392" s="5" t="s">
        <v>50</v>
      </c>
      <c r="E392" s="5" t="s">
        <v>59</v>
      </c>
      <c r="F392" s="5" t="s">
        <v>63</v>
      </c>
      <c r="G392" s="5" t="s">
        <v>75</v>
      </c>
      <c r="H392" s="38">
        <v>55751.03</v>
      </c>
      <c r="I392" s="14">
        <v>0.1</v>
      </c>
      <c r="J392" s="38">
        <v>50175.927000000003</v>
      </c>
      <c r="K392" s="5">
        <v>1</v>
      </c>
      <c r="L392" s="62">
        <f>Table1[[#This Row],[Final_Unit_Price]]*Table1[[#This Row],[Quantity]]</f>
        <v>50175.927000000003</v>
      </c>
      <c r="M392" s="60">
        <v>17561.580000000002</v>
      </c>
      <c r="N392" s="43">
        <v>45385</v>
      </c>
      <c r="O392" s="18" t="str">
        <f>TEXT(Table1[[#This Row],[Order_Date]],"mmm")</f>
        <v>Apr</v>
      </c>
      <c r="P392" s="18">
        <f t="shared" si="12"/>
        <v>2024</v>
      </c>
      <c r="Q392" s="45">
        <v>45389</v>
      </c>
      <c r="R392" s="19">
        <f>'Cleaned Data'!$Q392-'Cleaned Data'!$N392</f>
        <v>4</v>
      </c>
      <c r="S392" s="19" t="str">
        <f t="shared" si="13"/>
        <v>Summer</v>
      </c>
    </row>
    <row r="393" spans="1:19" x14ac:dyDescent="0.3">
      <c r="A393" s="11" t="s">
        <v>570</v>
      </c>
      <c r="B393" s="11" t="s">
        <v>22</v>
      </c>
      <c r="C393" s="3" t="s">
        <v>31</v>
      </c>
      <c r="D393" s="3" t="s">
        <v>47</v>
      </c>
      <c r="E393" s="3" t="s">
        <v>59</v>
      </c>
      <c r="F393" s="3" t="s">
        <v>64</v>
      </c>
      <c r="G393" s="3" t="s">
        <v>74</v>
      </c>
      <c r="H393" s="37">
        <v>4569.83</v>
      </c>
      <c r="I393" s="12">
        <v>0.3</v>
      </c>
      <c r="J393" s="37">
        <v>3198.8809999999999</v>
      </c>
      <c r="K393" s="3">
        <v>5</v>
      </c>
      <c r="L393" s="61">
        <f>Table1[[#This Row],[Final_Unit_Price]]*Table1[[#This Row],[Quantity]]</f>
        <v>15994.404999999999</v>
      </c>
      <c r="M393" s="59">
        <v>5598.04</v>
      </c>
      <c r="N393" s="42">
        <v>45810</v>
      </c>
      <c r="O393" s="20" t="str">
        <f>TEXT(Table1[[#This Row],[Order_Date]],"mmm")</f>
        <v>Jun</v>
      </c>
      <c r="P393" s="20">
        <f t="shared" si="12"/>
        <v>2025</v>
      </c>
      <c r="Q393" s="46">
        <v>45816</v>
      </c>
      <c r="R393" s="20">
        <f>'Cleaned Data'!$Q393-'Cleaned Data'!$N393</f>
        <v>6</v>
      </c>
      <c r="S393" s="19" t="str">
        <f t="shared" si="13"/>
        <v>Monsoon</v>
      </c>
    </row>
    <row r="394" spans="1:19" x14ac:dyDescent="0.3">
      <c r="A394" s="13" t="s">
        <v>571</v>
      </c>
      <c r="B394" s="13" t="s">
        <v>23</v>
      </c>
      <c r="C394" s="5" t="s">
        <v>35</v>
      </c>
      <c r="D394" s="5" t="s">
        <v>44</v>
      </c>
      <c r="E394" s="5" t="s">
        <v>60</v>
      </c>
      <c r="F394" s="5" t="s">
        <v>61</v>
      </c>
      <c r="G394" s="5" t="s">
        <v>65</v>
      </c>
      <c r="H394" s="38">
        <v>20612.810000000001</v>
      </c>
      <c r="I394" s="14">
        <v>0.15</v>
      </c>
      <c r="J394" s="38">
        <v>17520.888500000001</v>
      </c>
      <c r="K394" s="5">
        <v>1</v>
      </c>
      <c r="L394" s="62">
        <f>Table1[[#This Row],[Final_Unit_Price]]*Table1[[#This Row],[Quantity]]</f>
        <v>17520.888500000001</v>
      </c>
      <c r="M394" s="60">
        <v>2628.13</v>
      </c>
      <c r="N394" s="43">
        <v>45342</v>
      </c>
      <c r="O394" s="18" t="str">
        <f>TEXT(Table1[[#This Row],[Order_Date]],"mmm")</f>
        <v>Feb</v>
      </c>
      <c r="P394" s="18">
        <f t="shared" si="12"/>
        <v>2024</v>
      </c>
      <c r="Q394" s="45">
        <v>45346</v>
      </c>
      <c r="R394" s="19">
        <f>'Cleaned Data'!$Q394-'Cleaned Data'!$N394</f>
        <v>4</v>
      </c>
      <c r="S394" s="19" t="str">
        <f t="shared" si="13"/>
        <v>Summer</v>
      </c>
    </row>
    <row r="395" spans="1:19" x14ac:dyDescent="0.3">
      <c r="A395" s="11" t="s">
        <v>572</v>
      </c>
      <c r="B395" s="11" t="s">
        <v>21</v>
      </c>
      <c r="C395" s="3" t="s">
        <v>34</v>
      </c>
      <c r="D395" s="3" t="s">
        <v>49</v>
      </c>
      <c r="E395" s="3" t="s">
        <v>59</v>
      </c>
      <c r="F395" s="3" t="s">
        <v>64</v>
      </c>
      <c r="G395" s="3" t="s">
        <v>74</v>
      </c>
      <c r="H395" s="37">
        <v>4024.85</v>
      </c>
      <c r="I395" s="12">
        <v>0.25</v>
      </c>
      <c r="J395" s="37">
        <v>3018.6374999999998</v>
      </c>
      <c r="K395" s="3">
        <v>1</v>
      </c>
      <c r="L395" s="61">
        <f>Table1[[#This Row],[Final_Unit_Price]]*Table1[[#This Row],[Quantity]]</f>
        <v>3018.6374999999998</v>
      </c>
      <c r="M395" s="59">
        <v>1056.52</v>
      </c>
      <c r="N395" s="42">
        <v>45700</v>
      </c>
      <c r="O395" s="20" t="str">
        <f>TEXT(Table1[[#This Row],[Order_Date]],"mmm")</f>
        <v>Feb</v>
      </c>
      <c r="P395" s="20">
        <f t="shared" si="12"/>
        <v>2025</v>
      </c>
      <c r="Q395" s="46">
        <v>45708</v>
      </c>
      <c r="R395" s="20">
        <f>'Cleaned Data'!$Q395-'Cleaned Data'!$N395</f>
        <v>8</v>
      </c>
      <c r="S395" s="19" t="str">
        <f t="shared" si="13"/>
        <v>Summer</v>
      </c>
    </row>
    <row r="396" spans="1:19" x14ac:dyDescent="0.3">
      <c r="A396" s="13" t="s">
        <v>573</v>
      </c>
      <c r="B396" s="13" t="s">
        <v>23</v>
      </c>
      <c r="C396" s="5" t="s">
        <v>35</v>
      </c>
      <c r="D396" s="5" t="s">
        <v>48</v>
      </c>
      <c r="E396" s="5" t="s">
        <v>58</v>
      </c>
      <c r="F396" s="5" t="s">
        <v>61</v>
      </c>
      <c r="G396" s="5" t="s">
        <v>70</v>
      </c>
      <c r="H396" s="38">
        <v>24958.41</v>
      </c>
      <c r="I396" s="14">
        <v>0</v>
      </c>
      <c r="J396" s="38">
        <v>24958.41</v>
      </c>
      <c r="K396" s="5">
        <v>5</v>
      </c>
      <c r="L396" s="62">
        <f>Table1[[#This Row],[Final_Unit_Price]]*Table1[[#This Row],[Quantity]]</f>
        <v>124792.05</v>
      </c>
      <c r="M396" s="60">
        <v>31198.01</v>
      </c>
      <c r="N396" s="43">
        <v>45618</v>
      </c>
      <c r="O396" s="18" t="str">
        <f>TEXT(Table1[[#This Row],[Order_Date]],"mmm")</f>
        <v>Nov</v>
      </c>
      <c r="P396" s="18">
        <f t="shared" si="12"/>
        <v>2024</v>
      </c>
      <c r="Q396" s="45">
        <v>45627</v>
      </c>
      <c r="R396" s="19">
        <f>'Cleaned Data'!$Q396-'Cleaned Data'!$N396</f>
        <v>9</v>
      </c>
      <c r="S396" s="19" t="str">
        <f t="shared" si="13"/>
        <v>Winter</v>
      </c>
    </row>
    <row r="397" spans="1:19" x14ac:dyDescent="0.3">
      <c r="A397" s="11" t="s">
        <v>574</v>
      </c>
      <c r="B397" s="11" t="s">
        <v>24</v>
      </c>
      <c r="C397" s="3" t="s">
        <v>32</v>
      </c>
      <c r="D397" s="3" t="s">
        <v>43</v>
      </c>
      <c r="E397" s="3" t="s">
        <v>58</v>
      </c>
      <c r="F397" s="3" t="s">
        <v>64</v>
      </c>
      <c r="G397" s="3" t="s">
        <v>74</v>
      </c>
      <c r="H397" s="37">
        <v>28298.86</v>
      </c>
      <c r="I397" s="12">
        <v>0.1</v>
      </c>
      <c r="J397" s="37">
        <v>25468.973999999998</v>
      </c>
      <c r="K397" s="3">
        <v>5</v>
      </c>
      <c r="L397" s="61">
        <f>Table1[[#This Row],[Final_Unit_Price]]*Table1[[#This Row],[Quantity]]</f>
        <v>127344.87</v>
      </c>
      <c r="M397" s="59">
        <v>31836.22</v>
      </c>
      <c r="N397" s="42">
        <v>45502</v>
      </c>
      <c r="O397" s="20" t="str">
        <f>TEXT(Table1[[#This Row],[Order_Date]],"mmm")</f>
        <v>Jul</v>
      </c>
      <c r="P397" s="20">
        <f t="shared" si="12"/>
        <v>2024</v>
      </c>
      <c r="Q397" s="46">
        <v>45506</v>
      </c>
      <c r="R397" s="20">
        <f>'Cleaned Data'!$Q397-'Cleaned Data'!$N397</f>
        <v>4</v>
      </c>
      <c r="S397" s="19" t="str">
        <f t="shared" si="13"/>
        <v>Monsoon</v>
      </c>
    </row>
    <row r="398" spans="1:19" x14ac:dyDescent="0.3">
      <c r="A398" s="13" t="s">
        <v>575</v>
      </c>
      <c r="B398" s="13" t="s">
        <v>20</v>
      </c>
      <c r="C398" s="5" t="s">
        <v>32</v>
      </c>
      <c r="D398" s="5" t="s">
        <v>43</v>
      </c>
      <c r="E398" s="5" t="s">
        <v>58</v>
      </c>
      <c r="F398" s="5" t="s">
        <v>63</v>
      </c>
      <c r="G398" s="5" t="s">
        <v>75</v>
      </c>
      <c r="H398" s="38">
        <v>27594.57</v>
      </c>
      <c r="I398" s="14">
        <v>0.2</v>
      </c>
      <c r="J398" s="38">
        <v>22075.655999999999</v>
      </c>
      <c r="K398" s="5">
        <v>1</v>
      </c>
      <c r="L398" s="62">
        <f>Table1[[#This Row],[Final_Unit_Price]]*Table1[[#This Row],[Quantity]]</f>
        <v>22075.655999999999</v>
      </c>
      <c r="M398" s="60">
        <v>5518.91</v>
      </c>
      <c r="N398" s="43">
        <v>45682</v>
      </c>
      <c r="O398" s="18" t="str">
        <f>TEXT(Table1[[#This Row],[Order_Date]],"mmm")</f>
        <v>Jan</v>
      </c>
      <c r="P398" s="18">
        <f t="shared" si="12"/>
        <v>2025</v>
      </c>
      <c r="Q398" s="45">
        <v>45686</v>
      </c>
      <c r="R398" s="19">
        <f>'Cleaned Data'!$Q398-'Cleaned Data'!$N398</f>
        <v>4</v>
      </c>
      <c r="S398" s="19" t="str">
        <f t="shared" si="13"/>
        <v>Winter</v>
      </c>
    </row>
    <row r="399" spans="1:19" x14ac:dyDescent="0.3">
      <c r="A399" s="11" t="s">
        <v>576</v>
      </c>
      <c r="B399" s="11" t="s">
        <v>18</v>
      </c>
      <c r="C399" s="3" t="s">
        <v>33</v>
      </c>
      <c r="D399" s="3" t="s">
        <v>53</v>
      </c>
      <c r="E399" s="3" t="s">
        <v>58</v>
      </c>
      <c r="F399" s="3" t="s">
        <v>64</v>
      </c>
      <c r="G399" s="3" t="s">
        <v>76</v>
      </c>
      <c r="H399" s="37">
        <v>51839.08</v>
      </c>
      <c r="I399" s="12">
        <v>0</v>
      </c>
      <c r="J399" s="37">
        <v>51839.08</v>
      </c>
      <c r="K399" s="3">
        <v>1</v>
      </c>
      <c r="L399" s="61">
        <f>Table1[[#This Row],[Final_Unit_Price]]*Table1[[#This Row],[Quantity]]</f>
        <v>51839.08</v>
      </c>
      <c r="M399" s="59">
        <v>12959.77</v>
      </c>
      <c r="N399" s="42">
        <v>45413</v>
      </c>
      <c r="O399" s="20" t="str">
        <f>TEXT(Table1[[#This Row],[Order_Date]],"mmm")</f>
        <v>May</v>
      </c>
      <c r="P399" s="20">
        <f t="shared" si="12"/>
        <v>2024</v>
      </c>
      <c r="Q399" s="46">
        <v>45416</v>
      </c>
      <c r="R399" s="20">
        <f>'Cleaned Data'!$Q399-'Cleaned Data'!$N399</f>
        <v>3</v>
      </c>
      <c r="S399" s="19" t="str">
        <f t="shared" si="13"/>
        <v>Summer</v>
      </c>
    </row>
    <row r="400" spans="1:19" x14ac:dyDescent="0.3">
      <c r="A400" s="13" t="s">
        <v>577</v>
      </c>
      <c r="B400" s="13" t="s">
        <v>20</v>
      </c>
      <c r="C400" s="5" t="s">
        <v>32</v>
      </c>
      <c r="D400" s="5" t="s">
        <v>54</v>
      </c>
      <c r="E400" s="5" t="s">
        <v>60</v>
      </c>
      <c r="F400" s="5" t="s">
        <v>61</v>
      </c>
      <c r="G400" s="5" t="s">
        <v>70</v>
      </c>
      <c r="H400" s="38">
        <v>25930.92</v>
      </c>
      <c r="I400" s="14">
        <v>0</v>
      </c>
      <c r="J400" s="38">
        <v>25930.92</v>
      </c>
      <c r="K400" s="5">
        <v>2</v>
      </c>
      <c r="L400" s="62">
        <f>Table1[[#This Row],[Final_Unit_Price]]*Table1[[#This Row],[Quantity]]</f>
        <v>51861.84</v>
      </c>
      <c r="M400" s="60">
        <v>7779.28</v>
      </c>
      <c r="N400" s="43">
        <v>45355</v>
      </c>
      <c r="O400" s="18" t="str">
        <f>TEXT(Table1[[#This Row],[Order_Date]],"mmm")</f>
        <v>Mar</v>
      </c>
      <c r="P400" s="18">
        <f t="shared" si="12"/>
        <v>2024</v>
      </c>
      <c r="Q400" s="45">
        <v>45362</v>
      </c>
      <c r="R400" s="19">
        <f>'Cleaned Data'!$Q400-'Cleaned Data'!$N400</f>
        <v>7</v>
      </c>
      <c r="S400" s="19" t="str">
        <f t="shared" si="13"/>
        <v>Summer</v>
      </c>
    </row>
    <row r="401" spans="1:19" x14ac:dyDescent="0.3">
      <c r="A401" s="11" t="s">
        <v>578</v>
      </c>
      <c r="B401" s="11" t="s">
        <v>17</v>
      </c>
      <c r="C401" s="3" t="s">
        <v>32</v>
      </c>
      <c r="D401" s="3" t="s">
        <v>54</v>
      </c>
      <c r="E401" s="3" t="s">
        <v>60</v>
      </c>
      <c r="F401" s="3" t="s">
        <v>62</v>
      </c>
      <c r="G401" s="3" t="s">
        <v>69</v>
      </c>
      <c r="H401" s="37">
        <v>7254.33</v>
      </c>
      <c r="I401" s="12">
        <v>0.1</v>
      </c>
      <c r="J401" s="37">
        <v>6528.8969999999999</v>
      </c>
      <c r="K401" s="3">
        <v>2</v>
      </c>
      <c r="L401" s="61">
        <f>Table1[[#This Row],[Final_Unit_Price]]*Table1[[#This Row],[Quantity]]</f>
        <v>13057.794</v>
      </c>
      <c r="M401" s="59">
        <v>1958.67</v>
      </c>
      <c r="N401" s="42">
        <v>45640</v>
      </c>
      <c r="O401" s="20" t="str">
        <f>TEXT(Table1[[#This Row],[Order_Date]],"mmm")</f>
        <v>Dec</v>
      </c>
      <c r="P401" s="20">
        <f t="shared" si="12"/>
        <v>2024</v>
      </c>
      <c r="Q401" s="46">
        <v>45642</v>
      </c>
      <c r="R401" s="20">
        <f>'Cleaned Data'!$Q401-'Cleaned Data'!$N401</f>
        <v>2</v>
      </c>
      <c r="S401" s="19" t="str">
        <f t="shared" si="13"/>
        <v>Winter</v>
      </c>
    </row>
    <row r="402" spans="1:19" x14ac:dyDescent="0.3">
      <c r="A402" s="13" t="s">
        <v>579</v>
      </c>
      <c r="B402" s="13" t="s">
        <v>18</v>
      </c>
      <c r="C402" s="5" t="s">
        <v>33</v>
      </c>
      <c r="D402" s="5" t="s">
        <v>50</v>
      </c>
      <c r="E402" s="5" t="s">
        <v>59</v>
      </c>
      <c r="F402" s="5" t="s">
        <v>63</v>
      </c>
      <c r="G402" s="5" t="s">
        <v>68</v>
      </c>
      <c r="H402" s="38">
        <v>58300.52</v>
      </c>
      <c r="I402" s="14">
        <v>0.2</v>
      </c>
      <c r="J402" s="38">
        <v>46640.415999999997</v>
      </c>
      <c r="K402" s="5">
        <v>5</v>
      </c>
      <c r="L402" s="62">
        <f>Table1[[#This Row],[Final_Unit_Price]]*Table1[[#This Row],[Quantity]]</f>
        <v>233202.08</v>
      </c>
      <c r="M402" s="60">
        <v>81620.73</v>
      </c>
      <c r="N402" s="43">
        <v>45447</v>
      </c>
      <c r="O402" s="18" t="str">
        <f>TEXT(Table1[[#This Row],[Order_Date]],"mmm")</f>
        <v>Jun</v>
      </c>
      <c r="P402" s="18">
        <f t="shared" si="12"/>
        <v>2024</v>
      </c>
      <c r="Q402" s="45">
        <v>45457</v>
      </c>
      <c r="R402" s="19">
        <f>'Cleaned Data'!$Q402-'Cleaned Data'!$N402</f>
        <v>10</v>
      </c>
      <c r="S402" s="19" t="str">
        <f t="shared" si="13"/>
        <v>Monsoon</v>
      </c>
    </row>
    <row r="403" spans="1:19" x14ac:dyDescent="0.3">
      <c r="A403" s="11" t="s">
        <v>580</v>
      </c>
      <c r="B403" s="11" t="s">
        <v>25</v>
      </c>
      <c r="C403" s="3" t="s">
        <v>34</v>
      </c>
      <c r="D403" s="3" t="s">
        <v>49</v>
      </c>
      <c r="E403" s="3" t="s">
        <v>59</v>
      </c>
      <c r="F403" s="3" t="s">
        <v>61</v>
      </c>
      <c r="G403" s="3" t="s">
        <v>70</v>
      </c>
      <c r="H403" s="37">
        <v>903.04</v>
      </c>
      <c r="I403" s="12">
        <v>0.05</v>
      </c>
      <c r="J403" s="37">
        <v>857.88799999999992</v>
      </c>
      <c r="K403" s="3">
        <v>2</v>
      </c>
      <c r="L403" s="61">
        <f>Table1[[#This Row],[Final_Unit_Price]]*Table1[[#This Row],[Quantity]]</f>
        <v>1715.7759999999998</v>
      </c>
      <c r="M403" s="59">
        <v>600.52</v>
      </c>
      <c r="N403" s="42">
        <v>45747</v>
      </c>
      <c r="O403" s="20" t="str">
        <f>TEXT(Table1[[#This Row],[Order_Date]],"mmm")</f>
        <v>Mar</v>
      </c>
      <c r="P403" s="20">
        <f t="shared" si="12"/>
        <v>2025</v>
      </c>
      <c r="Q403" s="46">
        <v>45751</v>
      </c>
      <c r="R403" s="20">
        <f>'Cleaned Data'!$Q403-'Cleaned Data'!$N403</f>
        <v>4</v>
      </c>
      <c r="S403" s="19" t="str">
        <f t="shared" si="13"/>
        <v>Summer</v>
      </c>
    </row>
    <row r="404" spans="1:19" x14ac:dyDescent="0.3">
      <c r="A404" s="13" t="s">
        <v>581</v>
      </c>
      <c r="B404" s="13" t="s">
        <v>21</v>
      </c>
      <c r="C404" s="5" t="s">
        <v>34</v>
      </c>
      <c r="D404" s="5" t="s">
        <v>41</v>
      </c>
      <c r="E404" s="5" t="s">
        <v>60</v>
      </c>
      <c r="F404" s="5" t="s">
        <v>61</v>
      </c>
      <c r="G404" s="5" t="s">
        <v>65</v>
      </c>
      <c r="H404" s="38">
        <v>2571.54</v>
      </c>
      <c r="I404" s="14">
        <v>0.25</v>
      </c>
      <c r="J404" s="38">
        <v>1928.655</v>
      </c>
      <c r="K404" s="5">
        <v>9</v>
      </c>
      <c r="L404" s="62">
        <f>Table1[[#This Row],[Final_Unit_Price]]*Table1[[#This Row],[Quantity]]</f>
        <v>17357.895</v>
      </c>
      <c r="M404" s="60">
        <v>1446.49</v>
      </c>
      <c r="N404" s="43">
        <v>45296</v>
      </c>
      <c r="O404" s="18" t="str">
        <f>TEXT(Table1[[#This Row],[Order_Date]],"mmm")</f>
        <v>Jan</v>
      </c>
      <c r="P404" s="18">
        <f t="shared" si="12"/>
        <v>2024</v>
      </c>
      <c r="Q404" s="45">
        <v>45304</v>
      </c>
      <c r="R404" s="19">
        <f>'Cleaned Data'!$Q404-'Cleaned Data'!$N404</f>
        <v>8</v>
      </c>
      <c r="S404" s="19" t="str">
        <f t="shared" si="13"/>
        <v>Winter</v>
      </c>
    </row>
    <row r="405" spans="1:19" x14ac:dyDescent="0.3">
      <c r="A405" s="11" t="s">
        <v>582</v>
      </c>
      <c r="B405" s="11" t="s">
        <v>23</v>
      </c>
      <c r="C405" s="3" t="s">
        <v>35</v>
      </c>
      <c r="D405" s="3" t="s">
        <v>48</v>
      </c>
      <c r="E405" s="3" t="s">
        <v>58</v>
      </c>
      <c r="F405" s="3" t="s">
        <v>61</v>
      </c>
      <c r="G405" s="3" t="s">
        <v>65</v>
      </c>
      <c r="H405" s="37">
        <v>25617.46</v>
      </c>
      <c r="I405" s="12">
        <v>0.05</v>
      </c>
      <c r="J405" s="37">
        <v>24336.587</v>
      </c>
      <c r="K405" s="3">
        <v>5</v>
      </c>
      <c r="L405" s="61">
        <f>Table1[[#This Row],[Final_Unit_Price]]*Table1[[#This Row],[Quantity]]</f>
        <v>121682.935</v>
      </c>
      <c r="M405" s="59">
        <v>30420.73</v>
      </c>
      <c r="N405" s="42">
        <v>45666</v>
      </c>
      <c r="O405" s="20" t="str">
        <f>TEXT(Table1[[#This Row],[Order_Date]],"mmm")</f>
        <v>Jan</v>
      </c>
      <c r="P405" s="20">
        <f t="shared" si="12"/>
        <v>2025</v>
      </c>
      <c r="Q405" s="46">
        <v>45669</v>
      </c>
      <c r="R405" s="20">
        <f>'Cleaned Data'!$Q405-'Cleaned Data'!$N405</f>
        <v>3</v>
      </c>
      <c r="S405" s="19" t="str">
        <f t="shared" si="13"/>
        <v>Winter</v>
      </c>
    </row>
    <row r="406" spans="1:19" x14ac:dyDescent="0.3">
      <c r="A406" s="13" t="s">
        <v>583</v>
      </c>
      <c r="B406" s="13" t="s">
        <v>24</v>
      </c>
      <c r="C406" s="5" t="s">
        <v>32</v>
      </c>
      <c r="D406" s="5" t="s">
        <v>40</v>
      </c>
      <c r="E406" s="5" t="s">
        <v>59</v>
      </c>
      <c r="F406" s="5" t="s">
        <v>62</v>
      </c>
      <c r="G406" s="5" t="s">
        <v>67</v>
      </c>
      <c r="H406" s="38">
        <v>31989.91</v>
      </c>
      <c r="I406" s="14">
        <v>0.2</v>
      </c>
      <c r="J406" s="38">
        <v>25591.928</v>
      </c>
      <c r="K406" s="5">
        <v>5</v>
      </c>
      <c r="L406" s="62">
        <f>Table1[[#This Row],[Final_Unit_Price]]*Table1[[#This Row],[Quantity]]</f>
        <v>127959.64</v>
      </c>
      <c r="M406" s="60">
        <v>44785.87</v>
      </c>
      <c r="N406" s="43">
        <v>45484</v>
      </c>
      <c r="O406" s="18" t="str">
        <f>TEXT(Table1[[#This Row],[Order_Date]],"mmm")</f>
        <v>Jul</v>
      </c>
      <c r="P406" s="18">
        <f t="shared" si="12"/>
        <v>2024</v>
      </c>
      <c r="Q406" s="45">
        <v>45491</v>
      </c>
      <c r="R406" s="19">
        <f>'Cleaned Data'!$Q406-'Cleaned Data'!$N406</f>
        <v>7</v>
      </c>
      <c r="S406" s="19" t="str">
        <f t="shared" si="13"/>
        <v>Monsoon</v>
      </c>
    </row>
    <row r="407" spans="1:19" x14ac:dyDescent="0.3">
      <c r="A407" s="11" t="s">
        <v>584</v>
      </c>
      <c r="B407" s="11" t="s">
        <v>29</v>
      </c>
      <c r="C407" s="3" t="s">
        <v>35</v>
      </c>
      <c r="D407" s="3" t="s">
        <v>48</v>
      </c>
      <c r="E407" s="3" t="s">
        <v>58</v>
      </c>
      <c r="F407" s="3" t="s">
        <v>63</v>
      </c>
      <c r="G407" s="3" t="s">
        <v>75</v>
      </c>
      <c r="H407" s="37">
        <v>16620.009999999998</v>
      </c>
      <c r="I407" s="12">
        <v>0.25</v>
      </c>
      <c r="J407" s="37">
        <v>12465.0075</v>
      </c>
      <c r="K407" s="3">
        <v>5</v>
      </c>
      <c r="L407" s="61">
        <f>Table1[[#This Row],[Final_Unit_Price]]*Table1[[#This Row],[Quantity]]</f>
        <v>62325.037499999999</v>
      </c>
      <c r="M407" s="59">
        <v>15581.26</v>
      </c>
      <c r="N407" s="42">
        <v>45357</v>
      </c>
      <c r="O407" s="20" t="str">
        <f>TEXT(Table1[[#This Row],[Order_Date]],"mmm")</f>
        <v>Mar</v>
      </c>
      <c r="P407" s="20">
        <f t="shared" si="12"/>
        <v>2024</v>
      </c>
      <c r="Q407" s="46">
        <v>45364</v>
      </c>
      <c r="R407" s="20">
        <f>'Cleaned Data'!$Q407-'Cleaned Data'!$N407</f>
        <v>7</v>
      </c>
      <c r="S407" s="19" t="str">
        <f t="shared" si="13"/>
        <v>Summer</v>
      </c>
    </row>
    <row r="408" spans="1:19" x14ac:dyDescent="0.3">
      <c r="A408" s="13" t="s">
        <v>585</v>
      </c>
      <c r="B408" s="13" t="s">
        <v>25</v>
      </c>
      <c r="C408" s="5" t="s">
        <v>34</v>
      </c>
      <c r="D408" s="5" t="s">
        <v>52</v>
      </c>
      <c r="E408" s="5" t="s">
        <v>60</v>
      </c>
      <c r="F408" s="5" t="s">
        <v>62</v>
      </c>
      <c r="G408" s="5" t="s">
        <v>67</v>
      </c>
      <c r="H408" s="38">
        <v>683.09</v>
      </c>
      <c r="I408" s="14">
        <v>0.3</v>
      </c>
      <c r="J408" s="38">
        <v>478.16300000000001</v>
      </c>
      <c r="K408" s="5">
        <v>2</v>
      </c>
      <c r="L408" s="62">
        <f>Table1[[#This Row],[Final_Unit_Price]]*Table1[[#This Row],[Quantity]]</f>
        <v>956.32600000000002</v>
      </c>
      <c r="M408" s="60">
        <v>143.44999999999999</v>
      </c>
      <c r="N408" s="43">
        <v>45758</v>
      </c>
      <c r="O408" s="18" t="str">
        <f>TEXT(Table1[[#This Row],[Order_Date]],"mmm")</f>
        <v>Apr</v>
      </c>
      <c r="P408" s="18">
        <f t="shared" si="12"/>
        <v>2025</v>
      </c>
      <c r="Q408" s="45">
        <v>45760</v>
      </c>
      <c r="R408" s="19">
        <f>'Cleaned Data'!$Q408-'Cleaned Data'!$N408</f>
        <v>2</v>
      </c>
      <c r="S408" s="19" t="str">
        <f t="shared" si="13"/>
        <v>Summer</v>
      </c>
    </row>
    <row r="409" spans="1:19" x14ac:dyDescent="0.3">
      <c r="A409" s="11" t="s">
        <v>586</v>
      </c>
      <c r="B409" s="11" t="s">
        <v>27</v>
      </c>
      <c r="C409" s="3" t="s">
        <v>35</v>
      </c>
      <c r="D409" s="3" t="s">
        <v>48</v>
      </c>
      <c r="E409" s="3" t="s">
        <v>58</v>
      </c>
      <c r="F409" s="3" t="s">
        <v>61</v>
      </c>
      <c r="G409" s="3" t="s">
        <v>70</v>
      </c>
      <c r="H409" s="37">
        <v>7707.83</v>
      </c>
      <c r="I409" s="12">
        <v>0</v>
      </c>
      <c r="J409" s="37">
        <v>7707.83</v>
      </c>
      <c r="K409" s="3">
        <v>5</v>
      </c>
      <c r="L409" s="61">
        <f>Table1[[#This Row],[Final_Unit_Price]]*Table1[[#This Row],[Quantity]]</f>
        <v>38539.15</v>
      </c>
      <c r="M409" s="59">
        <v>9634.7900000000009</v>
      </c>
      <c r="N409" s="42">
        <v>45678</v>
      </c>
      <c r="O409" s="20" t="str">
        <f>TEXT(Table1[[#This Row],[Order_Date]],"mmm")</f>
        <v>Jan</v>
      </c>
      <c r="P409" s="20">
        <f t="shared" si="12"/>
        <v>2025</v>
      </c>
      <c r="Q409" s="46">
        <v>45680</v>
      </c>
      <c r="R409" s="20">
        <f>'Cleaned Data'!$Q409-'Cleaned Data'!$N409</f>
        <v>2</v>
      </c>
      <c r="S409" s="19" t="str">
        <f t="shared" si="13"/>
        <v>Winter</v>
      </c>
    </row>
    <row r="410" spans="1:19" x14ac:dyDescent="0.3">
      <c r="A410" s="13" t="s">
        <v>587</v>
      </c>
      <c r="B410" s="13" t="s">
        <v>29</v>
      </c>
      <c r="C410" s="5" t="s">
        <v>35</v>
      </c>
      <c r="D410" s="5" t="s">
        <v>48</v>
      </c>
      <c r="E410" s="5" t="s">
        <v>58</v>
      </c>
      <c r="F410" s="5" t="s">
        <v>64</v>
      </c>
      <c r="G410" s="5" t="s">
        <v>72</v>
      </c>
      <c r="H410" s="38">
        <v>19580.48</v>
      </c>
      <c r="I410" s="14">
        <v>0.25</v>
      </c>
      <c r="J410" s="38">
        <v>14685.36</v>
      </c>
      <c r="K410" s="5">
        <v>3</v>
      </c>
      <c r="L410" s="62">
        <f>Table1[[#This Row],[Final_Unit_Price]]*Table1[[#This Row],[Quantity]]</f>
        <v>44056.08</v>
      </c>
      <c r="M410" s="60">
        <v>11014.02</v>
      </c>
      <c r="N410" s="43">
        <v>45840</v>
      </c>
      <c r="O410" s="18" t="str">
        <f>TEXT(Table1[[#This Row],[Order_Date]],"mmm")</f>
        <v>Jul</v>
      </c>
      <c r="P410" s="18">
        <f t="shared" si="12"/>
        <v>2025</v>
      </c>
      <c r="Q410" s="45">
        <v>45848</v>
      </c>
      <c r="R410" s="19">
        <f>'Cleaned Data'!$Q410-'Cleaned Data'!$N410</f>
        <v>8</v>
      </c>
      <c r="S410" s="19" t="str">
        <f t="shared" si="13"/>
        <v>Monsoon</v>
      </c>
    </row>
    <row r="411" spans="1:19" x14ac:dyDescent="0.3">
      <c r="A411" s="11" t="s">
        <v>588</v>
      </c>
      <c r="B411" s="11" t="s">
        <v>26</v>
      </c>
      <c r="C411" s="3" t="s">
        <v>32</v>
      </c>
      <c r="D411" s="3" t="s">
        <v>43</v>
      </c>
      <c r="E411" s="3" t="s">
        <v>58</v>
      </c>
      <c r="F411" s="3" t="s">
        <v>61</v>
      </c>
      <c r="G411" s="3" t="s">
        <v>70</v>
      </c>
      <c r="H411" s="37">
        <v>33462.239999999998</v>
      </c>
      <c r="I411" s="12">
        <v>0.2</v>
      </c>
      <c r="J411" s="37">
        <v>26769.792000000001</v>
      </c>
      <c r="K411" s="3">
        <v>3</v>
      </c>
      <c r="L411" s="61">
        <f>Table1[[#This Row],[Final_Unit_Price]]*Table1[[#This Row],[Quantity]]</f>
        <v>80309.376000000004</v>
      </c>
      <c r="M411" s="59">
        <v>20077.349999999999</v>
      </c>
      <c r="N411" s="42">
        <v>45537</v>
      </c>
      <c r="O411" s="20" t="str">
        <f>TEXT(Table1[[#This Row],[Order_Date]],"mmm")</f>
        <v>Sep</v>
      </c>
      <c r="P411" s="20">
        <f t="shared" si="12"/>
        <v>2024</v>
      </c>
      <c r="Q411" s="46">
        <v>45544</v>
      </c>
      <c r="R411" s="20">
        <f>'Cleaned Data'!$Q411-'Cleaned Data'!$N411</f>
        <v>7</v>
      </c>
      <c r="S411" s="19" t="str">
        <f t="shared" si="13"/>
        <v>Monsoon</v>
      </c>
    </row>
    <row r="412" spans="1:19" x14ac:dyDescent="0.3">
      <c r="A412" s="13" t="s">
        <v>589</v>
      </c>
      <c r="B412" s="13" t="s">
        <v>27</v>
      </c>
      <c r="C412" s="5" t="s">
        <v>35</v>
      </c>
      <c r="D412" s="5" t="s">
        <v>46</v>
      </c>
      <c r="E412" s="5" t="s">
        <v>59</v>
      </c>
      <c r="F412" s="5" t="s">
        <v>61</v>
      </c>
      <c r="G412" s="5" t="s">
        <v>70</v>
      </c>
      <c r="H412" s="38">
        <v>9619.52</v>
      </c>
      <c r="I412" s="14">
        <v>0.25</v>
      </c>
      <c r="J412" s="38">
        <v>7214.64</v>
      </c>
      <c r="K412" s="5">
        <v>3</v>
      </c>
      <c r="L412" s="62">
        <f>Table1[[#This Row],[Final_Unit_Price]]*Table1[[#This Row],[Quantity]]</f>
        <v>21643.920000000002</v>
      </c>
      <c r="M412" s="60">
        <v>7575.37</v>
      </c>
      <c r="N412" s="43">
        <v>45616</v>
      </c>
      <c r="O412" s="18" t="str">
        <f>TEXT(Table1[[#This Row],[Order_Date]],"mmm")</f>
        <v>Nov</v>
      </c>
      <c r="P412" s="18">
        <f t="shared" si="12"/>
        <v>2024</v>
      </c>
      <c r="Q412" s="45">
        <v>45619</v>
      </c>
      <c r="R412" s="19">
        <f>'Cleaned Data'!$Q412-'Cleaned Data'!$N412</f>
        <v>3</v>
      </c>
      <c r="S412" s="19" t="str">
        <f t="shared" si="13"/>
        <v>Winter</v>
      </c>
    </row>
    <row r="413" spans="1:19" x14ac:dyDescent="0.3">
      <c r="A413" s="11" t="s">
        <v>590</v>
      </c>
      <c r="B413" s="11" t="s">
        <v>19</v>
      </c>
      <c r="C413" s="3" t="s">
        <v>33</v>
      </c>
      <c r="D413" s="3" t="s">
        <v>56</v>
      </c>
      <c r="E413" s="3" t="s">
        <v>60</v>
      </c>
      <c r="F413" s="3" t="s">
        <v>61</v>
      </c>
      <c r="G413" s="3" t="s">
        <v>71</v>
      </c>
      <c r="H413" s="37">
        <v>1673.01</v>
      </c>
      <c r="I413" s="12">
        <v>0.25</v>
      </c>
      <c r="J413" s="37">
        <v>1254.7574999999999</v>
      </c>
      <c r="K413" s="3">
        <v>5</v>
      </c>
      <c r="L413" s="61">
        <f>Table1[[#This Row],[Final_Unit_Price]]*Table1[[#This Row],[Quantity]]</f>
        <v>6273.7874999999995</v>
      </c>
      <c r="M413" s="59">
        <v>941.07</v>
      </c>
      <c r="N413" s="42">
        <v>45722</v>
      </c>
      <c r="O413" s="20" t="str">
        <f>TEXT(Table1[[#This Row],[Order_Date]],"mmm")</f>
        <v>Mar</v>
      </c>
      <c r="P413" s="20">
        <f t="shared" si="12"/>
        <v>2025</v>
      </c>
      <c r="Q413" s="46">
        <v>45724</v>
      </c>
      <c r="R413" s="20">
        <f>'Cleaned Data'!$Q413-'Cleaned Data'!$N413</f>
        <v>2</v>
      </c>
      <c r="S413" s="19" t="str">
        <f t="shared" si="13"/>
        <v>Summer</v>
      </c>
    </row>
    <row r="414" spans="1:19" x14ac:dyDescent="0.3">
      <c r="A414" s="13" t="s">
        <v>591</v>
      </c>
      <c r="B414" s="13" t="s">
        <v>21</v>
      </c>
      <c r="C414" s="5" t="s">
        <v>34</v>
      </c>
      <c r="D414" s="5" t="s">
        <v>52</v>
      </c>
      <c r="E414" s="5" t="s">
        <v>60</v>
      </c>
      <c r="F414" s="5" t="s">
        <v>63</v>
      </c>
      <c r="G414" s="5" t="s">
        <v>73</v>
      </c>
      <c r="H414" s="38">
        <v>2403.9</v>
      </c>
      <c r="I414" s="14">
        <v>0</v>
      </c>
      <c r="J414" s="38">
        <v>2403.9</v>
      </c>
      <c r="K414" s="5">
        <v>4</v>
      </c>
      <c r="L414" s="62">
        <f>Table1[[#This Row],[Final_Unit_Price]]*Table1[[#This Row],[Quantity]]</f>
        <v>9615.6</v>
      </c>
      <c r="M414" s="60">
        <v>1442.34</v>
      </c>
      <c r="N414" s="43">
        <v>45668</v>
      </c>
      <c r="O414" s="18" t="str">
        <f>TEXT(Table1[[#This Row],[Order_Date]],"mmm")</f>
        <v>Jan</v>
      </c>
      <c r="P414" s="18">
        <f t="shared" si="12"/>
        <v>2025</v>
      </c>
      <c r="Q414" s="45">
        <v>45671</v>
      </c>
      <c r="R414" s="19">
        <f>'Cleaned Data'!$Q414-'Cleaned Data'!$N414</f>
        <v>3</v>
      </c>
      <c r="S414" s="19" t="str">
        <f t="shared" si="13"/>
        <v>Winter</v>
      </c>
    </row>
    <row r="415" spans="1:19" x14ac:dyDescent="0.3">
      <c r="A415" s="11" t="s">
        <v>592</v>
      </c>
      <c r="B415" s="11" t="s">
        <v>26</v>
      </c>
      <c r="C415" s="3" t="s">
        <v>32</v>
      </c>
      <c r="D415" s="3" t="s">
        <v>40</v>
      </c>
      <c r="E415" s="3" t="s">
        <v>59</v>
      </c>
      <c r="F415" s="3" t="s">
        <v>63</v>
      </c>
      <c r="G415" s="3" t="s">
        <v>73</v>
      </c>
      <c r="H415" s="37">
        <v>39872.9</v>
      </c>
      <c r="I415" s="12">
        <v>0.15</v>
      </c>
      <c r="J415" s="37">
        <v>33891.964999999997</v>
      </c>
      <c r="K415" s="3">
        <v>3</v>
      </c>
      <c r="L415" s="61">
        <f>Table1[[#This Row],[Final_Unit_Price]]*Table1[[#This Row],[Quantity]]</f>
        <v>101675.89499999999</v>
      </c>
      <c r="M415" s="59">
        <v>35586.559999999998</v>
      </c>
      <c r="N415" s="42">
        <v>45298</v>
      </c>
      <c r="O415" s="20" t="str">
        <f>TEXT(Table1[[#This Row],[Order_Date]],"mmm")</f>
        <v>Jan</v>
      </c>
      <c r="P415" s="20">
        <f t="shared" si="12"/>
        <v>2024</v>
      </c>
      <c r="Q415" s="46">
        <v>45306</v>
      </c>
      <c r="R415" s="20">
        <f>'Cleaned Data'!$Q415-'Cleaned Data'!$N415</f>
        <v>8</v>
      </c>
      <c r="S415" s="19" t="str">
        <f t="shared" si="13"/>
        <v>Winter</v>
      </c>
    </row>
    <row r="416" spans="1:19" x14ac:dyDescent="0.3">
      <c r="A416" s="13" t="s">
        <v>593</v>
      </c>
      <c r="B416" s="13" t="s">
        <v>17</v>
      </c>
      <c r="C416" s="5" t="s">
        <v>32</v>
      </c>
      <c r="D416" s="5" t="s">
        <v>37</v>
      </c>
      <c r="E416" s="5" t="s">
        <v>59</v>
      </c>
      <c r="F416" s="5" t="s">
        <v>64</v>
      </c>
      <c r="G416" s="5" t="s">
        <v>74</v>
      </c>
      <c r="H416" s="38">
        <v>10507.04</v>
      </c>
      <c r="I416" s="14">
        <v>0.05</v>
      </c>
      <c r="J416" s="38">
        <v>9981.6880000000001</v>
      </c>
      <c r="K416" s="5">
        <v>5</v>
      </c>
      <c r="L416" s="62">
        <f>Table1[[#This Row],[Final_Unit_Price]]*Table1[[#This Row],[Quantity]]</f>
        <v>49908.44</v>
      </c>
      <c r="M416" s="60">
        <v>17467.95</v>
      </c>
      <c r="N416" s="43">
        <v>45610</v>
      </c>
      <c r="O416" s="18" t="str">
        <f>TEXT(Table1[[#This Row],[Order_Date]],"mmm")</f>
        <v>Nov</v>
      </c>
      <c r="P416" s="18">
        <f t="shared" si="12"/>
        <v>2024</v>
      </c>
      <c r="Q416" s="45">
        <v>45615</v>
      </c>
      <c r="R416" s="19">
        <f>'Cleaned Data'!$Q416-'Cleaned Data'!$N416</f>
        <v>5</v>
      </c>
      <c r="S416" s="19" t="str">
        <f t="shared" si="13"/>
        <v>Winter</v>
      </c>
    </row>
    <row r="417" spans="1:19" x14ac:dyDescent="0.3">
      <c r="A417" s="11" t="s">
        <v>594</v>
      </c>
      <c r="B417" s="11" t="s">
        <v>27</v>
      </c>
      <c r="C417" s="3" t="s">
        <v>35</v>
      </c>
      <c r="D417" s="3" t="s">
        <v>46</v>
      </c>
      <c r="E417" s="3" t="s">
        <v>59</v>
      </c>
      <c r="F417" s="3" t="s">
        <v>63</v>
      </c>
      <c r="G417" s="3" t="s">
        <v>73</v>
      </c>
      <c r="H417" s="37">
        <v>8816.58</v>
      </c>
      <c r="I417" s="12">
        <v>0.1</v>
      </c>
      <c r="J417" s="37">
        <v>7934.9219999999996</v>
      </c>
      <c r="K417" s="3">
        <v>5</v>
      </c>
      <c r="L417" s="61">
        <f>Table1[[#This Row],[Final_Unit_Price]]*Table1[[#This Row],[Quantity]]</f>
        <v>39674.61</v>
      </c>
      <c r="M417" s="59">
        <v>13886.11</v>
      </c>
      <c r="N417" s="42">
        <v>45796</v>
      </c>
      <c r="O417" s="20" t="str">
        <f>TEXT(Table1[[#This Row],[Order_Date]],"mmm")</f>
        <v>May</v>
      </c>
      <c r="P417" s="20">
        <f t="shared" si="12"/>
        <v>2025</v>
      </c>
      <c r="Q417" s="46">
        <v>45800</v>
      </c>
      <c r="R417" s="20">
        <f>'Cleaned Data'!$Q417-'Cleaned Data'!$N417</f>
        <v>4</v>
      </c>
      <c r="S417" s="19" t="str">
        <f t="shared" si="13"/>
        <v>Summer</v>
      </c>
    </row>
    <row r="418" spans="1:19" x14ac:dyDescent="0.3">
      <c r="A418" s="13" t="s">
        <v>595</v>
      </c>
      <c r="B418" s="13" t="s">
        <v>16</v>
      </c>
      <c r="C418" s="5" t="s">
        <v>31</v>
      </c>
      <c r="D418" s="5" t="s">
        <v>36</v>
      </c>
      <c r="E418" s="5" t="s">
        <v>58</v>
      </c>
      <c r="F418" s="5" t="s">
        <v>61</v>
      </c>
      <c r="G418" s="5" t="s">
        <v>70</v>
      </c>
      <c r="H418" s="38">
        <v>2391.31</v>
      </c>
      <c r="I418" s="14">
        <v>0.15</v>
      </c>
      <c r="J418" s="38">
        <v>2032.6134999999999</v>
      </c>
      <c r="K418" s="5">
        <v>5</v>
      </c>
      <c r="L418" s="62">
        <f>Table1[[#This Row],[Final_Unit_Price]]*Table1[[#This Row],[Quantity]]</f>
        <v>10163.067499999999</v>
      </c>
      <c r="M418" s="60">
        <v>2540.77</v>
      </c>
      <c r="N418" s="43">
        <v>45682</v>
      </c>
      <c r="O418" s="18" t="str">
        <f>TEXT(Table1[[#This Row],[Order_Date]],"mmm")</f>
        <v>Jan</v>
      </c>
      <c r="P418" s="18">
        <f t="shared" si="12"/>
        <v>2025</v>
      </c>
      <c r="Q418" s="45">
        <v>45692</v>
      </c>
      <c r="R418" s="19">
        <f>'Cleaned Data'!$Q418-'Cleaned Data'!$N418</f>
        <v>10</v>
      </c>
      <c r="S418" s="19" t="str">
        <f t="shared" si="13"/>
        <v>Winter</v>
      </c>
    </row>
    <row r="419" spans="1:19" x14ac:dyDescent="0.3">
      <c r="A419" s="11" t="s">
        <v>596</v>
      </c>
      <c r="B419" s="11" t="s">
        <v>17</v>
      </c>
      <c r="C419" s="3" t="s">
        <v>32</v>
      </c>
      <c r="D419" s="3" t="s">
        <v>40</v>
      </c>
      <c r="E419" s="3" t="s">
        <v>59</v>
      </c>
      <c r="F419" s="3" t="s">
        <v>62</v>
      </c>
      <c r="G419" s="3" t="s">
        <v>69</v>
      </c>
      <c r="H419" s="37">
        <v>10143.44</v>
      </c>
      <c r="I419" s="12">
        <v>0</v>
      </c>
      <c r="J419" s="37">
        <v>10143.44</v>
      </c>
      <c r="K419" s="3">
        <v>5</v>
      </c>
      <c r="L419" s="61">
        <f>Table1[[#This Row],[Final_Unit_Price]]*Table1[[#This Row],[Quantity]]</f>
        <v>50717.200000000004</v>
      </c>
      <c r="M419" s="59">
        <v>17751.02</v>
      </c>
      <c r="N419" s="42">
        <v>45464</v>
      </c>
      <c r="O419" s="20" t="str">
        <f>TEXT(Table1[[#This Row],[Order_Date]],"mmm")</f>
        <v>Jun</v>
      </c>
      <c r="P419" s="20">
        <f t="shared" si="12"/>
        <v>2024</v>
      </c>
      <c r="Q419" s="46">
        <v>45474</v>
      </c>
      <c r="R419" s="20">
        <f>'Cleaned Data'!$Q419-'Cleaned Data'!$N419</f>
        <v>10</v>
      </c>
      <c r="S419" s="19" t="str">
        <f t="shared" si="13"/>
        <v>Monsoon</v>
      </c>
    </row>
    <row r="420" spans="1:19" x14ac:dyDescent="0.3">
      <c r="A420" s="13" t="s">
        <v>597</v>
      </c>
      <c r="B420" s="13" t="s">
        <v>17</v>
      </c>
      <c r="C420" s="5" t="s">
        <v>32</v>
      </c>
      <c r="D420" s="5" t="s">
        <v>40</v>
      </c>
      <c r="E420" s="5" t="s">
        <v>59</v>
      </c>
      <c r="F420" s="5" t="s">
        <v>61</v>
      </c>
      <c r="G420" s="5" t="s">
        <v>71</v>
      </c>
      <c r="H420" s="38">
        <v>9754.89</v>
      </c>
      <c r="I420" s="14">
        <v>0.2</v>
      </c>
      <c r="J420" s="38">
        <v>7803.9120000000003</v>
      </c>
      <c r="K420" s="5">
        <v>2</v>
      </c>
      <c r="L420" s="62">
        <f>Table1[[#This Row],[Final_Unit_Price]]*Table1[[#This Row],[Quantity]]</f>
        <v>15607.824000000001</v>
      </c>
      <c r="M420" s="60">
        <v>5462.74</v>
      </c>
      <c r="N420" s="43">
        <v>45601</v>
      </c>
      <c r="O420" s="18" t="str">
        <f>TEXT(Table1[[#This Row],[Order_Date]],"mmm")</f>
        <v>Nov</v>
      </c>
      <c r="P420" s="18">
        <f t="shared" si="12"/>
        <v>2024</v>
      </c>
      <c r="Q420" s="45">
        <v>45607</v>
      </c>
      <c r="R420" s="19">
        <f>'Cleaned Data'!$Q420-'Cleaned Data'!$N420</f>
        <v>6</v>
      </c>
      <c r="S420" s="19" t="str">
        <f t="shared" si="13"/>
        <v>Winter</v>
      </c>
    </row>
    <row r="421" spans="1:19" x14ac:dyDescent="0.3">
      <c r="A421" s="11" t="s">
        <v>598</v>
      </c>
      <c r="B421" s="11" t="s">
        <v>27</v>
      </c>
      <c r="C421" s="3" t="s">
        <v>35</v>
      </c>
      <c r="D421" s="3" t="s">
        <v>44</v>
      </c>
      <c r="E421" s="3" t="s">
        <v>60</v>
      </c>
      <c r="F421" s="3" t="s">
        <v>63</v>
      </c>
      <c r="G421" s="3" t="s">
        <v>75</v>
      </c>
      <c r="H421" s="37">
        <v>6352.89</v>
      </c>
      <c r="I421" s="12">
        <v>0.05</v>
      </c>
      <c r="J421" s="37">
        <v>6035.2455</v>
      </c>
      <c r="K421" s="3">
        <v>2</v>
      </c>
      <c r="L421" s="61">
        <f>Table1[[#This Row],[Final_Unit_Price]]*Table1[[#This Row],[Quantity]]</f>
        <v>12070.491</v>
      </c>
      <c r="M421" s="59">
        <v>1810.57</v>
      </c>
      <c r="N421" s="42">
        <v>45474</v>
      </c>
      <c r="O421" s="20" t="str">
        <f>TEXT(Table1[[#This Row],[Order_Date]],"mmm")</f>
        <v>Jul</v>
      </c>
      <c r="P421" s="20">
        <f t="shared" si="12"/>
        <v>2024</v>
      </c>
      <c r="Q421" s="46">
        <v>45480</v>
      </c>
      <c r="R421" s="20">
        <f>'Cleaned Data'!$Q421-'Cleaned Data'!$N421</f>
        <v>6</v>
      </c>
      <c r="S421" s="19" t="str">
        <f t="shared" si="13"/>
        <v>Monsoon</v>
      </c>
    </row>
    <row r="422" spans="1:19" x14ac:dyDescent="0.3">
      <c r="A422" s="13" t="s">
        <v>599</v>
      </c>
      <c r="B422" s="13" t="s">
        <v>20</v>
      </c>
      <c r="C422" s="5" t="s">
        <v>32</v>
      </c>
      <c r="D422" s="5" t="s">
        <v>40</v>
      </c>
      <c r="E422" s="5" t="s">
        <v>59</v>
      </c>
      <c r="F422" s="5" t="s">
        <v>62</v>
      </c>
      <c r="G422" s="5" t="s">
        <v>69</v>
      </c>
      <c r="H422" s="38">
        <v>38436.39</v>
      </c>
      <c r="I422" s="14">
        <v>0.25</v>
      </c>
      <c r="J422" s="38">
        <v>28827.2925</v>
      </c>
      <c r="K422" s="5">
        <v>5</v>
      </c>
      <c r="L422" s="62">
        <f>Table1[[#This Row],[Final_Unit_Price]]*Table1[[#This Row],[Quantity]]</f>
        <v>144136.46249999999</v>
      </c>
      <c r="M422" s="60">
        <v>50447.76</v>
      </c>
      <c r="N422" s="43">
        <v>45717</v>
      </c>
      <c r="O422" s="18" t="str">
        <f>TEXT(Table1[[#This Row],[Order_Date]],"mmm")</f>
        <v>Mar</v>
      </c>
      <c r="P422" s="18">
        <f t="shared" si="12"/>
        <v>2025</v>
      </c>
      <c r="Q422" s="45">
        <v>45724</v>
      </c>
      <c r="R422" s="19">
        <f>'Cleaned Data'!$Q422-'Cleaned Data'!$N422</f>
        <v>7</v>
      </c>
      <c r="S422" s="19" t="str">
        <f t="shared" si="13"/>
        <v>Summer</v>
      </c>
    </row>
    <row r="423" spans="1:19" x14ac:dyDescent="0.3">
      <c r="A423" s="11" t="s">
        <v>600</v>
      </c>
      <c r="B423" s="11" t="s">
        <v>19</v>
      </c>
      <c r="C423" s="3" t="s">
        <v>33</v>
      </c>
      <c r="D423" s="3" t="s">
        <v>56</v>
      </c>
      <c r="E423" s="3" t="s">
        <v>60</v>
      </c>
      <c r="F423" s="3" t="s">
        <v>62</v>
      </c>
      <c r="G423" s="3" t="s">
        <v>69</v>
      </c>
      <c r="H423" s="37">
        <v>1782.96</v>
      </c>
      <c r="I423" s="12">
        <v>0.2</v>
      </c>
      <c r="J423" s="37">
        <v>1426.3679999999999</v>
      </c>
      <c r="K423" s="3">
        <v>4</v>
      </c>
      <c r="L423" s="61">
        <f>Table1[[#This Row],[Final_Unit_Price]]*Table1[[#This Row],[Quantity]]</f>
        <v>5705.4719999999998</v>
      </c>
      <c r="M423" s="59">
        <v>855.82</v>
      </c>
      <c r="N423" s="42">
        <v>45708</v>
      </c>
      <c r="O423" s="20" t="str">
        <f>TEXT(Table1[[#This Row],[Order_Date]],"mmm")</f>
        <v>Feb</v>
      </c>
      <c r="P423" s="20">
        <f t="shared" si="12"/>
        <v>2025</v>
      </c>
      <c r="Q423" s="46">
        <v>45713</v>
      </c>
      <c r="R423" s="20">
        <f>'Cleaned Data'!$Q423-'Cleaned Data'!$N423</f>
        <v>5</v>
      </c>
      <c r="S423" s="19" t="str">
        <f t="shared" si="13"/>
        <v>Summer</v>
      </c>
    </row>
    <row r="424" spans="1:19" x14ac:dyDescent="0.3">
      <c r="A424" s="13" t="s">
        <v>601</v>
      </c>
      <c r="B424" s="13" t="s">
        <v>16</v>
      </c>
      <c r="C424" s="5" t="s">
        <v>31</v>
      </c>
      <c r="D424" s="5" t="s">
        <v>36</v>
      </c>
      <c r="E424" s="5" t="s">
        <v>58</v>
      </c>
      <c r="F424" s="5" t="s">
        <v>62</v>
      </c>
      <c r="G424" s="5" t="s">
        <v>69</v>
      </c>
      <c r="H424" s="38">
        <v>2588.69</v>
      </c>
      <c r="I424" s="14">
        <v>0.1</v>
      </c>
      <c r="J424" s="38">
        <v>2329.8209999999999</v>
      </c>
      <c r="K424" s="5">
        <v>3</v>
      </c>
      <c r="L424" s="62">
        <f>Table1[[#This Row],[Final_Unit_Price]]*Table1[[#This Row],[Quantity]]</f>
        <v>6989.4629999999997</v>
      </c>
      <c r="M424" s="60">
        <v>1747.37</v>
      </c>
      <c r="N424" s="43">
        <v>45313</v>
      </c>
      <c r="O424" s="18" t="str">
        <f>TEXT(Table1[[#This Row],[Order_Date]],"mmm")</f>
        <v>Jan</v>
      </c>
      <c r="P424" s="18">
        <f t="shared" si="12"/>
        <v>2024</v>
      </c>
      <c r="Q424" s="45">
        <v>45317</v>
      </c>
      <c r="R424" s="19">
        <f>'Cleaned Data'!$Q424-'Cleaned Data'!$N424</f>
        <v>4</v>
      </c>
      <c r="S424" s="19" t="str">
        <f t="shared" si="13"/>
        <v>Winter</v>
      </c>
    </row>
    <row r="425" spans="1:19" x14ac:dyDescent="0.3">
      <c r="A425" s="11" t="s">
        <v>602</v>
      </c>
      <c r="B425" s="11" t="s">
        <v>30</v>
      </c>
      <c r="C425" s="3" t="s">
        <v>33</v>
      </c>
      <c r="D425" s="3" t="s">
        <v>50</v>
      </c>
      <c r="E425" s="3" t="s">
        <v>59</v>
      </c>
      <c r="F425" s="3" t="s">
        <v>63</v>
      </c>
      <c r="G425" s="3" t="s">
        <v>73</v>
      </c>
      <c r="H425" s="37">
        <v>17766.900000000001</v>
      </c>
      <c r="I425" s="12">
        <v>0</v>
      </c>
      <c r="J425" s="37">
        <v>17766.900000000001</v>
      </c>
      <c r="K425" s="3">
        <v>1</v>
      </c>
      <c r="L425" s="61">
        <f>Table1[[#This Row],[Final_Unit_Price]]*Table1[[#This Row],[Quantity]]</f>
        <v>17766.900000000001</v>
      </c>
      <c r="M425" s="59">
        <v>6218.41</v>
      </c>
      <c r="N425" s="42">
        <v>45606</v>
      </c>
      <c r="O425" s="20" t="str">
        <f>TEXT(Table1[[#This Row],[Order_Date]],"mmm")</f>
        <v>Nov</v>
      </c>
      <c r="P425" s="20">
        <f t="shared" si="12"/>
        <v>2024</v>
      </c>
      <c r="Q425" s="46">
        <v>45614</v>
      </c>
      <c r="R425" s="20">
        <f>'Cleaned Data'!$Q425-'Cleaned Data'!$N425</f>
        <v>8</v>
      </c>
      <c r="S425" s="19" t="str">
        <f t="shared" si="13"/>
        <v>Winter</v>
      </c>
    </row>
    <row r="426" spans="1:19" x14ac:dyDescent="0.3">
      <c r="A426" s="13" t="s">
        <v>603</v>
      </c>
      <c r="B426" s="13" t="s">
        <v>17</v>
      </c>
      <c r="C426" s="5" t="s">
        <v>32</v>
      </c>
      <c r="D426" s="5" t="s">
        <v>40</v>
      </c>
      <c r="E426" s="5" t="s">
        <v>59</v>
      </c>
      <c r="F426" s="5" t="s">
        <v>61</v>
      </c>
      <c r="G426" s="5" t="s">
        <v>65</v>
      </c>
      <c r="H426" s="38">
        <v>9465.81</v>
      </c>
      <c r="I426" s="14">
        <v>0</v>
      </c>
      <c r="J426" s="38">
        <v>9465.81</v>
      </c>
      <c r="K426" s="5">
        <v>5</v>
      </c>
      <c r="L426" s="62">
        <f>Table1[[#This Row],[Final_Unit_Price]]*Table1[[#This Row],[Quantity]]</f>
        <v>47329.049999999996</v>
      </c>
      <c r="M426" s="60">
        <v>16565.169999999998</v>
      </c>
      <c r="N426" s="43">
        <v>45319</v>
      </c>
      <c r="O426" s="18" t="str">
        <f>TEXT(Table1[[#This Row],[Order_Date]],"mmm")</f>
        <v>Jan</v>
      </c>
      <c r="P426" s="18">
        <f t="shared" si="12"/>
        <v>2024</v>
      </c>
      <c r="Q426" s="45">
        <v>45327</v>
      </c>
      <c r="R426" s="19">
        <f>'Cleaned Data'!$Q426-'Cleaned Data'!$N426</f>
        <v>8</v>
      </c>
      <c r="S426" s="19" t="str">
        <f t="shared" si="13"/>
        <v>Winter</v>
      </c>
    </row>
    <row r="427" spans="1:19" x14ac:dyDescent="0.3">
      <c r="A427" s="11" t="s">
        <v>604</v>
      </c>
      <c r="B427" s="11" t="s">
        <v>28</v>
      </c>
      <c r="C427" s="3" t="s">
        <v>34</v>
      </c>
      <c r="D427" s="3" t="s">
        <v>52</v>
      </c>
      <c r="E427" s="3" t="s">
        <v>60</v>
      </c>
      <c r="F427" s="3" t="s">
        <v>61</v>
      </c>
      <c r="G427" s="3" t="s">
        <v>71</v>
      </c>
      <c r="H427" s="37">
        <v>1221.76</v>
      </c>
      <c r="I427" s="12">
        <v>0.15</v>
      </c>
      <c r="J427" s="37">
        <v>1038.4960000000001</v>
      </c>
      <c r="K427" s="3">
        <v>4</v>
      </c>
      <c r="L427" s="61">
        <f>Table1[[#This Row],[Final_Unit_Price]]*Table1[[#This Row],[Quantity]]</f>
        <v>4153.9840000000004</v>
      </c>
      <c r="M427" s="59">
        <v>623.1</v>
      </c>
      <c r="N427" s="42">
        <v>45423</v>
      </c>
      <c r="O427" s="20" t="str">
        <f>TEXT(Table1[[#This Row],[Order_Date]],"mmm")</f>
        <v>May</v>
      </c>
      <c r="P427" s="20">
        <f t="shared" si="12"/>
        <v>2024</v>
      </c>
      <c r="Q427" s="46">
        <v>45425</v>
      </c>
      <c r="R427" s="20">
        <f>'Cleaned Data'!$Q427-'Cleaned Data'!$N427</f>
        <v>2</v>
      </c>
      <c r="S427" s="19" t="str">
        <f t="shared" si="13"/>
        <v>Summer</v>
      </c>
    </row>
    <row r="428" spans="1:19" x14ac:dyDescent="0.3">
      <c r="A428" s="13" t="s">
        <v>605</v>
      </c>
      <c r="B428" s="13" t="s">
        <v>20</v>
      </c>
      <c r="C428" s="5" t="s">
        <v>32</v>
      </c>
      <c r="D428" s="5" t="s">
        <v>37</v>
      </c>
      <c r="E428" s="5" t="s">
        <v>59</v>
      </c>
      <c r="F428" s="5" t="s">
        <v>63</v>
      </c>
      <c r="G428" s="5" t="s">
        <v>75</v>
      </c>
      <c r="H428" s="38">
        <v>32940.31</v>
      </c>
      <c r="I428" s="14">
        <v>0.25</v>
      </c>
      <c r="J428" s="38">
        <v>24705.232499999998</v>
      </c>
      <c r="K428" s="5">
        <v>1</v>
      </c>
      <c r="L428" s="62">
        <f>Table1[[#This Row],[Final_Unit_Price]]*Table1[[#This Row],[Quantity]]</f>
        <v>24705.232499999998</v>
      </c>
      <c r="M428" s="60">
        <v>8646.83</v>
      </c>
      <c r="N428" s="43">
        <v>45581</v>
      </c>
      <c r="O428" s="18" t="str">
        <f>TEXT(Table1[[#This Row],[Order_Date]],"mmm")</f>
        <v>Oct</v>
      </c>
      <c r="P428" s="18">
        <f t="shared" si="12"/>
        <v>2024</v>
      </c>
      <c r="Q428" s="45">
        <v>45591</v>
      </c>
      <c r="R428" s="19">
        <f>'Cleaned Data'!$Q428-'Cleaned Data'!$N428</f>
        <v>10</v>
      </c>
      <c r="S428" s="19" t="str">
        <f t="shared" si="13"/>
        <v>Winter</v>
      </c>
    </row>
    <row r="429" spans="1:19" x14ac:dyDescent="0.3">
      <c r="A429" s="11" t="s">
        <v>606</v>
      </c>
      <c r="B429" s="11" t="s">
        <v>26</v>
      </c>
      <c r="C429" s="3" t="s">
        <v>32</v>
      </c>
      <c r="D429" s="3" t="s">
        <v>54</v>
      </c>
      <c r="E429" s="3" t="s">
        <v>60</v>
      </c>
      <c r="F429" s="3" t="s">
        <v>64</v>
      </c>
      <c r="G429" s="3" t="s">
        <v>76</v>
      </c>
      <c r="H429" s="37">
        <v>30598.02</v>
      </c>
      <c r="I429" s="12">
        <v>0.05</v>
      </c>
      <c r="J429" s="37">
        <v>29068.118999999999</v>
      </c>
      <c r="K429" s="3">
        <v>1</v>
      </c>
      <c r="L429" s="61">
        <f>Table1[[#This Row],[Final_Unit_Price]]*Table1[[#This Row],[Quantity]]</f>
        <v>29068.118999999999</v>
      </c>
      <c r="M429" s="59">
        <v>4360.22</v>
      </c>
      <c r="N429" s="42">
        <v>45304</v>
      </c>
      <c r="O429" s="20" t="str">
        <f>TEXT(Table1[[#This Row],[Order_Date]],"mmm")</f>
        <v>Jan</v>
      </c>
      <c r="P429" s="20">
        <f t="shared" si="12"/>
        <v>2024</v>
      </c>
      <c r="Q429" s="46">
        <v>45308</v>
      </c>
      <c r="R429" s="20">
        <f>'Cleaned Data'!$Q429-'Cleaned Data'!$N429</f>
        <v>4</v>
      </c>
      <c r="S429" s="19" t="str">
        <f t="shared" si="13"/>
        <v>Winter</v>
      </c>
    </row>
    <row r="430" spans="1:19" x14ac:dyDescent="0.3">
      <c r="A430" s="13" t="s">
        <v>607</v>
      </c>
      <c r="B430" s="13" t="s">
        <v>18</v>
      </c>
      <c r="C430" s="5" t="s">
        <v>33</v>
      </c>
      <c r="D430" s="5" t="s">
        <v>38</v>
      </c>
      <c r="E430" s="5" t="s">
        <v>59</v>
      </c>
      <c r="F430" s="5" t="s">
        <v>64</v>
      </c>
      <c r="G430" s="5" t="s">
        <v>76</v>
      </c>
      <c r="H430" s="38">
        <v>63177.04</v>
      </c>
      <c r="I430" s="14">
        <v>0.1</v>
      </c>
      <c r="J430" s="38">
        <v>56859.336000000003</v>
      </c>
      <c r="K430" s="5">
        <v>1</v>
      </c>
      <c r="L430" s="62">
        <f>Table1[[#This Row],[Final_Unit_Price]]*Table1[[#This Row],[Quantity]]</f>
        <v>56859.336000000003</v>
      </c>
      <c r="M430" s="60">
        <v>19900.77</v>
      </c>
      <c r="N430" s="43">
        <v>45372</v>
      </c>
      <c r="O430" s="18" t="str">
        <f>TEXT(Table1[[#This Row],[Order_Date]],"mmm")</f>
        <v>Mar</v>
      </c>
      <c r="P430" s="18">
        <f t="shared" si="12"/>
        <v>2024</v>
      </c>
      <c r="Q430" s="45">
        <v>45379</v>
      </c>
      <c r="R430" s="19">
        <f>'Cleaned Data'!$Q430-'Cleaned Data'!$N430</f>
        <v>7</v>
      </c>
      <c r="S430" s="19" t="str">
        <f t="shared" si="13"/>
        <v>Summer</v>
      </c>
    </row>
    <row r="431" spans="1:19" x14ac:dyDescent="0.3">
      <c r="A431" s="11" t="s">
        <v>608</v>
      </c>
      <c r="B431" s="11" t="s">
        <v>18</v>
      </c>
      <c r="C431" s="3" t="s">
        <v>33</v>
      </c>
      <c r="D431" s="3" t="s">
        <v>39</v>
      </c>
      <c r="E431" s="3" t="s">
        <v>58</v>
      </c>
      <c r="F431" s="3" t="s">
        <v>62</v>
      </c>
      <c r="G431" s="3" t="s">
        <v>67</v>
      </c>
      <c r="H431" s="37">
        <v>51881.59</v>
      </c>
      <c r="I431" s="12">
        <v>0</v>
      </c>
      <c r="J431" s="37">
        <v>51881.59</v>
      </c>
      <c r="K431" s="3">
        <v>1</v>
      </c>
      <c r="L431" s="61">
        <f>Table1[[#This Row],[Final_Unit_Price]]*Table1[[#This Row],[Quantity]]</f>
        <v>51881.59</v>
      </c>
      <c r="M431" s="59">
        <v>12970.4</v>
      </c>
      <c r="N431" s="42">
        <v>45733</v>
      </c>
      <c r="O431" s="20" t="str">
        <f>TEXT(Table1[[#This Row],[Order_Date]],"mmm")</f>
        <v>Mar</v>
      </c>
      <c r="P431" s="20">
        <f t="shared" si="12"/>
        <v>2025</v>
      </c>
      <c r="Q431" s="46">
        <v>45740</v>
      </c>
      <c r="R431" s="20">
        <f>'Cleaned Data'!$Q431-'Cleaned Data'!$N431</f>
        <v>7</v>
      </c>
      <c r="S431" s="19" t="str">
        <f t="shared" si="13"/>
        <v>Summer</v>
      </c>
    </row>
    <row r="432" spans="1:19" x14ac:dyDescent="0.3">
      <c r="A432" s="13" t="s">
        <v>609</v>
      </c>
      <c r="B432" s="13" t="s">
        <v>29</v>
      </c>
      <c r="C432" s="5" t="s">
        <v>35</v>
      </c>
      <c r="D432" s="5" t="s">
        <v>46</v>
      </c>
      <c r="E432" s="5" t="s">
        <v>59</v>
      </c>
      <c r="F432" s="5" t="s">
        <v>61</v>
      </c>
      <c r="G432" s="5" t="s">
        <v>71</v>
      </c>
      <c r="H432" s="38">
        <v>20431.71</v>
      </c>
      <c r="I432" s="14">
        <v>0.05</v>
      </c>
      <c r="J432" s="38">
        <v>19410.124500000002</v>
      </c>
      <c r="K432" s="5">
        <v>3</v>
      </c>
      <c r="L432" s="62">
        <f>Table1[[#This Row],[Final_Unit_Price]]*Table1[[#This Row],[Quantity]]</f>
        <v>58230.373500000002</v>
      </c>
      <c r="M432" s="60">
        <v>20380.63</v>
      </c>
      <c r="N432" s="43">
        <v>45609</v>
      </c>
      <c r="O432" s="18" t="str">
        <f>TEXT(Table1[[#This Row],[Order_Date]],"mmm")</f>
        <v>Nov</v>
      </c>
      <c r="P432" s="18">
        <f t="shared" si="12"/>
        <v>2024</v>
      </c>
      <c r="Q432" s="45">
        <v>45614</v>
      </c>
      <c r="R432" s="19">
        <f>'Cleaned Data'!$Q432-'Cleaned Data'!$N432</f>
        <v>5</v>
      </c>
      <c r="S432" s="19" t="str">
        <f t="shared" si="13"/>
        <v>Winter</v>
      </c>
    </row>
    <row r="433" spans="1:19" x14ac:dyDescent="0.3">
      <c r="A433" s="11" t="s">
        <v>610</v>
      </c>
      <c r="B433" s="11" t="s">
        <v>22</v>
      </c>
      <c r="C433" s="3" t="s">
        <v>31</v>
      </c>
      <c r="D433" s="3" t="s">
        <v>47</v>
      </c>
      <c r="E433" s="3" t="s">
        <v>59</v>
      </c>
      <c r="F433" s="3" t="s">
        <v>63</v>
      </c>
      <c r="G433" s="3" t="s">
        <v>75</v>
      </c>
      <c r="H433" s="37">
        <v>3914.36</v>
      </c>
      <c r="I433" s="12">
        <v>0.05</v>
      </c>
      <c r="J433" s="37">
        <v>3718.6419999999998</v>
      </c>
      <c r="K433" s="3">
        <v>1</v>
      </c>
      <c r="L433" s="61">
        <f>Table1[[#This Row],[Final_Unit_Price]]*Table1[[#This Row],[Quantity]]</f>
        <v>3718.6419999999998</v>
      </c>
      <c r="M433" s="59">
        <v>1301.52</v>
      </c>
      <c r="N433" s="42">
        <v>45684</v>
      </c>
      <c r="O433" s="20" t="str">
        <f>TEXT(Table1[[#This Row],[Order_Date]],"mmm")</f>
        <v>Jan</v>
      </c>
      <c r="P433" s="20">
        <f t="shared" si="12"/>
        <v>2025</v>
      </c>
      <c r="Q433" s="46">
        <v>45686</v>
      </c>
      <c r="R433" s="20">
        <f>'Cleaned Data'!$Q433-'Cleaned Data'!$N433</f>
        <v>2</v>
      </c>
      <c r="S433" s="19" t="str">
        <f t="shared" si="13"/>
        <v>Winter</v>
      </c>
    </row>
    <row r="434" spans="1:19" x14ac:dyDescent="0.3">
      <c r="A434" s="13" t="s">
        <v>611</v>
      </c>
      <c r="B434" s="13" t="s">
        <v>16</v>
      </c>
      <c r="C434" s="5" t="s">
        <v>31</v>
      </c>
      <c r="D434" s="5" t="s">
        <v>42</v>
      </c>
      <c r="E434" s="5" t="s">
        <v>60</v>
      </c>
      <c r="F434" s="5" t="s">
        <v>62</v>
      </c>
      <c r="G434" s="5" t="s">
        <v>69</v>
      </c>
      <c r="H434" s="38">
        <v>2315</v>
      </c>
      <c r="I434" s="14">
        <v>0</v>
      </c>
      <c r="J434" s="38">
        <v>2315</v>
      </c>
      <c r="K434" s="5">
        <v>1</v>
      </c>
      <c r="L434" s="62">
        <f>Table1[[#This Row],[Final_Unit_Price]]*Table1[[#This Row],[Quantity]]</f>
        <v>2315</v>
      </c>
      <c r="M434" s="60">
        <v>347.25</v>
      </c>
      <c r="N434" s="43">
        <v>45636</v>
      </c>
      <c r="O434" s="18" t="str">
        <f>TEXT(Table1[[#This Row],[Order_Date]],"mmm")</f>
        <v>Dec</v>
      </c>
      <c r="P434" s="18">
        <f t="shared" si="12"/>
        <v>2024</v>
      </c>
      <c r="Q434" s="45">
        <v>45640</v>
      </c>
      <c r="R434" s="19">
        <f>'Cleaned Data'!$Q434-'Cleaned Data'!$N434</f>
        <v>4</v>
      </c>
      <c r="S434" s="19" t="str">
        <f t="shared" si="13"/>
        <v>Winter</v>
      </c>
    </row>
    <row r="435" spans="1:19" x14ac:dyDescent="0.3">
      <c r="A435" s="11" t="s">
        <v>612</v>
      </c>
      <c r="B435" s="11" t="s">
        <v>27</v>
      </c>
      <c r="C435" s="3" t="s">
        <v>35</v>
      </c>
      <c r="D435" s="3" t="s">
        <v>46</v>
      </c>
      <c r="E435" s="3" t="s">
        <v>59</v>
      </c>
      <c r="F435" s="3" t="s">
        <v>61</v>
      </c>
      <c r="G435" s="3" t="s">
        <v>70</v>
      </c>
      <c r="H435" s="37">
        <v>9150.51</v>
      </c>
      <c r="I435" s="12">
        <v>0.15</v>
      </c>
      <c r="J435" s="37">
        <v>7777.9335000000001</v>
      </c>
      <c r="K435" s="3">
        <v>2</v>
      </c>
      <c r="L435" s="61">
        <f>Table1[[#This Row],[Final_Unit_Price]]*Table1[[#This Row],[Quantity]]</f>
        <v>15555.867</v>
      </c>
      <c r="M435" s="59">
        <v>5444.55</v>
      </c>
      <c r="N435" s="42">
        <v>45812</v>
      </c>
      <c r="O435" s="20" t="str">
        <f>TEXT(Table1[[#This Row],[Order_Date]],"mmm")</f>
        <v>Jun</v>
      </c>
      <c r="P435" s="20">
        <f t="shared" si="12"/>
        <v>2025</v>
      </c>
      <c r="Q435" s="46">
        <v>45822</v>
      </c>
      <c r="R435" s="20">
        <f>'Cleaned Data'!$Q435-'Cleaned Data'!$N435</f>
        <v>10</v>
      </c>
      <c r="S435" s="19" t="str">
        <f t="shared" si="13"/>
        <v>Monsoon</v>
      </c>
    </row>
    <row r="436" spans="1:19" x14ac:dyDescent="0.3">
      <c r="A436" s="13" t="s">
        <v>613</v>
      </c>
      <c r="B436" s="13" t="s">
        <v>17</v>
      </c>
      <c r="C436" s="5" t="s">
        <v>32</v>
      </c>
      <c r="D436" s="5" t="s">
        <v>37</v>
      </c>
      <c r="E436" s="5" t="s">
        <v>59</v>
      </c>
      <c r="F436" s="5" t="s">
        <v>63</v>
      </c>
      <c r="G436" s="5" t="s">
        <v>73</v>
      </c>
      <c r="H436" s="38">
        <v>8924.23</v>
      </c>
      <c r="I436" s="14">
        <v>0.15</v>
      </c>
      <c r="J436" s="38">
        <v>7585.5954999999994</v>
      </c>
      <c r="K436" s="5">
        <v>5</v>
      </c>
      <c r="L436" s="62">
        <f>Table1[[#This Row],[Final_Unit_Price]]*Table1[[#This Row],[Quantity]]</f>
        <v>37927.977499999994</v>
      </c>
      <c r="M436" s="60">
        <v>13274.79</v>
      </c>
      <c r="N436" s="43">
        <v>45410</v>
      </c>
      <c r="O436" s="18" t="str">
        <f>TEXT(Table1[[#This Row],[Order_Date]],"mmm")</f>
        <v>Apr</v>
      </c>
      <c r="P436" s="18">
        <f t="shared" si="12"/>
        <v>2024</v>
      </c>
      <c r="Q436" s="45">
        <v>45415</v>
      </c>
      <c r="R436" s="19">
        <f>'Cleaned Data'!$Q436-'Cleaned Data'!$N436</f>
        <v>5</v>
      </c>
      <c r="S436" s="19" t="str">
        <f t="shared" si="13"/>
        <v>Summer</v>
      </c>
    </row>
    <row r="437" spans="1:19" x14ac:dyDescent="0.3">
      <c r="A437" s="11" t="s">
        <v>614</v>
      </c>
      <c r="B437" s="11" t="s">
        <v>21</v>
      </c>
      <c r="C437" s="3" t="s">
        <v>34</v>
      </c>
      <c r="D437" s="3" t="s">
        <v>41</v>
      </c>
      <c r="E437" s="3" t="s">
        <v>60</v>
      </c>
      <c r="F437" s="3" t="s">
        <v>63</v>
      </c>
      <c r="G437" s="3" t="s">
        <v>73</v>
      </c>
      <c r="H437" s="37">
        <v>2408.5</v>
      </c>
      <c r="I437" s="12">
        <v>0</v>
      </c>
      <c r="J437" s="37">
        <v>2408.5</v>
      </c>
      <c r="K437" s="3">
        <v>1</v>
      </c>
      <c r="L437" s="61">
        <f>Table1[[#This Row],[Final_Unit_Price]]*Table1[[#This Row],[Quantity]]</f>
        <v>2408.5</v>
      </c>
      <c r="M437" s="59">
        <v>361.27</v>
      </c>
      <c r="N437" s="42">
        <v>45534</v>
      </c>
      <c r="O437" s="20" t="str">
        <f>TEXT(Table1[[#This Row],[Order_Date]],"mmm")</f>
        <v>Aug</v>
      </c>
      <c r="P437" s="20">
        <f t="shared" si="12"/>
        <v>2024</v>
      </c>
      <c r="Q437" s="46">
        <v>45543</v>
      </c>
      <c r="R437" s="20">
        <f>'Cleaned Data'!$Q437-'Cleaned Data'!$N437</f>
        <v>9</v>
      </c>
      <c r="S437" s="19" t="str">
        <f t="shared" si="13"/>
        <v>Monsoon</v>
      </c>
    </row>
    <row r="438" spans="1:19" x14ac:dyDescent="0.3">
      <c r="A438" s="13" t="s">
        <v>615</v>
      </c>
      <c r="B438" s="13" t="s">
        <v>23</v>
      </c>
      <c r="C438" s="5" t="s">
        <v>35</v>
      </c>
      <c r="D438" s="5" t="s">
        <v>38</v>
      </c>
      <c r="E438" s="5" t="s">
        <v>59</v>
      </c>
      <c r="F438" s="5" t="s">
        <v>64</v>
      </c>
      <c r="G438" s="5" t="s">
        <v>76</v>
      </c>
      <c r="H438" s="38">
        <v>30988.83</v>
      </c>
      <c r="I438" s="14">
        <v>0.3</v>
      </c>
      <c r="J438" s="38">
        <v>21692.181</v>
      </c>
      <c r="K438" s="5">
        <v>2</v>
      </c>
      <c r="L438" s="62">
        <f>Table1[[#This Row],[Final_Unit_Price]]*Table1[[#This Row],[Quantity]]</f>
        <v>43384.362000000001</v>
      </c>
      <c r="M438" s="60">
        <v>15184.53</v>
      </c>
      <c r="N438" s="43">
        <v>45513</v>
      </c>
      <c r="O438" s="18" t="str">
        <f>TEXT(Table1[[#This Row],[Order_Date]],"mmm")</f>
        <v>Aug</v>
      </c>
      <c r="P438" s="18">
        <f t="shared" si="12"/>
        <v>2024</v>
      </c>
      <c r="Q438" s="45">
        <v>45520</v>
      </c>
      <c r="R438" s="19">
        <f>'Cleaned Data'!$Q438-'Cleaned Data'!$N438</f>
        <v>7</v>
      </c>
      <c r="S438" s="19" t="str">
        <f t="shared" si="13"/>
        <v>Monsoon</v>
      </c>
    </row>
    <row r="439" spans="1:19" x14ac:dyDescent="0.3">
      <c r="A439" s="11" t="s">
        <v>616</v>
      </c>
      <c r="B439" s="11" t="s">
        <v>19</v>
      </c>
      <c r="C439" s="3" t="s">
        <v>33</v>
      </c>
      <c r="D439" s="3" t="s">
        <v>57</v>
      </c>
      <c r="E439" s="3" t="s">
        <v>60</v>
      </c>
      <c r="F439" s="3" t="s">
        <v>62</v>
      </c>
      <c r="G439" s="3" t="s">
        <v>66</v>
      </c>
      <c r="H439" s="37">
        <v>1728.43</v>
      </c>
      <c r="I439" s="12">
        <v>0.2</v>
      </c>
      <c r="J439" s="37">
        <v>1382.7439999999999</v>
      </c>
      <c r="K439" s="3">
        <v>4</v>
      </c>
      <c r="L439" s="61">
        <f>Table1[[#This Row],[Final_Unit_Price]]*Table1[[#This Row],[Quantity]]</f>
        <v>5530.9759999999997</v>
      </c>
      <c r="M439" s="59">
        <v>829.65</v>
      </c>
      <c r="N439" s="42">
        <v>45531</v>
      </c>
      <c r="O439" s="20" t="str">
        <f>TEXT(Table1[[#This Row],[Order_Date]],"mmm")</f>
        <v>Aug</v>
      </c>
      <c r="P439" s="20">
        <f t="shared" si="12"/>
        <v>2024</v>
      </c>
      <c r="Q439" s="46">
        <v>45540</v>
      </c>
      <c r="R439" s="20">
        <f>'Cleaned Data'!$Q439-'Cleaned Data'!$N439</f>
        <v>9</v>
      </c>
      <c r="S439" s="19" t="str">
        <f t="shared" si="13"/>
        <v>Monsoon</v>
      </c>
    </row>
    <row r="440" spans="1:19" x14ac:dyDescent="0.3">
      <c r="A440" s="13" t="s">
        <v>617</v>
      </c>
      <c r="B440" s="13" t="s">
        <v>23</v>
      </c>
      <c r="C440" s="5" t="s">
        <v>35</v>
      </c>
      <c r="D440" s="5" t="s">
        <v>46</v>
      </c>
      <c r="E440" s="5" t="s">
        <v>59</v>
      </c>
      <c r="F440" s="5" t="s">
        <v>63</v>
      </c>
      <c r="G440" s="5" t="s">
        <v>68</v>
      </c>
      <c r="H440" s="38">
        <v>27928.91</v>
      </c>
      <c r="I440" s="14">
        <v>0.25</v>
      </c>
      <c r="J440" s="38">
        <v>20946.682499999999</v>
      </c>
      <c r="K440" s="5">
        <v>4</v>
      </c>
      <c r="L440" s="62">
        <f>Table1[[#This Row],[Final_Unit_Price]]*Table1[[#This Row],[Quantity]]</f>
        <v>83786.73</v>
      </c>
      <c r="M440" s="60">
        <v>29325.360000000001</v>
      </c>
      <c r="N440" s="43">
        <v>45584</v>
      </c>
      <c r="O440" s="18" t="str">
        <f>TEXT(Table1[[#This Row],[Order_Date]],"mmm")</f>
        <v>Oct</v>
      </c>
      <c r="P440" s="18">
        <f t="shared" si="12"/>
        <v>2024</v>
      </c>
      <c r="Q440" s="45">
        <v>45590</v>
      </c>
      <c r="R440" s="19">
        <f>'Cleaned Data'!$Q440-'Cleaned Data'!$N440</f>
        <v>6</v>
      </c>
      <c r="S440" s="19" t="str">
        <f t="shared" si="13"/>
        <v>Winter</v>
      </c>
    </row>
    <row r="441" spans="1:19" x14ac:dyDescent="0.3">
      <c r="A441" s="11" t="s">
        <v>618</v>
      </c>
      <c r="B441" s="11" t="s">
        <v>18</v>
      </c>
      <c r="C441" s="3" t="s">
        <v>33</v>
      </c>
      <c r="D441" s="3" t="s">
        <v>39</v>
      </c>
      <c r="E441" s="3" t="s">
        <v>58</v>
      </c>
      <c r="F441" s="3" t="s">
        <v>61</v>
      </c>
      <c r="G441" s="3" t="s">
        <v>71</v>
      </c>
      <c r="H441" s="37">
        <v>51003.48</v>
      </c>
      <c r="I441" s="12">
        <v>0.2</v>
      </c>
      <c r="J441" s="37">
        <v>40802.784000000007</v>
      </c>
      <c r="K441" s="3">
        <v>2</v>
      </c>
      <c r="L441" s="61">
        <f>Table1[[#This Row],[Final_Unit_Price]]*Table1[[#This Row],[Quantity]]</f>
        <v>81605.568000000014</v>
      </c>
      <c r="M441" s="59">
        <v>20401.39</v>
      </c>
      <c r="N441" s="42">
        <v>45786</v>
      </c>
      <c r="O441" s="20" t="str">
        <f>TEXT(Table1[[#This Row],[Order_Date]],"mmm")</f>
        <v>May</v>
      </c>
      <c r="P441" s="20">
        <f t="shared" si="12"/>
        <v>2025</v>
      </c>
      <c r="Q441" s="46">
        <v>45791</v>
      </c>
      <c r="R441" s="20">
        <f>'Cleaned Data'!$Q441-'Cleaned Data'!$N441</f>
        <v>5</v>
      </c>
      <c r="S441" s="19" t="str">
        <f t="shared" si="13"/>
        <v>Summer</v>
      </c>
    </row>
    <row r="442" spans="1:19" x14ac:dyDescent="0.3">
      <c r="A442" s="13" t="s">
        <v>619</v>
      </c>
      <c r="B442" s="13" t="s">
        <v>28</v>
      </c>
      <c r="C442" s="5" t="s">
        <v>34</v>
      </c>
      <c r="D442" s="5" t="s">
        <v>41</v>
      </c>
      <c r="E442" s="5" t="s">
        <v>60</v>
      </c>
      <c r="F442" s="5" t="s">
        <v>63</v>
      </c>
      <c r="G442" s="5" t="s">
        <v>68</v>
      </c>
      <c r="H442" s="38">
        <v>1199.3399999999999</v>
      </c>
      <c r="I442" s="14">
        <v>0.15</v>
      </c>
      <c r="J442" s="38">
        <v>1019.439</v>
      </c>
      <c r="K442" s="5">
        <v>1</v>
      </c>
      <c r="L442" s="62">
        <f>Table1[[#This Row],[Final_Unit_Price]]*Table1[[#This Row],[Quantity]]</f>
        <v>1019.439</v>
      </c>
      <c r="M442" s="60">
        <v>152.91999999999999</v>
      </c>
      <c r="N442" s="43">
        <v>45750</v>
      </c>
      <c r="O442" s="18" t="str">
        <f>TEXT(Table1[[#This Row],[Order_Date]],"mmm")</f>
        <v>Apr</v>
      </c>
      <c r="P442" s="18">
        <f t="shared" si="12"/>
        <v>2025</v>
      </c>
      <c r="Q442" s="45">
        <v>45757</v>
      </c>
      <c r="R442" s="19">
        <f>'Cleaned Data'!$Q442-'Cleaned Data'!$N442</f>
        <v>7</v>
      </c>
      <c r="S442" s="19" t="str">
        <f t="shared" si="13"/>
        <v>Summer</v>
      </c>
    </row>
    <row r="443" spans="1:19" x14ac:dyDescent="0.3">
      <c r="A443" s="11" t="s">
        <v>620</v>
      </c>
      <c r="B443" s="11" t="s">
        <v>18</v>
      </c>
      <c r="C443" s="3" t="s">
        <v>33</v>
      </c>
      <c r="D443" s="3" t="s">
        <v>56</v>
      </c>
      <c r="E443" s="3" t="s">
        <v>60</v>
      </c>
      <c r="F443" s="3" t="s">
        <v>62</v>
      </c>
      <c r="G443" s="3" t="s">
        <v>67</v>
      </c>
      <c r="H443" s="37">
        <v>44754.879999999997</v>
      </c>
      <c r="I443" s="12">
        <v>0.1</v>
      </c>
      <c r="J443" s="37">
        <v>40279.392</v>
      </c>
      <c r="K443" s="3">
        <v>5</v>
      </c>
      <c r="L443" s="61">
        <f>Table1[[#This Row],[Final_Unit_Price]]*Table1[[#This Row],[Quantity]]</f>
        <v>201396.96</v>
      </c>
      <c r="M443" s="59">
        <v>30209.54</v>
      </c>
      <c r="N443" s="42">
        <v>45826</v>
      </c>
      <c r="O443" s="20" t="str">
        <f>TEXT(Table1[[#This Row],[Order_Date]],"mmm")</f>
        <v>Jun</v>
      </c>
      <c r="P443" s="20">
        <f t="shared" si="12"/>
        <v>2025</v>
      </c>
      <c r="Q443" s="46">
        <v>45835</v>
      </c>
      <c r="R443" s="20">
        <f>'Cleaned Data'!$Q443-'Cleaned Data'!$N443</f>
        <v>9</v>
      </c>
      <c r="S443" s="19" t="str">
        <f t="shared" si="13"/>
        <v>Monsoon</v>
      </c>
    </row>
    <row r="444" spans="1:19" x14ac:dyDescent="0.3">
      <c r="A444" s="13" t="s">
        <v>621</v>
      </c>
      <c r="B444" s="13" t="s">
        <v>30</v>
      </c>
      <c r="C444" s="5" t="s">
        <v>33</v>
      </c>
      <c r="D444" s="5" t="s">
        <v>53</v>
      </c>
      <c r="E444" s="5" t="s">
        <v>58</v>
      </c>
      <c r="F444" s="5" t="s">
        <v>61</v>
      </c>
      <c r="G444" s="5" t="s">
        <v>71</v>
      </c>
      <c r="H444" s="38">
        <v>14958.38</v>
      </c>
      <c r="I444" s="14">
        <v>0.15</v>
      </c>
      <c r="J444" s="38">
        <v>12714.623</v>
      </c>
      <c r="K444" s="5">
        <v>1</v>
      </c>
      <c r="L444" s="62">
        <f>Table1[[#This Row],[Final_Unit_Price]]*Table1[[#This Row],[Quantity]]</f>
        <v>12714.623</v>
      </c>
      <c r="M444" s="60">
        <v>3178.66</v>
      </c>
      <c r="N444" s="43">
        <v>45455</v>
      </c>
      <c r="O444" s="18" t="str">
        <f>TEXT(Table1[[#This Row],[Order_Date]],"mmm")</f>
        <v>Jun</v>
      </c>
      <c r="P444" s="18">
        <f t="shared" si="12"/>
        <v>2024</v>
      </c>
      <c r="Q444" s="45">
        <v>45460</v>
      </c>
      <c r="R444" s="19">
        <f>'Cleaned Data'!$Q444-'Cleaned Data'!$N444</f>
        <v>5</v>
      </c>
      <c r="S444" s="19" t="str">
        <f t="shared" si="13"/>
        <v>Monsoon</v>
      </c>
    </row>
    <row r="445" spans="1:19" x14ac:dyDescent="0.3">
      <c r="A445" s="11" t="s">
        <v>622</v>
      </c>
      <c r="B445" s="11" t="s">
        <v>23</v>
      </c>
      <c r="C445" s="3" t="s">
        <v>35</v>
      </c>
      <c r="D445" s="3" t="s">
        <v>48</v>
      </c>
      <c r="E445" s="3" t="s">
        <v>58</v>
      </c>
      <c r="F445" s="3" t="s">
        <v>63</v>
      </c>
      <c r="G445" s="3" t="s">
        <v>75</v>
      </c>
      <c r="H445" s="37">
        <v>23386.12</v>
      </c>
      <c r="I445" s="12">
        <v>0.15</v>
      </c>
      <c r="J445" s="37">
        <v>19878.202000000001</v>
      </c>
      <c r="K445" s="3">
        <v>2</v>
      </c>
      <c r="L445" s="61">
        <f>Table1[[#This Row],[Final_Unit_Price]]*Table1[[#This Row],[Quantity]]</f>
        <v>39756.404000000002</v>
      </c>
      <c r="M445" s="59">
        <v>9939.1</v>
      </c>
      <c r="N445" s="42">
        <v>45657</v>
      </c>
      <c r="O445" s="20" t="str">
        <f>TEXT(Table1[[#This Row],[Order_Date]],"mmm")</f>
        <v>Dec</v>
      </c>
      <c r="P445" s="20">
        <f t="shared" si="12"/>
        <v>2024</v>
      </c>
      <c r="Q445" s="46">
        <v>45660</v>
      </c>
      <c r="R445" s="20">
        <f>'Cleaned Data'!$Q445-'Cleaned Data'!$N445</f>
        <v>3</v>
      </c>
      <c r="S445" s="19" t="str">
        <f t="shared" si="13"/>
        <v>Winter</v>
      </c>
    </row>
    <row r="446" spans="1:19" x14ac:dyDescent="0.3">
      <c r="A446" s="13" t="s">
        <v>623</v>
      </c>
      <c r="B446" s="13" t="s">
        <v>25</v>
      </c>
      <c r="C446" s="5" t="s">
        <v>34</v>
      </c>
      <c r="D446" s="5" t="s">
        <v>45</v>
      </c>
      <c r="E446" s="5" t="s">
        <v>59</v>
      </c>
      <c r="F446" s="5" t="s">
        <v>61</v>
      </c>
      <c r="G446" s="5" t="s">
        <v>65</v>
      </c>
      <c r="H446" s="38">
        <v>918.58</v>
      </c>
      <c r="I446" s="14">
        <v>0.3</v>
      </c>
      <c r="J446" s="38">
        <v>643.00599999999997</v>
      </c>
      <c r="K446" s="5">
        <v>5</v>
      </c>
      <c r="L446" s="62">
        <f>Table1[[#This Row],[Final_Unit_Price]]*Table1[[#This Row],[Quantity]]</f>
        <v>3215.0299999999997</v>
      </c>
      <c r="M446" s="60">
        <v>1125.26</v>
      </c>
      <c r="N446" s="43">
        <v>45378</v>
      </c>
      <c r="O446" s="18" t="str">
        <f>TEXT(Table1[[#This Row],[Order_Date]],"mmm")</f>
        <v>Mar</v>
      </c>
      <c r="P446" s="18">
        <f t="shared" si="12"/>
        <v>2024</v>
      </c>
      <c r="Q446" s="45">
        <v>45387</v>
      </c>
      <c r="R446" s="19">
        <f>'Cleaned Data'!$Q446-'Cleaned Data'!$N446</f>
        <v>9</v>
      </c>
      <c r="S446" s="19" t="str">
        <f t="shared" si="13"/>
        <v>Summer</v>
      </c>
    </row>
    <row r="447" spans="1:19" x14ac:dyDescent="0.3">
      <c r="A447" s="11" t="s">
        <v>624</v>
      </c>
      <c r="B447" s="11" t="s">
        <v>18</v>
      </c>
      <c r="C447" s="3" t="s">
        <v>33</v>
      </c>
      <c r="D447" s="3" t="s">
        <v>56</v>
      </c>
      <c r="E447" s="3" t="s">
        <v>60</v>
      </c>
      <c r="F447" s="3" t="s">
        <v>62</v>
      </c>
      <c r="G447" s="3" t="s">
        <v>67</v>
      </c>
      <c r="H447" s="37">
        <v>45923.360000000001</v>
      </c>
      <c r="I447" s="12">
        <v>0</v>
      </c>
      <c r="J447" s="37">
        <v>45923.360000000001</v>
      </c>
      <c r="K447" s="3">
        <v>4</v>
      </c>
      <c r="L447" s="61">
        <f>Table1[[#This Row],[Final_Unit_Price]]*Table1[[#This Row],[Quantity]]</f>
        <v>183693.44</v>
      </c>
      <c r="M447" s="59">
        <v>27554.02</v>
      </c>
      <c r="N447" s="42">
        <v>45669</v>
      </c>
      <c r="O447" s="20" t="str">
        <f>TEXT(Table1[[#This Row],[Order_Date]],"mmm")</f>
        <v>Jan</v>
      </c>
      <c r="P447" s="20">
        <f t="shared" si="12"/>
        <v>2025</v>
      </c>
      <c r="Q447" s="46">
        <v>45671</v>
      </c>
      <c r="R447" s="20">
        <f>'Cleaned Data'!$Q447-'Cleaned Data'!$N447</f>
        <v>2</v>
      </c>
      <c r="S447" s="19" t="str">
        <f t="shared" si="13"/>
        <v>Winter</v>
      </c>
    </row>
    <row r="448" spans="1:19" x14ac:dyDescent="0.3">
      <c r="A448" s="13" t="s">
        <v>625</v>
      </c>
      <c r="B448" s="13" t="s">
        <v>17</v>
      </c>
      <c r="C448" s="5" t="s">
        <v>32</v>
      </c>
      <c r="D448" s="5" t="s">
        <v>54</v>
      </c>
      <c r="E448" s="5" t="s">
        <v>60</v>
      </c>
      <c r="F448" s="5" t="s">
        <v>61</v>
      </c>
      <c r="G448" s="5" t="s">
        <v>70</v>
      </c>
      <c r="H448" s="38">
        <v>6696.38</v>
      </c>
      <c r="I448" s="14">
        <v>0.2</v>
      </c>
      <c r="J448" s="38">
        <v>5357.1040000000003</v>
      </c>
      <c r="K448" s="5">
        <v>3</v>
      </c>
      <c r="L448" s="62">
        <f>Table1[[#This Row],[Final_Unit_Price]]*Table1[[#This Row],[Quantity]]</f>
        <v>16071.312000000002</v>
      </c>
      <c r="M448" s="60">
        <v>2410.6999999999998</v>
      </c>
      <c r="N448" s="43">
        <v>45677</v>
      </c>
      <c r="O448" s="18" t="str">
        <f>TEXT(Table1[[#This Row],[Order_Date]],"mmm")</f>
        <v>Jan</v>
      </c>
      <c r="P448" s="18">
        <f t="shared" si="12"/>
        <v>2025</v>
      </c>
      <c r="Q448" s="45">
        <v>45686</v>
      </c>
      <c r="R448" s="19">
        <f>'Cleaned Data'!$Q448-'Cleaned Data'!$N448</f>
        <v>9</v>
      </c>
      <c r="S448" s="19" t="str">
        <f t="shared" si="13"/>
        <v>Winter</v>
      </c>
    </row>
    <row r="449" spans="1:19" x14ac:dyDescent="0.3">
      <c r="A449" s="11" t="s">
        <v>626</v>
      </c>
      <c r="B449" s="11" t="s">
        <v>23</v>
      </c>
      <c r="C449" s="3" t="s">
        <v>35</v>
      </c>
      <c r="D449" s="3" t="s">
        <v>48</v>
      </c>
      <c r="E449" s="3" t="s">
        <v>58</v>
      </c>
      <c r="F449" s="3" t="s">
        <v>61</v>
      </c>
      <c r="G449" s="3" t="s">
        <v>70</v>
      </c>
      <c r="H449" s="37">
        <v>24205.62</v>
      </c>
      <c r="I449" s="12">
        <v>0.2</v>
      </c>
      <c r="J449" s="37">
        <v>19364.495999999999</v>
      </c>
      <c r="K449" s="3">
        <v>2</v>
      </c>
      <c r="L449" s="61">
        <f>Table1[[#This Row],[Final_Unit_Price]]*Table1[[#This Row],[Quantity]]</f>
        <v>38728.991999999998</v>
      </c>
      <c r="M449" s="59">
        <v>9682.25</v>
      </c>
      <c r="N449" s="42">
        <v>45324</v>
      </c>
      <c r="O449" s="20" t="str">
        <f>TEXT(Table1[[#This Row],[Order_Date]],"mmm")</f>
        <v>Feb</v>
      </c>
      <c r="P449" s="20">
        <f t="shared" si="12"/>
        <v>2024</v>
      </c>
      <c r="Q449" s="46">
        <v>45328</v>
      </c>
      <c r="R449" s="20">
        <f>'Cleaned Data'!$Q449-'Cleaned Data'!$N449</f>
        <v>4</v>
      </c>
      <c r="S449" s="19" t="str">
        <f t="shared" si="13"/>
        <v>Summer</v>
      </c>
    </row>
    <row r="450" spans="1:19" x14ac:dyDescent="0.3">
      <c r="A450" s="13" t="s">
        <v>627</v>
      </c>
      <c r="B450" s="13" t="s">
        <v>20</v>
      </c>
      <c r="C450" s="5" t="s">
        <v>32</v>
      </c>
      <c r="D450" s="5" t="s">
        <v>43</v>
      </c>
      <c r="E450" s="5" t="s">
        <v>58</v>
      </c>
      <c r="F450" s="5" t="s">
        <v>63</v>
      </c>
      <c r="G450" s="5" t="s">
        <v>75</v>
      </c>
      <c r="H450" s="38">
        <v>27086.32</v>
      </c>
      <c r="I450" s="14">
        <v>0.3</v>
      </c>
      <c r="J450" s="38">
        <v>18960.423999999999</v>
      </c>
      <c r="K450" s="5">
        <v>3</v>
      </c>
      <c r="L450" s="62">
        <f>Table1[[#This Row],[Final_Unit_Price]]*Table1[[#This Row],[Quantity]]</f>
        <v>56881.271999999997</v>
      </c>
      <c r="M450" s="60">
        <v>14220.32</v>
      </c>
      <c r="N450" s="43">
        <v>45490</v>
      </c>
      <c r="O450" s="18" t="str">
        <f>TEXT(Table1[[#This Row],[Order_Date]],"mmm")</f>
        <v>Jul</v>
      </c>
      <c r="P450" s="18">
        <f t="shared" si="12"/>
        <v>2024</v>
      </c>
      <c r="Q450" s="45">
        <v>45494</v>
      </c>
      <c r="R450" s="19">
        <f>'Cleaned Data'!$Q450-'Cleaned Data'!$N450</f>
        <v>4</v>
      </c>
      <c r="S450" s="19" t="str">
        <f t="shared" si="13"/>
        <v>Monsoon</v>
      </c>
    </row>
    <row r="451" spans="1:19" x14ac:dyDescent="0.3">
      <c r="A451" s="11" t="s">
        <v>628</v>
      </c>
      <c r="B451" s="11" t="s">
        <v>16</v>
      </c>
      <c r="C451" s="3" t="s">
        <v>31</v>
      </c>
      <c r="D451" s="3" t="s">
        <v>36</v>
      </c>
      <c r="E451" s="3" t="s">
        <v>58</v>
      </c>
      <c r="F451" s="3" t="s">
        <v>61</v>
      </c>
      <c r="G451" s="3" t="s">
        <v>70</v>
      </c>
      <c r="H451" s="37">
        <v>2380.6999999999998</v>
      </c>
      <c r="I451" s="12">
        <v>0.15</v>
      </c>
      <c r="J451" s="37">
        <v>2023.595</v>
      </c>
      <c r="K451" s="3">
        <v>2</v>
      </c>
      <c r="L451" s="61">
        <f>Table1[[#This Row],[Final_Unit_Price]]*Table1[[#This Row],[Quantity]]</f>
        <v>4047.19</v>
      </c>
      <c r="M451" s="59">
        <v>1011.8</v>
      </c>
      <c r="N451" s="42">
        <v>45784</v>
      </c>
      <c r="O451" s="20" t="str">
        <f>TEXT(Table1[[#This Row],[Order_Date]],"mmm")</f>
        <v>May</v>
      </c>
      <c r="P451" s="20">
        <f t="shared" ref="P451:P514" si="14">YEAR(N451)</f>
        <v>2025</v>
      </c>
      <c r="Q451" s="46">
        <v>45789</v>
      </c>
      <c r="R451" s="20">
        <f>'Cleaned Data'!$Q451-'Cleaned Data'!$N451</f>
        <v>5</v>
      </c>
      <c r="S451" s="19" t="str">
        <f t="shared" ref="S451:S514" si="15">IF(OR(O451="Feb",O451="Mar",O451="Apr",O451="May"),"Summer",
   IF(OR(O451="Jun",O451="Jul",O451="Aug",O451="Sep"),"Monsoon",
   IF(OR(O451="Oct",O451="Nov",O451="Dec",O451= "Jan"),"Winter","Invalid")))</f>
        <v>Summer</v>
      </c>
    </row>
    <row r="452" spans="1:19" x14ac:dyDescent="0.3">
      <c r="A452" s="13" t="s">
        <v>629</v>
      </c>
      <c r="B452" s="13" t="s">
        <v>17</v>
      </c>
      <c r="C452" s="5" t="s">
        <v>32</v>
      </c>
      <c r="D452" s="5" t="s">
        <v>43</v>
      </c>
      <c r="E452" s="5" t="s">
        <v>58</v>
      </c>
      <c r="F452" s="5" t="s">
        <v>62</v>
      </c>
      <c r="G452" s="5" t="s">
        <v>69</v>
      </c>
      <c r="H452" s="38">
        <v>8243.2900000000009</v>
      </c>
      <c r="I452" s="14">
        <v>0.05</v>
      </c>
      <c r="J452" s="38">
        <v>7831.1255000000001</v>
      </c>
      <c r="K452" s="5">
        <v>2</v>
      </c>
      <c r="L452" s="62">
        <f>Table1[[#This Row],[Final_Unit_Price]]*Table1[[#This Row],[Quantity]]</f>
        <v>15662.251</v>
      </c>
      <c r="M452" s="60">
        <v>3915.56</v>
      </c>
      <c r="N452" s="43">
        <v>45458</v>
      </c>
      <c r="O452" s="18" t="str">
        <f>TEXT(Table1[[#This Row],[Order_Date]],"mmm")</f>
        <v>Jun</v>
      </c>
      <c r="P452" s="18">
        <f t="shared" si="14"/>
        <v>2024</v>
      </c>
      <c r="Q452" s="45">
        <v>45462</v>
      </c>
      <c r="R452" s="19">
        <f>'Cleaned Data'!$Q452-'Cleaned Data'!$N452</f>
        <v>4</v>
      </c>
      <c r="S452" s="19" t="str">
        <f t="shared" si="15"/>
        <v>Monsoon</v>
      </c>
    </row>
    <row r="453" spans="1:19" x14ac:dyDescent="0.3">
      <c r="A453" s="11" t="s">
        <v>630</v>
      </c>
      <c r="B453" s="11" t="s">
        <v>21</v>
      </c>
      <c r="C453" s="3" t="s">
        <v>34</v>
      </c>
      <c r="D453" s="3" t="s">
        <v>41</v>
      </c>
      <c r="E453" s="3" t="s">
        <v>60</v>
      </c>
      <c r="F453" s="3" t="s">
        <v>61</v>
      </c>
      <c r="G453" s="3" t="s">
        <v>71</v>
      </c>
      <c r="H453" s="37">
        <v>2443.23</v>
      </c>
      <c r="I453" s="12">
        <v>0.2</v>
      </c>
      <c r="J453" s="37">
        <v>1954.5840000000001</v>
      </c>
      <c r="K453" s="3">
        <v>4</v>
      </c>
      <c r="L453" s="61">
        <f>Table1[[#This Row],[Final_Unit_Price]]*Table1[[#This Row],[Quantity]]</f>
        <v>7818.3360000000002</v>
      </c>
      <c r="M453" s="59">
        <v>1172.75</v>
      </c>
      <c r="N453" s="42">
        <v>45702</v>
      </c>
      <c r="O453" s="20" t="str">
        <f>TEXT(Table1[[#This Row],[Order_Date]],"mmm")</f>
        <v>Feb</v>
      </c>
      <c r="P453" s="20">
        <f t="shared" si="14"/>
        <v>2025</v>
      </c>
      <c r="Q453" s="46">
        <v>45708</v>
      </c>
      <c r="R453" s="20">
        <f>'Cleaned Data'!$Q453-'Cleaned Data'!$N453</f>
        <v>6</v>
      </c>
      <c r="S453" s="19" t="str">
        <f t="shared" si="15"/>
        <v>Summer</v>
      </c>
    </row>
    <row r="454" spans="1:19" x14ac:dyDescent="0.3">
      <c r="A454" s="13" t="s">
        <v>631</v>
      </c>
      <c r="B454" s="13" t="s">
        <v>17</v>
      </c>
      <c r="C454" s="5" t="s">
        <v>32</v>
      </c>
      <c r="D454" s="5" t="s">
        <v>40</v>
      </c>
      <c r="E454" s="5" t="s">
        <v>59</v>
      </c>
      <c r="F454" s="5" t="s">
        <v>64</v>
      </c>
      <c r="G454" s="5" t="s">
        <v>74</v>
      </c>
      <c r="H454" s="38">
        <v>9951.23</v>
      </c>
      <c r="I454" s="14">
        <v>0.1</v>
      </c>
      <c r="J454" s="38">
        <v>8956.107</v>
      </c>
      <c r="K454" s="5">
        <v>2</v>
      </c>
      <c r="L454" s="62">
        <f>Table1[[#This Row],[Final_Unit_Price]]*Table1[[#This Row],[Quantity]]</f>
        <v>17912.214</v>
      </c>
      <c r="M454" s="60">
        <v>6269.27</v>
      </c>
      <c r="N454" s="43">
        <v>45401</v>
      </c>
      <c r="O454" s="18" t="str">
        <f>TEXT(Table1[[#This Row],[Order_Date]],"mmm")</f>
        <v>Apr</v>
      </c>
      <c r="P454" s="18">
        <f t="shared" si="14"/>
        <v>2024</v>
      </c>
      <c r="Q454" s="45">
        <v>45403</v>
      </c>
      <c r="R454" s="19">
        <f>'Cleaned Data'!$Q454-'Cleaned Data'!$N454</f>
        <v>2</v>
      </c>
      <c r="S454" s="19" t="str">
        <f t="shared" si="15"/>
        <v>Summer</v>
      </c>
    </row>
    <row r="455" spans="1:19" x14ac:dyDescent="0.3">
      <c r="A455" s="11" t="s">
        <v>632</v>
      </c>
      <c r="B455" s="11" t="s">
        <v>27</v>
      </c>
      <c r="C455" s="3" t="s">
        <v>35</v>
      </c>
      <c r="D455" s="3" t="s">
        <v>38</v>
      </c>
      <c r="E455" s="3" t="s">
        <v>59</v>
      </c>
      <c r="F455" s="3" t="s">
        <v>64</v>
      </c>
      <c r="G455" s="3" t="s">
        <v>72</v>
      </c>
      <c r="H455" s="37">
        <v>10416.67</v>
      </c>
      <c r="I455" s="12">
        <v>0</v>
      </c>
      <c r="J455" s="37">
        <v>10416.67</v>
      </c>
      <c r="K455" s="3">
        <v>3</v>
      </c>
      <c r="L455" s="61">
        <f>Table1[[#This Row],[Final_Unit_Price]]*Table1[[#This Row],[Quantity]]</f>
        <v>31250.010000000002</v>
      </c>
      <c r="M455" s="59">
        <v>10937.5</v>
      </c>
      <c r="N455" s="42">
        <v>45300</v>
      </c>
      <c r="O455" s="20" t="str">
        <f>TEXT(Table1[[#This Row],[Order_Date]],"mmm")</f>
        <v>Jan</v>
      </c>
      <c r="P455" s="20">
        <f t="shared" si="14"/>
        <v>2024</v>
      </c>
      <c r="Q455" s="46">
        <v>45307</v>
      </c>
      <c r="R455" s="20">
        <f>'Cleaned Data'!$Q455-'Cleaned Data'!$N455</f>
        <v>7</v>
      </c>
      <c r="S455" s="19" t="str">
        <f t="shared" si="15"/>
        <v>Winter</v>
      </c>
    </row>
    <row r="456" spans="1:19" x14ac:dyDescent="0.3">
      <c r="A456" s="13" t="s">
        <v>633</v>
      </c>
      <c r="B456" s="13" t="s">
        <v>29</v>
      </c>
      <c r="C456" s="5" t="s">
        <v>35</v>
      </c>
      <c r="D456" s="5" t="s">
        <v>46</v>
      </c>
      <c r="E456" s="5" t="s">
        <v>59</v>
      </c>
      <c r="F456" s="5" t="s">
        <v>61</v>
      </c>
      <c r="G456" s="5" t="s">
        <v>71</v>
      </c>
      <c r="H456" s="38">
        <v>20591.95</v>
      </c>
      <c r="I456" s="14">
        <v>0</v>
      </c>
      <c r="J456" s="38">
        <v>20591.95</v>
      </c>
      <c r="K456" s="5">
        <v>5</v>
      </c>
      <c r="L456" s="62">
        <f>Table1[[#This Row],[Final_Unit_Price]]*Table1[[#This Row],[Quantity]]</f>
        <v>102959.75</v>
      </c>
      <c r="M456" s="60">
        <v>36035.910000000003</v>
      </c>
      <c r="N456" s="43">
        <v>45589</v>
      </c>
      <c r="O456" s="18" t="str">
        <f>TEXT(Table1[[#This Row],[Order_Date]],"mmm")</f>
        <v>Oct</v>
      </c>
      <c r="P456" s="18">
        <f t="shared" si="14"/>
        <v>2024</v>
      </c>
      <c r="Q456" s="45">
        <v>45591</v>
      </c>
      <c r="R456" s="19">
        <f>'Cleaned Data'!$Q456-'Cleaned Data'!$N456</f>
        <v>2</v>
      </c>
      <c r="S456" s="19" t="str">
        <f t="shared" si="15"/>
        <v>Winter</v>
      </c>
    </row>
    <row r="457" spans="1:19" x14ac:dyDescent="0.3">
      <c r="A457" s="11" t="s">
        <v>634</v>
      </c>
      <c r="B457" s="11" t="s">
        <v>16</v>
      </c>
      <c r="C457" s="3" t="s">
        <v>31</v>
      </c>
      <c r="D457" s="3" t="s">
        <v>47</v>
      </c>
      <c r="E457" s="3" t="s">
        <v>59</v>
      </c>
      <c r="F457" s="3" t="s">
        <v>63</v>
      </c>
      <c r="G457" s="3" t="s">
        <v>73</v>
      </c>
      <c r="H457" s="37">
        <v>2738.11</v>
      </c>
      <c r="I457" s="12">
        <v>0.25</v>
      </c>
      <c r="J457" s="37">
        <v>2053.5825</v>
      </c>
      <c r="K457" s="3">
        <v>1</v>
      </c>
      <c r="L457" s="61">
        <f>Table1[[#This Row],[Final_Unit_Price]]*Table1[[#This Row],[Quantity]]</f>
        <v>2053.5825</v>
      </c>
      <c r="M457" s="59">
        <v>718.75</v>
      </c>
      <c r="N457" s="42">
        <v>45411</v>
      </c>
      <c r="O457" s="20" t="str">
        <f>TEXT(Table1[[#This Row],[Order_Date]],"mmm")</f>
        <v>Apr</v>
      </c>
      <c r="P457" s="20">
        <f t="shared" si="14"/>
        <v>2024</v>
      </c>
      <c r="Q457" s="46">
        <v>45413</v>
      </c>
      <c r="R457" s="20">
        <f>'Cleaned Data'!$Q457-'Cleaned Data'!$N457</f>
        <v>2</v>
      </c>
      <c r="S457" s="19" t="str">
        <f t="shared" si="15"/>
        <v>Summer</v>
      </c>
    </row>
    <row r="458" spans="1:19" x14ac:dyDescent="0.3">
      <c r="A458" s="13" t="s">
        <v>635</v>
      </c>
      <c r="B458" s="13" t="s">
        <v>28</v>
      </c>
      <c r="C458" s="5" t="s">
        <v>34</v>
      </c>
      <c r="D458" s="5" t="s">
        <v>45</v>
      </c>
      <c r="E458" s="5" t="s">
        <v>59</v>
      </c>
      <c r="F458" s="5" t="s">
        <v>61</v>
      </c>
      <c r="G458" s="5" t="s">
        <v>70</v>
      </c>
      <c r="H458" s="38">
        <v>1763.42</v>
      </c>
      <c r="I458" s="14">
        <v>0.1</v>
      </c>
      <c r="J458" s="38">
        <v>1587.078</v>
      </c>
      <c r="K458" s="5">
        <v>8</v>
      </c>
      <c r="L458" s="62">
        <f>Table1[[#This Row],[Final_Unit_Price]]*Table1[[#This Row],[Quantity]]</f>
        <v>12696.624</v>
      </c>
      <c r="M458" s="60">
        <v>2777.39</v>
      </c>
      <c r="N458" s="43">
        <v>45295</v>
      </c>
      <c r="O458" s="18" t="str">
        <f>TEXT(Table1[[#This Row],[Order_Date]],"mmm")</f>
        <v>Jan</v>
      </c>
      <c r="P458" s="18">
        <f t="shared" si="14"/>
        <v>2024</v>
      </c>
      <c r="Q458" s="45">
        <v>45304</v>
      </c>
      <c r="R458" s="19">
        <f>'Cleaned Data'!$Q458-'Cleaned Data'!$N458</f>
        <v>9</v>
      </c>
      <c r="S458" s="19" t="str">
        <f t="shared" si="15"/>
        <v>Winter</v>
      </c>
    </row>
    <row r="459" spans="1:19" x14ac:dyDescent="0.3">
      <c r="A459" s="11" t="s">
        <v>636</v>
      </c>
      <c r="B459" s="11" t="s">
        <v>20</v>
      </c>
      <c r="C459" s="3" t="s">
        <v>32</v>
      </c>
      <c r="D459" s="3" t="s">
        <v>43</v>
      </c>
      <c r="E459" s="3" t="s">
        <v>58</v>
      </c>
      <c r="F459" s="3" t="s">
        <v>63</v>
      </c>
      <c r="G459" s="3" t="s">
        <v>75</v>
      </c>
      <c r="H459" s="37">
        <v>28950.2</v>
      </c>
      <c r="I459" s="12">
        <v>0.15</v>
      </c>
      <c r="J459" s="37">
        <v>24607.67</v>
      </c>
      <c r="K459" s="3">
        <v>2</v>
      </c>
      <c r="L459" s="61">
        <f>Table1[[#This Row],[Final_Unit_Price]]*Table1[[#This Row],[Quantity]]</f>
        <v>49215.34</v>
      </c>
      <c r="M459" s="59">
        <v>12303.83</v>
      </c>
      <c r="N459" s="42">
        <v>45298</v>
      </c>
      <c r="O459" s="20" t="str">
        <f>TEXT(Table1[[#This Row],[Order_Date]],"mmm")</f>
        <v>Jan</v>
      </c>
      <c r="P459" s="20">
        <f t="shared" si="14"/>
        <v>2024</v>
      </c>
      <c r="Q459" s="46">
        <v>45300</v>
      </c>
      <c r="R459" s="20">
        <f>'Cleaned Data'!$Q459-'Cleaned Data'!$N459</f>
        <v>2</v>
      </c>
      <c r="S459" s="19" t="str">
        <f t="shared" si="15"/>
        <v>Winter</v>
      </c>
    </row>
    <row r="460" spans="1:19" x14ac:dyDescent="0.3">
      <c r="A460" s="13" t="s">
        <v>637</v>
      </c>
      <c r="B460" s="13" t="s">
        <v>26</v>
      </c>
      <c r="C460" s="5" t="s">
        <v>32</v>
      </c>
      <c r="D460" s="5" t="s">
        <v>54</v>
      </c>
      <c r="E460" s="5" t="s">
        <v>60</v>
      </c>
      <c r="F460" s="5" t="s">
        <v>62</v>
      </c>
      <c r="G460" s="5" t="s">
        <v>66</v>
      </c>
      <c r="H460" s="38">
        <v>29850.18</v>
      </c>
      <c r="I460" s="14">
        <v>0.25</v>
      </c>
      <c r="J460" s="38">
        <v>22387.634999999998</v>
      </c>
      <c r="K460" s="5">
        <v>3</v>
      </c>
      <c r="L460" s="62">
        <f>Table1[[#This Row],[Final_Unit_Price]]*Table1[[#This Row],[Quantity]]</f>
        <v>67162.904999999999</v>
      </c>
      <c r="M460" s="60">
        <v>10074.43</v>
      </c>
      <c r="N460" s="43">
        <v>45432</v>
      </c>
      <c r="O460" s="18" t="str">
        <f>TEXT(Table1[[#This Row],[Order_Date]],"mmm")</f>
        <v>May</v>
      </c>
      <c r="P460" s="18">
        <f t="shared" si="14"/>
        <v>2024</v>
      </c>
      <c r="Q460" s="45">
        <v>45435</v>
      </c>
      <c r="R460" s="19">
        <f>'Cleaned Data'!$Q460-'Cleaned Data'!$N460</f>
        <v>3</v>
      </c>
      <c r="S460" s="19" t="str">
        <f t="shared" si="15"/>
        <v>Summer</v>
      </c>
    </row>
    <row r="461" spans="1:19" x14ac:dyDescent="0.3">
      <c r="A461" s="11" t="s">
        <v>638</v>
      </c>
      <c r="B461" s="11" t="s">
        <v>30</v>
      </c>
      <c r="C461" s="3" t="s">
        <v>33</v>
      </c>
      <c r="D461" s="3" t="s">
        <v>38</v>
      </c>
      <c r="E461" s="3" t="s">
        <v>59</v>
      </c>
      <c r="F461" s="3" t="s">
        <v>62</v>
      </c>
      <c r="G461" s="3" t="s">
        <v>69</v>
      </c>
      <c r="H461" s="37">
        <v>19152.419999999998</v>
      </c>
      <c r="I461" s="12">
        <v>0</v>
      </c>
      <c r="J461" s="37">
        <v>19152.419999999998</v>
      </c>
      <c r="K461" s="3">
        <v>4</v>
      </c>
      <c r="L461" s="61">
        <f>Table1[[#This Row],[Final_Unit_Price]]*Table1[[#This Row],[Quantity]]</f>
        <v>76609.679999999993</v>
      </c>
      <c r="M461" s="59">
        <v>26813.39</v>
      </c>
      <c r="N461" s="42">
        <v>45385</v>
      </c>
      <c r="O461" s="20" t="str">
        <f>TEXT(Table1[[#This Row],[Order_Date]],"mmm")</f>
        <v>Apr</v>
      </c>
      <c r="P461" s="20">
        <f t="shared" si="14"/>
        <v>2024</v>
      </c>
      <c r="Q461" s="46">
        <v>45387</v>
      </c>
      <c r="R461" s="20">
        <f>'Cleaned Data'!$Q461-'Cleaned Data'!$N461</f>
        <v>2</v>
      </c>
      <c r="S461" s="19" t="str">
        <f t="shared" si="15"/>
        <v>Summer</v>
      </c>
    </row>
    <row r="462" spans="1:19" x14ac:dyDescent="0.3">
      <c r="A462" s="13" t="s">
        <v>639</v>
      </c>
      <c r="B462" s="13" t="s">
        <v>17</v>
      </c>
      <c r="C462" s="5" t="s">
        <v>32</v>
      </c>
      <c r="D462" s="5" t="s">
        <v>37</v>
      </c>
      <c r="E462" s="5" t="s">
        <v>59</v>
      </c>
      <c r="F462" s="5" t="s">
        <v>64</v>
      </c>
      <c r="G462" s="5" t="s">
        <v>76</v>
      </c>
      <c r="H462" s="38">
        <v>10756.58</v>
      </c>
      <c r="I462" s="14">
        <v>0.25</v>
      </c>
      <c r="J462" s="38">
        <v>8067.4349999999986</v>
      </c>
      <c r="K462" s="5">
        <v>2</v>
      </c>
      <c r="L462" s="62">
        <f>Table1[[#This Row],[Final_Unit_Price]]*Table1[[#This Row],[Quantity]]</f>
        <v>16134.869999999997</v>
      </c>
      <c r="M462" s="60">
        <v>5647.2</v>
      </c>
      <c r="N462" s="43">
        <v>45553</v>
      </c>
      <c r="O462" s="18" t="str">
        <f>TEXT(Table1[[#This Row],[Order_Date]],"mmm")</f>
        <v>Sep</v>
      </c>
      <c r="P462" s="18">
        <f t="shared" si="14"/>
        <v>2024</v>
      </c>
      <c r="Q462" s="45">
        <v>45557</v>
      </c>
      <c r="R462" s="19">
        <f>'Cleaned Data'!$Q462-'Cleaned Data'!$N462</f>
        <v>4</v>
      </c>
      <c r="S462" s="19" t="str">
        <f t="shared" si="15"/>
        <v>Monsoon</v>
      </c>
    </row>
    <row r="463" spans="1:19" x14ac:dyDescent="0.3">
      <c r="A463" s="11" t="s">
        <v>640</v>
      </c>
      <c r="B463" s="11" t="s">
        <v>18</v>
      </c>
      <c r="C463" s="3" t="s">
        <v>33</v>
      </c>
      <c r="D463" s="3" t="s">
        <v>38</v>
      </c>
      <c r="E463" s="3" t="s">
        <v>59</v>
      </c>
      <c r="F463" s="3" t="s">
        <v>62</v>
      </c>
      <c r="G463" s="3" t="s">
        <v>69</v>
      </c>
      <c r="H463" s="37">
        <v>62349.61</v>
      </c>
      <c r="I463" s="12">
        <v>0.05</v>
      </c>
      <c r="J463" s="37">
        <v>59232.129500000003</v>
      </c>
      <c r="K463" s="3">
        <v>4</v>
      </c>
      <c r="L463" s="61">
        <f>Table1[[#This Row],[Final_Unit_Price]]*Table1[[#This Row],[Quantity]]</f>
        <v>236928.51800000001</v>
      </c>
      <c r="M463" s="59">
        <v>82924.98</v>
      </c>
      <c r="N463" s="42">
        <v>45689</v>
      </c>
      <c r="O463" s="20" t="str">
        <f>TEXT(Table1[[#This Row],[Order_Date]],"mmm")</f>
        <v>Feb</v>
      </c>
      <c r="P463" s="20">
        <f t="shared" si="14"/>
        <v>2025</v>
      </c>
      <c r="Q463" s="46">
        <v>45694</v>
      </c>
      <c r="R463" s="20">
        <f>'Cleaned Data'!$Q463-'Cleaned Data'!$N463</f>
        <v>5</v>
      </c>
      <c r="S463" s="19" t="str">
        <f t="shared" si="15"/>
        <v>Summer</v>
      </c>
    </row>
    <row r="464" spans="1:19" x14ac:dyDescent="0.3">
      <c r="A464" s="13" t="s">
        <v>641</v>
      </c>
      <c r="B464" s="13" t="s">
        <v>28</v>
      </c>
      <c r="C464" s="5" t="s">
        <v>34</v>
      </c>
      <c r="D464" s="5" t="s">
        <v>51</v>
      </c>
      <c r="E464" s="5" t="s">
        <v>59</v>
      </c>
      <c r="F464" s="5" t="s">
        <v>62</v>
      </c>
      <c r="G464" s="5" t="s">
        <v>69</v>
      </c>
      <c r="H464" s="38">
        <v>1961.47</v>
      </c>
      <c r="I464" s="14">
        <v>0.1</v>
      </c>
      <c r="J464" s="38">
        <v>1765.3230000000001</v>
      </c>
      <c r="K464" s="5">
        <v>2</v>
      </c>
      <c r="L464" s="62">
        <f>Table1[[#This Row],[Final_Unit_Price]]*Table1[[#This Row],[Quantity]]</f>
        <v>3530.6460000000002</v>
      </c>
      <c r="M464" s="60">
        <v>1235.73</v>
      </c>
      <c r="N464" s="43">
        <v>45714</v>
      </c>
      <c r="O464" s="18" t="str">
        <f>TEXT(Table1[[#This Row],[Order_Date]],"mmm")</f>
        <v>Feb</v>
      </c>
      <c r="P464" s="18">
        <f t="shared" si="14"/>
        <v>2025</v>
      </c>
      <c r="Q464" s="45">
        <v>45724</v>
      </c>
      <c r="R464" s="19">
        <f>'Cleaned Data'!$Q464-'Cleaned Data'!$N464</f>
        <v>10</v>
      </c>
      <c r="S464" s="19" t="str">
        <f t="shared" si="15"/>
        <v>Summer</v>
      </c>
    </row>
    <row r="465" spans="1:19" x14ac:dyDescent="0.3">
      <c r="A465" s="11" t="s">
        <v>642</v>
      </c>
      <c r="B465" s="11" t="s">
        <v>24</v>
      </c>
      <c r="C465" s="3" t="s">
        <v>32</v>
      </c>
      <c r="D465" s="3" t="s">
        <v>40</v>
      </c>
      <c r="E465" s="3" t="s">
        <v>59</v>
      </c>
      <c r="F465" s="3" t="s">
        <v>61</v>
      </c>
      <c r="G465" s="3" t="s">
        <v>65</v>
      </c>
      <c r="H465" s="37">
        <v>29602.71</v>
      </c>
      <c r="I465" s="12">
        <v>0.15</v>
      </c>
      <c r="J465" s="37">
        <v>25162.303500000002</v>
      </c>
      <c r="K465" s="3">
        <v>2</v>
      </c>
      <c r="L465" s="61">
        <f>Table1[[#This Row],[Final_Unit_Price]]*Table1[[#This Row],[Quantity]]</f>
        <v>50324.607000000004</v>
      </c>
      <c r="M465" s="59">
        <v>17613.61</v>
      </c>
      <c r="N465" s="42">
        <v>45648</v>
      </c>
      <c r="O465" s="20" t="str">
        <f>TEXT(Table1[[#This Row],[Order_Date]],"mmm")</f>
        <v>Dec</v>
      </c>
      <c r="P465" s="20">
        <f t="shared" si="14"/>
        <v>2024</v>
      </c>
      <c r="Q465" s="46">
        <v>45655</v>
      </c>
      <c r="R465" s="20">
        <f>'Cleaned Data'!$Q465-'Cleaned Data'!$N465</f>
        <v>7</v>
      </c>
      <c r="S465" s="19" t="str">
        <f t="shared" si="15"/>
        <v>Winter</v>
      </c>
    </row>
    <row r="466" spans="1:19" x14ac:dyDescent="0.3">
      <c r="A466" s="13" t="s">
        <v>643</v>
      </c>
      <c r="B466" s="13" t="s">
        <v>21</v>
      </c>
      <c r="C466" s="5" t="s">
        <v>34</v>
      </c>
      <c r="D466" s="5" t="s">
        <v>45</v>
      </c>
      <c r="E466" s="5" t="s">
        <v>59</v>
      </c>
      <c r="F466" s="5" t="s">
        <v>61</v>
      </c>
      <c r="G466" s="5" t="s">
        <v>70</v>
      </c>
      <c r="H466" s="38">
        <v>3645.69</v>
      </c>
      <c r="I466" s="14">
        <v>0.2</v>
      </c>
      <c r="J466" s="38">
        <v>2916.5520000000001</v>
      </c>
      <c r="K466" s="5">
        <v>1</v>
      </c>
      <c r="L466" s="62">
        <f>Table1[[#This Row],[Final_Unit_Price]]*Table1[[#This Row],[Quantity]]</f>
        <v>2916.5520000000001</v>
      </c>
      <c r="M466" s="60">
        <v>1020.79</v>
      </c>
      <c r="N466" s="43">
        <v>45410</v>
      </c>
      <c r="O466" s="18" t="str">
        <f>TEXT(Table1[[#This Row],[Order_Date]],"mmm")</f>
        <v>Apr</v>
      </c>
      <c r="P466" s="18">
        <f t="shared" si="14"/>
        <v>2024</v>
      </c>
      <c r="Q466" s="45">
        <v>45414</v>
      </c>
      <c r="R466" s="19">
        <f>'Cleaned Data'!$Q466-'Cleaned Data'!$N466</f>
        <v>4</v>
      </c>
      <c r="S466" s="19" t="str">
        <f t="shared" si="15"/>
        <v>Summer</v>
      </c>
    </row>
    <row r="467" spans="1:19" x14ac:dyDescent="0.3">
      <c r="A467" s="11" t="s">
        <v>644</v>
      </c>
      <c r="B467" s="11" t="s">
        <v>16</v>
      </c>
      <c r="C467" s="3" t="s">
        <v>31</v>
      </c>
      <c r="D467" s="3" t="s">
        <v>47</v>
      </c>
      <c r="E467" s="3" t="s">
        <v>59</v>
      </c>
      <c r="F467" s="3" t="s">
        <v>63</v>
      </c>
      <c r="G467" s="3" t="s">
        <v>75</v>
      </c>
      <c r="H467" s="37">
        <v>2854.27</v>
      </c>
      <c r="I467" s="12">
        <v>0.15</v>
      </c>
      <c r="J467" s="37">
        <v>2426.1295</v>
      </c>
      <c r="K467" s="3">
        <v>5</v>
      </c>
      <c r="L467" s="61">
        <f>Table1[[#This Row],[Final_Unit_Price]]*Table1[[#This Row],[Quantity]]</f>
        <v>12130.647499999999</v>
      </c>
      <c r="M467" s="59">
        <v>4245.7299999999996</v>
      </c>
      <c r="N467" s="42">
        <v>45673</v>
      </c>
      <c r="O467" s="20" t="str">
        <f>TEXT(Table1[[#This Row],[Order_Date]],"mmm")</f>
        <v>Jan</v>
      </c>
      <c r="P467" s="20">
        <f t="shared" si="14"/>
        <v>2025</v>
      </c>
      <c r="Q467" s="46">
        <v>45683</v>
      </c>
      <c r="R467" s="20">
        <f>'Cleaned Data'!$Q467-'Cleaned Data'!$N467</f>
        <v>10</v>
      </c>
      <c r="S467" s="19" t="str">
        <f t="shared" si="15"/>
        <v>Winter</v>
      </c>
    </row>
    <row r="468" spans="1:19" x14ac:dyDescent="0.3">
      <c r="A468" s="13" t="s">
        <v>645</v>
      </c>
      <c r="B468" s="13" t="s">
        <v>16</v>
      </c>
      <c r="C468" s="5" t="s">
        <v>31</v>
      </c>
      <c r="D468" s="5" t="s">
        <v>36</v>
      </c>
      <c r="E468" s="5" t="s">
        <v>58</v>
      </c>
      <c r="F468" s="5" t="s">
        <v>62</v>
      </c>
      <c r="G468" s="5" t="s">
        <v>66</v>
      </c>
      <c r="H468" s="38">
        <v>2471.13</v>
      </c>
      <c r="I468" s="14">
        <v>0.05</v>
      </c>
      <c r="J468" s="38">
        <v>2347.5735</v>
      </c>
      <c r="K468" s="5">
        <v>3</v>
      </c>
      <c r="L468" s="62">
        <f>Table1[[#This Row],[Final_Unit_Price]]*Table1[[#This Row],[Quantity]]</f>
        <v>7042.7204999999994</v>
      </c>
      <c r="M468" s="60">
        <v>1760.68</v>
      </c>
      <c r="N468" s="43">
        <v>45636</v>
      </c>
      <c r="O468" s="18" t="str">
        <f>TEXT(Table1[[#This Row],[Order_Date]],"mmm")</f>
        <v>Dec</v>
      </c>
      <c r="P468" s="18">
        <f t="shared" si="14"/>
        <v>2024</v>
      </c>
      <c r="Q468" s="45">
        <v>45642</v>
      </c>
      <c r="R468" s="19">
        <f>'Cleaned Data'!$Q468-'Cleaned Data'!$N468</f>
        <v>6</v>
      </c>
      <c r="S468" s="19" t="str">
        <f t="shared" si="15"/>
        <v>Winter</v>
      </c>
    </row>
    <row r="469" spans="1:19" x14ac:dyDescent="0.3">
      <c r="A469" s="11" t="s">
        <v>646</v>
      </c>
      <c r="B469" s="11" t="s">
        <v>25</v>
      </c>
      <c r="C469" s="3" t="s">
        <v>34</v>
      </c>
      <c r="D469" s="3" t="s">
        <v>45</v>
      </c>
      <c r="E469" s="3" t="s">
        <v>59</v>
      </c>
      <c r="F469" s="3" t="s">
        <v>64</v>
      </c>
      <c r="G469" s="3" t="s">
        <v>72</v>
      </c>
      <c r="H469" s="37">
        <v>1044.76</v>
      </c>
      <c r="I469" s="12">
        <v>0.25</v>
      </c>
      <c r="J469" s="37">
        <v>783.56999999999994</v>
      </c>
      <c r="K469" s="3">
        <v>1</v>
      </c>
      <c r="L469" s="61">
        <f>Table1[[#This Row],[Final_Unit_Price]]*Table1[[#This Row],[Quantity]]</f>
        <v>783.56999999999994</v>
      </c>
      <c r="M469" s="59">
        <v>274.25</v>
      </c>
      <c r="N469" s="42">
        <v>45460</v>
      </c>
      <c r="O469" s="20" t="str">
        <f>TEXT(Table1[[#This Row],[Order_Date]],"mmm")</f>
        <v>Jun</v>
      </c>
      <c r="P469" s="20">
        <f t="shared" si="14"/>
        <v>2024</v>
      </c>
      <c r="Q469" s="46">
        <v>45468</v>
      </c>
      <c r="R469" s="20">
        <f>'Cleaned Data'!$Q469-'Cleaned Data'!$N469</f>
        <v>8</v>
      </c>
      <c r="S469" s="19" t="str">
        <f t="shared" si="15"/>
        <v>Monsoon</v>
      </c>
    </row>
    <row r="470" spans="1:19" x14ac:dyDescent="0.3">
      <c r="A470" s="13" t="s">
        <v>647</v>
      </c>
      <c r="B470" s="13" t="s">
        <v>20</v>
      </c>
      <c r="C470" s="5" t="s">
        <v>32</v>
      </c>
      <c r="D470" s="5" t="s">
        <v>40</v>
      </c>
      <c r="E470" s="5" t="s">
        <v>59</v>
      </c>
      <c r="F470" s="5" t="s">
        <v>64</v>
      </c>
      <c r="G470" s="5" t="s">
        <v>76</v>
      </c>
      <c r="H470" s="38">
        <v>37728.92</v>
      </c>
      <c r="I470" s="14">
        <v>0.05</v>
      </c>
      <c r="J470" s="38">
        <v>35842.473999999987</v>
      </c>
      <c r="K470" s="5">
        <v>1</v>
      </c>
      <c r="L470" s="62">
        <f>Table1[[#This Row],[Final_Unit_Price]]*Table1[[#This Row],[Quantity]]</f>
        <v>35842.473999999987</v>
      </c>
      <c r="M470" s="60">
        <v>12544.86</v>
      </c>
      <c r="N470" s="43">
        <v>45765</v>
      </c>
      <c r="O470" s="18" t="str">
        <f>TEXT(Table1[[#This Row],[Order_Date]],"mmm")</f>
        <v>Apr</v>
      </c>
      <c r="P470" s="18">
        <f t="shared" si="14"/>
        <v>2025</v>
      </c>
      <c r="Q470" s="45">
        <v>45770</v>
      </c>
      <c r="R470" s="19">
        <f>'Cleaned Data'!$Q470-'Cleaned Data'!$N470</f>
        <v>5</v>
      </c>
      <c r="S470" s="19" t="str">
        <f t="shared" si="15"/>
        <v>Summer</v>
      </c>
    </row>
    <row r="471" spans="1:19" x14ac:dyDescent="0.3">
      <c r="A471" s="11" t="s">
        <v>648</v>
      </c>
      <c r="B471" s="11" t="s">
        <v>17</v>
      </c>
      <c r="C471" s="3" t="s">
        <v>32</v>
      </c>
      <c r="D471" s="3" t="s">
        <v>40</v>
      </c>
      <c r="E471" s="3" t="s">
        <v>59</v>
      </c>
      <c r="F471" s="3" t="s">
        <v>62</v>
      </c>
      <c r="G471" s="3" t="s">
        <v>67</v>
      </c>
      <c r="H471" s="37">
        <v>10209.85</v>
      </c>
      <c r="I471" s="12">
        <v>0.05</v>
      </c>
      <c r="J471" s="37">
        <v>9699.3575000000001</v>
      </c>
      <c r="K471" s="3">
        <v>1</v>
      </c>
      <c r="L471" s="61">
        <f>Table1[[#This Row],[Final_Unit_Price]]*Table1[[#This Row],[Quantity]]</f>
        <v>9699.3575000000001</v>
      </c>
      <c r="M471" s="59">
        <v>3394.78</v>
      </c>
      <c r="N471" s="42">
        <v>45597</v>
      </c>
      <c r="O471" s="20" t="str">
        <f>TEXT(Table1[[#This Row],[Order_Date]],"mmm")</f>
        <v>Nov</v>
      </c>
      <c r="P471" s="20">
        <f t="shared" si="14"/>
        <v>2024</v>
      </c>
      <c r="Q471" s="46">
        <v>45605</v>
      </c>
      <c r="R471" s="20">
        <f>'Cleaned Data'!$Q471-'Cleaned Data'!$N471</f>
        <v>8</v>
      </c>
      <c r="S471" s="19" t="str">
        <f t="shared" si="15"/>
        <v>Winter</v>
      </c>
    </row>
    <row r="472" spans="1:19" x14ac:dyDescent="0.3">
      <c r="A472" s="13" t="s">
        <v>649</v>
      </c>
      <c r="B472" s="13" t="s">
        <v>27</v>
      </c>
      <c r="C472" s="5" t="s">
        <v>35</v>
      </c>
      <c r="D472" s="5" t="s">
        <v>44</v>
      </c>
      <c r="E472" s="5" t="s">
        <v>60</v>
      </c>
      <c r="F472" s="5" t="s">
        <v>61</v>
      </c>
      <c r="G472" s="5" t="s">
        <v>70</v>
      </c>
      <c r="H472" s="38">
        <v>6332.81</v>
      </c>
      <c r="I472" s="14">
        <v>0.3</v>
      </c>
      <c r="J472" s="38">
        <v>4432.9669999999996</v>
      </c>
      <c r="K472" s="5">
        <v>5</v>
      </c>
      <c r="L472" s="62">
        <f>Table1[[#This Row],[Final_Unit_Price]]*Table1[[#This Row],[Quantity]]</f>
        <v>22164.834999999999</v>
      </c>
      <c r="M472" s="60">
        <v>3324.72</v>
      </c>
      <c r="N472" s="43">
        <v>45460</v>
      </c>
      <c r="O472" s="18" t="str">
        <f>TEXT(Table1[[#This Row],[Order_Date]],"mmm")</f>
        <v>Jun</v>
      </c>
      <c r="P472" s="18">
        <f t="shared" si="14"/>
        <v>2024</v>
      </c>
      <c r="Q472" s="45">
        <v>45467</v>
      </c>
      <c r="R472" s="19">
        <f>'Cleaned Data'!$Q472-'Cleaned Data'!$N472</f>
        <v>7</v>
      </c>
      <c r="S472" s="19" t="str">
        <f t="shared" si="15"/>
        <v>Monsoon</v>
      </c>
    </row>
    <row r="473" spans="1:19" x14ac:dyDescent="0.3">
      <c r="A473" s="11" t="s">
        <v>650</v>
      </c>
      <c r="B473" s="11" t="s">
        <v>23</v>
      </c>
      <c r="C473" s="3" t="s">
        <v>35</v>
      </c>
      <c r="D473" s="3" t="s">
        <v>44</v>
      </c>
      <c r="E473" s="3" t="s">
        <v>60</v>
      </c>
      <c r="F473" s="3" t="s">
        <v>63</v>
      </c>
      <c r="G473" s="3" t="s">
        <v>73</v>
      </c>
      <c r="H473" s="37">
        <v>19538.5</v>
      </c>
      <c r="I473" s="12">
        <v>0.2</v>
      </c>
      <c r="J473" s="37">
        <v>15630.8</v>
      </c>
      <c r="K473" s="3">
        <v>1</v>
      </c>
      <c r="L473" s="61">
        <f>Table1[[#This Row],[Final_Unit_Price]]*Table1[[#This Row],[Quantity]]</f>
        <v>15630.8</v>
      </c>
      <c r="M473" s="59">
        <v>2344.62</v>
      </c>
      <c r="N473" s="42">
        <v>45563</v>
      </c>
      <c r="O473" s="20" t="str">
        <f>TEXT(Table1[[#This Row],[Order_Date]],"mmm")</f>
        <v>Sep</v>
      </c>
      <c r="P473" s="20">
        <f t="shared" si="14"/>
        <v>2024</v>
      </c>
      <c r="Q473" s="46">
        <v>45569</v>
      </c>
      <c r="R473" s="20">
        <f>'Cleaned Data'!$Q473-'Cleaned Data'!$N473</f>
        <v>6</v>
      </c>
      <c r="S473" s="19" t="str">
        <f t="shared" si="15"/>
        <v>Monsoon</v>
      </c>
    </row>
    <row r="474" spans="1:19" x14ac:dyDescent="0.3">
      <c r="A474" s="13" t="s">
        <v>651</v>
      </c>
      <c r="B474" s="13" t="s">
        <v>25</v>
      </c>
      <c r="C474" s="5" t="s">
        <v>34</v>
      </c>
      <c r="D474" s="5" t="s">
        <v>41</v>
      </c>
      <c r="E474" s="5" t="s">
        <v>60</v>
      </c>
      <c r="F474" s="5" t="s">
        <v>64</v>
      </c>
      <c r="G474" s="5" t="s">
        <v>74</v>
      </c>
      <c r="H474" s="38">
        <v>749.32</v>
      </c>
      <c r="I474" s="14">
        <v>0.15</v>
      </c>
      <c r="J474" s="38">
        <v>636.92200000000003</v>
      </c>
      <c r="K474" s="5">
        <v>2</v>
      </c>
      <c r="L474" s="62">
        <f>Table1[[#This Row],[Final_Unit_Price]]*Table1[[#This Row],[Quantity]]</f>
        <v>1273.8440000000001</v>
      </c>
      <c r="M474" s="60">
        <v>191.08</v>
      </c>
      <c r="N474" s="43">
        <v>45851</v>
      </c>
      <c r="O474" s="18" t="str">
        <f>TEXT(Table1[[#This Row],[Order_Date]],"mmm")</f>
        <v>Jul</v>
      </c>
      <c r="P474" s="18">
        <f t="shared" si="14"/>
        <v>2025</v>
      </c>
      <c r="Q474" s="45">
        <v>45859</v>
      </c>
      <c r="R474" s="19">
        <f>'Cleaned Data'!$Q474-'Cleaned Data'!$N474</f>
        <v>8</v>
      </c>
      <c r="S474" s="19" t="str">
        <f t="shared" si="15"/>
        <v>Monsoon</v>
      </c>
    </row>
    <row r="475" spans="1:19" x14ac:dyDescent="0.3">
      <c r="A475" s="11" t="s">
        <v>652</v>
      </c>
      <c r="B475" s="11" t="s">
        <v>23</v>
      </c>
      <c r="C475" s="3" t="s">
        <v>35</v>
      </c>
      <c r="D475" s="3" t="s">
        <v>38</v>
      </c>
      <c r="E475" s="3" t="s">
        <v>59</v>
      </c>
      <c r="F475" s="3" t="s">
        <v>63</v>
      </c>
      <c r="G475" s="3" t="s">
        <v>68</v>
      </c>
      <c r="H475" s="37">
        <v>29538.01</v>
      </c>
      <c r="I475" s="12">
        <v>0.3</v>
      </c>
      <c r="J475" s="37">
        <v>20676.607</v>
      </c>
      <c r="K475" s="3">
        <v>1</v>
      </c>
      <c r="L475" s="61">
        <f>Table1[[#This Row],[Final_Unit_Price]]*Table1[[#This Row],[Quantity]]</f>
        <v>20676.607</v>
      </c>
      <c r="M475" s="59">
        <v>7236.81</v>
      </c>
      <c r="N475" s="42">
        <v>45628</v>
      </c>
      <c r="O475" s="20" t="str">
        <f>TEXT(Table1[[#This Row],[Order_Date]],"mmm")</f>
        <v>Dec</v>
      </c>
      <c r="P475" s="20">
        <f t="shared" si="14"/>
        <v>2024</v>
      </c>
      <c r="Q475" s="46">
        <v>45633</v>
      </c>
      <c r="R475" s="20">
        <f>'Cleaned Data'!$Q475-'Cleaned Data'!$N475</f>
        <v>5</v>
      </c>
      <c r="S475" s="19" t="str">
        <f t="shared" si="15"/>
        <v>Winter</v>
      </c>
    </row>
    <row r="476" spans="1:19" x14ac:dyDescent="0.3">
      <c r="A476" s="13" t="s">
        <v>653</v>
      </c>
      <c r="B476" s="13" t="s">
        <v>24</v>
      </c>
      <c r="C476" s="5" t="s">
        <v>32</v>
      </c>
      <c r="D476" s="5" t="s">
        <v>37</v>
      </c>
      <c r="E476" s="5" t="s">
        <v>59</v>
      </c>
      <c r="F476" s="5" t="s">
        <v>63</v>
      </c>
      <c r="G476" s="5" t="s">
        <v>68</v>
      </c>
      <c r="H476" s="38">
        <v>29006.18</v>
      </c>
      <c r="I476" s="14">
        <v>0.3</v>
      </c>
      <c r="J476" s="38">
        <v>20304.326000000001</v>
      </c>
      <c r="K476" s="5">
        <v>4</v>
      </c>
      <c r="L476" s="62">
        <f>Table1[[#This Row],[Final_Unit_Price]]*Table1[[#This Row],[Quantity]]</f>
        <v>81217.304000000004</v>
      </c>
      <c r="M476" s="60">
        <v>28426.06</v>
      </c>
      <c r="N476" s="43">
        <v>45475</v>
      </c>
      <c r="O476" s="18" t="str">
        <f>TEXT(Table1[[#This Row],[Order_Date]],"mmm")</f>
        <v>Jul</v>
      </c>
      <c r="P476" s="18">
        <f t="shared" si="14"/>
        <v>2024</v>
      </c>
      <c r="Q476" s="45">
        <v>45481</v>
      </c>
      <c r="R476" s="19">
        <f>'Cleaned Data'!$Q476-'Cleaned Data'!$N476</f>
        <v>6</v>
      </c>
      <c r="S476" s="19" t="str">
        <f t="shared" si="15"/>
        <v>Monsoon</v>
      </c>
    </row>
    <row r="477" spans="1:19" x14ac:dyDescent="0.3">
      <c r="A477" s="11" t="s">
        <v>654</v>
      </c>
      <c r="B477" s="11" t="s">
        <v>28</v>
      </c>
      <c r="C477" s="3" t="s">
        <v>34</v>
      </c>
      <c r="D477" s="3" t="s">
        <v>45</v>
      </c>
      <c r="E477" s="3" t="s">
        <v>59</v>
      </c>
      <c r="F477" s="3" t="s">
        <v>63</v>
      </c>
      <c r="G477" s="3" t="s">
        <v>68</v>
      </c>
      <c r="H477" s="37">
        <v>1670.11</v>
      </c>
      <c r="I477" s="12">
        <v>0.15</v>
      </c>
      <c r="J477" s="37">
        <v>1419.5934999999999</v>
      </c>
      <c r="K477" s="3">
        <v>5</v>
      </c>
      <c r="L477" s="61">
        <f>Table1[[#This Row],[Final_Unit_Price]]*Table1[[#This Row],[Quantity]]</f>
        <v>7097.9674999999997</v>
      </c>
      <c r="M477" s="59">
        <v>2484.29</v>
      </c>
      <c r="N477" s="42">
        <v>45775</v>
      </c>
      <c r="O477" s="20" t="str">
        <f>TEXT(Table1[[#This Row],[Order_Date]],"mmm")</f>
        <v>Apr</v>
      </c>
      <c r="P477" s="20">
        <f t="shared" si="14"/>
        <v>2025</v>
      </c>
      <c r="Q477" s="46">
        <v>45777</v>
      </c>
      <c r="R477" s="20">
        <f>'Cleaned Data'!$Q477-'Cleaned Data'!$N477</f>
        <v>2</v>
      </c>
      <c r="S477" s="19" t="str">
        <f t="shared" si="15"/>
        <v>Summer</v>
      </c>
    </row>
    <row r="478" spans="1:19" x14ac:dyDescent="0.3">
      <c r="A478" s="13" t="s">
        <v>655</v>
      </c>
      <c r="B478" s="13" t="s">
        <v>18</v>
      </c>
      <c r="C478" s="5" t="s">
        <v>33</v>
      </c>
      <c r="D478" s="5" t="s">
        <v>38</v>
      </c>
      <c r="E478" s="5" t="s">
        <v>59</v>
      </c>
      <c r="F478" s="5" t="s">
        <v>61</v>
      </c>
      <c r="G478" s="5" t="s">
        <v>65</v>
      </c>
      <c r="H478" s="38">
        <v>59338.43</v>
      </c>
      <c r="I478" s="14">
        <v>0.25</v>
      </c>
      <c r="J478" s="38">
        <v>44503.822500000002</v>
      </c>
      <c r="K478" s="5">
        <v>2</v>
      </c>
      <c r="L478" s="62">
        <f>Table1[[#This Row],[Final_Unit_Price]]*Table1[[#This Row],[Quantity]]</f>
        <v>89007.645000000004</v>
      </c>
      <c r="M478" s="60">
        <v>31152.68</v>
      </c>
      <c r="N478" s="43">
        <v>45722</v>
      </c>
      <c r="O478" s="18" t="str">
        <f>TEXT(Table1[[#This Row],[Order_Date]],"mmm")</f>
        <v>Mar</v>
      </c>
      <c r="P478" s="18">
        <f t="shared" si="14"/>
        <v>2025</v>
      </c>
      <c r="Q478" s="45">
        <v>45729</v>
      </c>
      <c r="R478" s="19">
        <f>'Cleaned Data'!$Q478-'Cleaned Data'!$N478</f>
        <v>7</v>
      </c>
      <c r="S478" s="19" t="str">
        <f t="shared" si="15"/>
        <v>Summer</v>
      </c>
    </row>
    <row r="479" spans="1:19" x14ac:dyDescent="0.3">
      <c r="A479" s="11" t="s">
        <v>656</v>
      </c>
      <c r="B479" s="11" t="s">
        <v>29</v>
      </c>
      <c r="C479" s="3" t="s">
        <v>35</v>
      </c>
      <c r="D479" s="3" t="s">
        <v>46</v>
      </c>
      <c r="E479" s="3" t="s">
        <v>59</v>
      </c>
      <c r="F479" s="3" t="s">
        <v>62</v>
      </c>
      <c r="G479" s="3" t="s">
        <v>67</v>
      </c>
      <c r="H479" s="37">
        <v>22509.3</v>
      </c>
      <c r="I479" s="12">
        <v>0</v>
      </c>
      <c r="J479" s="37">
        <v>22509.3</v>
      </c>
      <c r="K479" s="3">
        <v>5</v>
      </c>
      <c r="L479" s="61">
        <f>Table1[[#This Row],[Final_Unit_Price]]*Table1[[#This Row],[Quantity]]</f>
        <v>112546.5</v>
      </c>
      <c r="M479" s="59">
        <v>39391.269999999997</v>
      </c>
      <c r="N479" s="42">
        <v>45398</v>
      </c>
      <c r="O479" s="20" t="str">
        <f>TEXT(Table1[[#This Row],[Order_Date]],"mmm")</f>
        <v>Apr</v>
      </c>
      <c r="P479" s="20">
        <f t="shared" si="14"/>
        <v>2024</v>
      </c>
      <c r="Q479" s="46">
        <v>45405</v>
      </c>
      <c r="R479" s="20">
        <f>'Cleaned Data'!$Q479-'Cleaned Data'!$N479</f>
        <v>7</v>
      </c>
      <c r="S479" s="19" t="str">
        <f t="shared" si="15"/>
        <v>Summer</v>
      </c>
    </row>
    <row r="480" spans="1:19" x14ac:dyDescent="0.3">
      <c r="A480" s="13" t="s">
        <v>657</v>
      </c>
      <c r="B480" s="13" t="s">
        <v>24</v>
      </c>
      <c r="C480" s="5" t="s">
        <v>32</v>
      </c>
      <c r="D480" s="5" t="s">
        <v>40</v>
      </c>
      <c r="E480" s="5" t="s">
        <v>59</v>
      </c>
      <c r="F480" s="5" t="s">
        <v>64</v>
      </c>
      <c r="G480" s="5" t="s">
        <v>72</v>
      </c>
      <c r="H480" s="38">
        <v>31891.54</v>
      </c>
      <c r="I480" s="14">
        <v>0.2</v>
      </c>
      <c r="J480" s="38">
        <v>25513.232</v>
      </c>
      <c r="K480" s="5">
        <v>1</v>
      </c>
      <c r="L480" s="62">
        <f>Table1[[#This Row],[Final_Unit_Price]]*Table1[[#This Row],[Quantity]]</f>
        <v>25513.232</v>
      </c>
      <c r="M480" s="60">
        <v>8929.6299999999992</v>
      </c>
      <c r="N480" s="43">
        <v>45469</v>
      </c>
      <c r="O480" s="18" t="str">
        <f>TEXT(Table1[[#This Row],[Order_Date]],"mmm")</f>
        <v>Jun</v>
      </c>
      <c r="P480" s="18">
        <f t="shared" si="14"/>
        <v>2024</v>
      </c>
      <c r="Q480" s="45">
        <v>45479</v>
      </c>
      <c r="R480" s="19">
        <f>'Cleaned Data'!$Q480-'Cleaned Data'!$N480</f>
        <v>10</v>
      </c>
      <c r="S480" s="19" t="str">
        <f t="shared" si="15"/>
        <v>Monsoon</v>
      </c>
    </row>
    <row r="481" spans="1:19" x14ac:dyDescent="0.3">
      <c r="A481" s="11" t="s">
        <v>658</v>
      </c>
      <c r="B481" s="11" t="s">
        <v>20</v>
      </c>
      <c r="C481" s="3" t="s">
        <v>32</v>
      </c>
      <c r="D481" s="3" t="s">
        <v>54</v>
      </c>
      <c r="E481" s="3" t="s">
        <v>60</v>
      </c>
      <c r="F481" s="3" t="s">
        <v>61</v>
      </c>
      <c r="G481" s="3" t="s">
        <v>71</v>
      </c>
      <c r="H481" s="37">
        <v>24927.919999999998</v>
      </c>
      <c r="I481" s="12">
        <v>0.25</v>
      </c>
      <c r="J481" s="37">
        <v>18695.939999999999</v>
      </c>
      <c r="K481" s="3">
        <v>5</v>
      </c>
      <c r="L481" s="61">
        <f>Table1[[#This Row],[Final_Unit_Price]]*Table1[[#This Row],[Quantity]]</f>
        <v>93479.7</v>
      </c>
      <c r="M481" s="59">
        <v>14021.95</v>
      </c>
      <c r="N481" s="42">
        <v>45489</v>
      </c>
      <c r="O481" s="20" t="str">
        <f>TEXT(Table1[[#This Row],[Order_Date]],"mmm")</f>
        <v>Jul</v>
      </c>
      <c r="P481" s="20">
        <f t="shared" si="14"/>
        <v>2024</v>
      </c>
      <c r="Q481" s="46">
        <v>45498</v>
      </c>
      <c r="R481" s="20">
        <f>'Cleaned Data'!$Q481-'Cleaned Data'!$N481</f>
        <v>9</v>
      </c>
      <c r="S481" s="19" t="str">
        <f t="shared" si="15"/>
        <v>Monsoon</v>
      </c>
    </row>
    <row r="482" spans="1:19" x14ac:dyDescent="0.3">
      <c r="A482" s="13" t="s">
        <v>659</v>
      </c>
      <c r="B482" s="13" t="s">
        <v>21</v>
      </c>
      <c r="C482" s="5" t="s">
        <v>34</v>
      </c>
      <c r="D482" s="5" t="s">
        <v>52</v>
      </c>
      <c r="E482" s="5" t="s">
        <v>60</v>
      </c>
      <c r="F482" s="5" t="s">
        <v>64</v>
      </c>
      <c r="G482" s="5" t="s">
        <v>76</v>
      </c>
      <c r="H482" s="38">
        <v>2890.18</v>
      </c>
      <c r="I482" s="14">
        <v>0.2</v>
      </c>
      <c r="J482" s="38">
        <v>2312.1439999999998</v>
      </c>
      <c r="K482" s="5">
        <v>3</v>
      </c>
      <c r="L482" s="62">
        <f>Table1[[#This Row],[Final_Unit_Price]]*Table1[[#This Row],[Quantity]]</f>
        <v>6936.4319999999989</v>
      </c>
      <c r="M482" s="60">
        <v>1040.46</v>
      </c>
      <c r="N482" s="43">
        <v>45485</v>
      </c>
      <c r="O482" s="18" t="str">
        <f>TEXT(Table1[[#This Row],[Order_Date]],"mmm")</f>
        <v>Jul</v>
      </c>
      <c r="P482" s="18">
        <f t="shared" si="14"/>
        <v>2024</v>
      </c>
      <c r="Q482" s="45">
        <v>45487</v>
      </c>
      <c r="R482" s="19">
        <f>'Cleaned Data'!$Q482-'Cleaned Data'!$N482</f>
        <v>2</v>
      </c>
      <c r="S482" s="19" t="str">
        <f t="shared" si="15"/>
        <v>Monsoon</v>
      </c>
    </row>
    <row r="483" spans="1:19" x14ac:dyDescent="0.3">
      <c r="A483" s="11" t="s">
        <v>660</v>
      </c>
      <c r="B483" s="11" t="s">
        <v>26</v>
      </c>
      <c r="C483" s="3" t="s">
        <v>32</v>
      </c>
      <c r="D483" s="3" t="s">
        <v>43</v>
      </c>
      <c r="E483" s="3" t="s">
        <v>58</v>
      </c>
      <c r="F483" s="3" t="s">
        <v>62</v>
      </c>
      <c r="G483" s="3" t="s">
        <v>69</v>
      </c>
      <c r="H483" s="37">
        <v>34620.81</v>
      </c>
      <c r="I483" s="12">
        <v>0.3</v>
      </c>
      <c r="J483" s="37">
        <v>24234.566999999999</v>
      </c>
      <c r="K483" s="3">
        <v>5</v>
      </c>
      <c r="L483" s="61">
        <f>Table1[[#This Row],[Final_Unit_Price]]*Table1[[#This Row],[Quantity]]</f>
        <v>121172.83499999999</v>
      </c>
      <c r="M483" s="59">
        <v>30293.21</v>
      </c>
      <c r="N483" s="42">
        <v>45508</v>
      </c>
      <c r="O483" s="20" t="str">
        <f>TEXT(Table1[[#This Row],[Order_Date]],"mmm")</f>
        <v>Aug</v>
      </c>
      <c r="P483" s="20">
        <f t="shared" si="14"/>
        <v>2024</v>
      </c>
      <c r="Q483" s="46">
        <v>45513</v>
      </c>
      <c r="R483" s="20">
        <f>'Cleaned Data'!$Q483-'Cleaned Data'!$N483</f>
        <v>5</v>
      </c>
      <c r="S483" s="19" t="str">
        <f t="shared" si="15"/>
        <v>Monsoon</v>
      </c>
    </row>
    <row r="484" spans="1:19" x14ac:dyDescent="0.3">
      <c r="A484" s="13" t="s">
        <v>661</v>
      </c>
      <c r="B484" s="13" t="s">
        <v>24</v>
      </c>
      <c r="C484" s="5" t="s">
        <v>32</v>
      </c>
      <c r="D484" s="5" t="s">
        <v>40</v>
      </c>
      <c r="E484" s="5" t="s">
        <v>59</v>
      </c>
      <c r="F484" s="5" t="s">
        <v>61</v>
      </c>
      <c r="G484" s="5" t="s">
        <v>65</v>
      </c>
      <c r="H484" s="38">
        <v>29888.59</v>
      </c>
      <c r="I484" s="14">
        <v>0.25</v>
      </c>
      <c r="J484" s="38">
        <v>22416.442500000001</v>
      </c>
      <c r="K484" s="5">
        <v>1</v>
      </c>
      <c r="L484" s="62">
        <f>Table1[[#This Row],[Final_Unit_Price]]*Table1[[#This Row],[Quantity]]</f>
        <v>22416.442500000001</v>
      </c>
      <c r="M484" s="60">
        <v>7845.75</v>
      </c>
      <c r="N484" s="43">
        <v>45639</v>
      </c>
      <c r="O484" s="18" t="str">
        <f>TEXT(Table1[[#This Row],[Order_Date]],"mmm")</f>
        <v>Dec</v>
      </c>
      <c r="P484" s="18">
        <f t="shared" si="14"/>
        <v>2024</v>
      </c>
      <c r="Q484" s="45">
        <v>45641</v>
      </c>
      <c r="R484" s="19">
        <f>'Cleaned Data'!$Q484-'Cleaned Data'!$N484</f>
        <v>2</v>
      </c>
      <c r="S484" s="19" t="str">
        <f t="shared" si="15"/>
        <v>Winter</v>
      </c>
    </row>
    <row r="485" spans="1:19" x14ac:dyDescent="0.3">
      <c r="A485" s="11" t="s">
        <v>662</v>
      </c>
      <c r="B485" s="11" t="s">
        <v>22</v>
      </c>
      <c r="C485" s="3" t="s">
        <v>31</v>
      </c>
      <c r="D485" s="3" t="s">
        <v>42</v>
      </c>
      <c r="E485" s="3" t="s">
        <v>60</v>
      </c>
      <c r="F485" s="3" t="s">
        <v>64</v>
      </c>
      <c r="G485" s="3" t="s">
        <v>76</v>
      </c>
      <c r="H485" s="37">
        <v>3102.1</v>
      </c>
      <c r="I485" s="12">
        <v>0.05</v>
      </c>
      <c r="J485" s="37">
        <v>2946.9949999999999</v>
      </c>
      <c r="K485" s="3">
        <v>2</v>
      </c>
      <c r="L485" s="61">
        <f>Table1[[#This Row],[Final_Unit_Price]]*Table1[[#This Row],[Quantity]]</f>
        <v>5893.99</v>
      </c>
      <c r="M485" s="59">
        <v>884.1</v>
      </c>
      <c r="N485" s="42">
        <v>45596</v>
      </c>
      <c r="O485" s="20" t="str">
        <f>TEXT(Table1[[#This Row],[Order_Date]],"mmm")</f>
        <v>Oct</v>
      </c>
      <c r="P485" s="20">
        <f t="shared" si="14"/>
        <v>2024</v>
      </c>
      <c r="Q485" s="46">
        <v>45606</v>
      </c>
      <c r="R485" s="20">
        <f>'Cleaned Data'!$Q485-'Cleaned Data'!$N485</f>
        <v>10</v>
      </c>
      <c r="S485" s="19" t="str">
        <f t="shared" si="15"/>
        <v>Winter</v>
      </c>
    </row>
    <row r="486" spans="1:19" x14ac:dyDescent="0.3">
      <c r="A486" s="13" t="s">
        <v>663</v>
      </c>
      <c r="B486" s="13" t="s">
        <v>30</v>
      </c>
      <c r="C486" s="5" t="s">
        <v>33</v>
      </c>
      <c r="D486" s="5" t="s">
        <v>50</v>
      </c>
      <c r="E486" s="5" t="s">
        <v>59</v>
      </c>
      <c r="F486" s="5" t="s">
        <v>63</v>
      </c>
      <c r="G486" s="5" t="s">
        <v>75</v>
      </c>
      <c r="H486" s="38">
        <v>17791.61</v>
      </c>
      <c r="I486" s="14">
        <v>0.1</v>
      </c>
      <c r="J486" s="38">
        <v>16012.449000000001</v>
      </c>
      <c r="K486" s="5">
        <v>2</v>
      </c>
      <c r="L486" s="62">
        <f>Table1[[#This Row],[Final_Unit_Price]]*Table1[[#This Row],[Quantity]]</f>
        <v>32024.898000000001</v>
      </c>
      <c r="M486" s="60">
        <v>11208.72</v>
      </c>
      <c r="N486" s="43">
        <v>45518</v>
      </c>
      <c r="O486" s="18" t="str">
        <f>TEXT(Table1[[#This Row],[Order_Date]],"mmm")</f>
        <v>Aug</v>
      </c>
      <c r="P486" s="18">
        <f t="shared" si="14"/>
        <v>2024</v>
      </c>
      <c r="Q486" s="45">
        <v>45526</v>
      </c>
      <c r="R486" s="19">
        <f>'Cleaned Data'!$Q486-'Cleaned Data'!$N486</f>
        <v>8</v>
      </c>
      <c r="S486" s="19" t="str">
        <f t="shared" si="15"/>
        <v>Monsoon</v>
      </c>
    </row>
    <row r="487" spans="1:19" x14ac:dyDescent="0.3">
      <c r="A487" s="11" t="s">
        <v>664</v>
      </c>
      <c r="B487" s="11" t="s">
        <v>26</v>
      </c>
      <c r="C487" s="3" t="s">
        <v>32</v>
      </c>
      <c r="D487" s="3" t="s">
        <v>43</v>
      </c>
      <c r="E487" s="3" t="s">
        <v>58</v>
      </c>
      <c r="F487" s="3" t="s">
        <v>61</v>
      </c>
      <c r="G487" s="3" t="s">
        <v>70</v>
      </c>
      <c r="H487" s="37">
        <v>32785.53</v>
      </c>
      <c r="I487" s="12">
        <v>0.15</v>
      </c>
      <c r="J487" s="37">
        <v>27867.700499999999</v>
      </c>
      <c r="K487" s="3">
        <v>5</v>
      </c>
      <c r="L487" s="61">
        <f>Table1[[#This Row],[Final_Unit_Price]]*Table1[[#This Row],[Quantity]]</f>
        <v>139338.5025</v>
      </c>
      <c r="M487" s="59">
        <v>34834.620000000003</v>
      </c>
      <c r="N487" s="42">
        <v>45861</v>
      </c>
      <c r="O487" s="20" t="str">
        <f>TEXT(Table1[[#This Row],[Order_Date]],"mmm")</f>
        <v>Jul</v>
      </c>
      <c r="P487" s="20">
        <f t="shared" si="14"/>
        <v>2025</v>
      </c>
      <c r="Q487" s="46">
        <v>45864</v>
      </c>
      <c r="R487" s="20">
        <f>'Cleaned Data'!$Q487-'Cleaned Data'!$N487</f>
        <v>3</v>
      </c>
      <c r="S487" s="19" t="str">
        <f t="shared" si="15"/>
        <v>Monsoon</v>
      </c>
    </row>
    <row r="488" spans="1:19" x14ac:dyDescent="0.3">
      <c r="A488" s="13" t="s">
        <v>665</v>
      </c>
      <c r="B488" s="13" t="s">
        <v>21</v>
      </c>
      <c r="C488" s="5" t="s">
        <v>34</v>
      </c>
      <c r="D488" s="5" t="s">
        <v>49</v>
      </c>
      <c r="E488" s="5" t="s">
        <v>59</v>
      </c>
      <c r="F488" s="5" t="s">
        <v>61</v>
      </c>
      <c r="G488" s="5" t="s">
        <v>65</v>
      </c>
      <c r="H488" s="38">
        <v>3502.93</v>
      </c>
      <c r="I488" s="14">
        <v>0.15</v>
      </c>
      <c r="J488" s="38">
        <v>2977.4904999999999</v>
      </c>
      <c r="K488" s="5">
        <v>1</v>
      </c>
      <c r="L488" s="62">
        <f>Table1[[#This Row],[Final_Unit_Price]]*Table1[[#This Row],[Quantity]]</f>
        <v>2977.4904999999999</v>
      </c>
      <c r="M488" s="60">
        <v>1042.1199999999999</v>
      </c>
      <c r="N488" s="43">
        <v>45391</v>
      </c>
      <c r="O488" s="18" t="str">
        <f>TEXT(Table1[[#This Row],[Order_Date]],"mmm")</f>
        <v>Apr</v>
      </c>
      <c r="P488" s="18">
        <f t="shared" si="14"/>
        <v>2024</v>
      </c>
      <c r="Q488" s="45">
        <v>45396</v>
      </c>
      <c r="R488" s="19">
        <f>'Cleaned Data'!$Q488-'Cleaned Data'!$N488</f>
        <v>5</v>
      </c>
      <c r="S488" s="19" t="str">
        <f t="shared" si="15"/>
        <v>Summer</v>
      </c>
    </row>
    <row r="489" spans="1:19" x14ac:dyDescent="0.3">
      <c r="A489" s="11" t="s">
        <v>666</v>
      </c>
      <c r="B489" s="11" t="s">
        <v>16</v>
      </c>
      <c r="C489" s="3" t="s">
        <v>31</v>
      </c>
      <c r="D489" s="3" t="s">
        <v>36</v>
      </c>
      <c r="E489" s="3" t="s">
        <v>58</v>
      </c>
      <c r="F489" s="3" t="s">
        <v>64</v>
      </c>
      <c r="G489" s="3" t="s">
        <v>74</v>
      </c>
      <c r="H489" s="37">
        <v>2767.53</v>
      </c>
      <c r="I489" s="12">
        <v>0</v>
      </c>
      <c r="J489" s="37">
        <v>2767.53</v>
      </c>
      <c r="K489" s="3">
        <v>3</v>
      </c>
      <c r="L489" s="61">
        <f>Table1[[#This Row],[Final_Unit_Price]]*Table1[[#This Row],[Quantity]]</f>
        <v>8302.59</v>
      </c>
      <c r="M489" s="59">
        <v>2075.65</v>
      </c>
      <c r="N489" s="42">
        <v>45336</v>
      </c>
      <c r="O489" s="20" t="str">
        <f>TEXT(Table1[[#This Row],[Order_Date]],"mmm")</f>
        <v>Feb</v>
      </c>
      <c r="P489" s="20">
        <f t="shared" si="14"/>
        <v>2024</v>
      </c>
      <c r="Q489" s="46">
        <v>45339</v>
      </c>
      <c r="R489" s="20">
        <f>'Cleaned Data'!$Q489-'Cleaned Data'!$N489</f>
        <v>3</v>
      </c>
      <c r="S489" s="19" t="str">
        <f t="shared" si="15"/>
        <v>Summer</v>
      </c>
    </row>
    <row r="490" spans="1:19" x14ac:dyDescent="0.3">
      <c r="A490" s="13" t="s">
        <v>667</v>
      </c>
      <c r="B490" s="13" t="s">
        <v>29</v>
      </c>
      <c r="C490" s="5" t="s">
        <v>35</v>
      </c>
      <c r="D490" s="5" t="s">
        <v>48</v>
      </c>
      <c r="E490" s="5" t="s">
        <v>58</v>
      </c>
      <c r="F490" s="5" t="s">
        <v>64</v>
      </c>
      <c r="G490" s="5" t="s">
        <v>72</v>
      </c>
      <c r="H490" s="38">
        <v>18771.8</v>
      </c>
      <c r="I490" s="14">
        <v>0.3</v>
      </c>
      <c r="J490" s="38">
        <v>13140.26</v>
      </c>
      <c r="K490" s="5">
        <v>1</v>
      </c>
      <c r="L490" s="62">
        <f>Table1[[#This Row],[Final_Unit_Price]]*Table1[[#This Row],[Quantity]]</f>
        <v>13140.26</v>
      </c>
      <c r="M490" s="60">
        <v>3285.07</v>
      </c>
      <c r="N490" s="43">
        <v>45317</v>
      </c>
      <c r="O490" s="18" t="str">
        <f>TEXT(Table1[[#This Row],[Order_Date]],"mmm")</f>
        <v>Jan</v>
      </c>
      <c r="P490" s="18">
        <f t="shared" si="14"/>
        <v>2024</v>
      </c>
      <c r="Q490" s="45">
        <v>45319</v>
      </c>
      <c r="R490" s="19">
        <f>'Cleaned Data'!$Q490-'Cleaned Data'!$N490</f>
        <v>2</v>
      </c>
      <c r="S490" s="19" t="str">
        <f t="shared" si="15"/>
        <v>Winter</v>
      </c>
    </row>
    <row r="491" spans="1:19" x14ac:dyDescent="0.3">
      <c r="A491" s="11" t="s">
        <v>668</v>
      </c>
      <c r="B491" s="11" t="s">
        <v>30</v>
      </c>
      <c r="C491" s="3" t="s">
        <v>33</v>
      </c>
      <c r="D491" s="3" t="s">
        <v>38</v>
      </c>
      <c r="E491" s="3" t="s">
        <v>59</v>
      </c>
      <c r="F491" s="3" t="s">
        <v>62</v>
      </c>
      <c r="G491" s="3" t="s">
        <v>66</v>
      </c>
      <c r="H491" s="37">
        <v>19434.48</v>
      </c>
      <c r="I491" s="12">
        <v>0.15</v>
      </c>
      <c r="J491" s="37">
        <v>16519.308000000001</v>
      </c>
      <c r="K491" s="3">
        <v>1</v>
      </c>
      <c r="L491" s="61">
        <f>Table1[[#This Row],[Final_Unit_Price]]*Table1[[#This Row],[Quantity]]</f>
        <v>16519.308000000001</v>
      </c>
      <c r="M491" s="59">
        <v>5781.76</v>
      </c>
      <c r="N491" s="42">
        <v>45576</v>
      </c>
      <c r="O491" s="20" t="str">
        <f>TEXT(Table1[[#This Row],[Order_Date]],"mmm")</f>
        <v>Oct</v>
      </c>
      <c r="P491" s="20">
        <f t="shared" si="14"/>
        <v>2024</v>
      </c>
      <c r="Q491" s="46">
        <v>45583</v>
      </c>
      <c r="R491" s="20">
        <f>'Cleaned Data'!$Q491-'Cleaned Data'!$N491</f>
        <v>7</v>
      </c>
      <c r="S491" s="19" t="str">
        <f t="shared" si="15"/>
        <v>Winter</v>
      </c>
    </row>
    <row r="492" spans="1:19" x14ac:dyDescent="0.3">
      <c r="A492" s="13" t="s">
        <v>669</v>
      </c>
      <c r="B492" s="13" t="s">
        <v>30</v>
      </c>
      <c r="C492" s="5" t="s">
        <v>33</v>
      </c>
      <c r="D492" s="5" t="s">
        <v>39</v>
      </c>
      <c r="E492" s="5" t="s">
        <v>58</v>
      </c>
      <c r="F492" s="5" t="s">
        <v>61</v>
      </c>
      <c r="G492" s="5" t="s">
        <v>70</v>
      </c>
      <c r="H492" s="38">
        <v>14252.97</v>
      </c>
      <c r="I492" s="14">
        <v>0.3</v>
      </c>
      <c r="J492" s="38">
        <v>9977.0789999999997</v>
      </c>
      <c r="K492" s="5">
        <v>4</v>
      </c>
      <c r="L492" s="62">
        <f>Table1[[#This Row],[Final_Unit_Price]]*Table1[[#This Row],[Quantity]]</f>
        <v>39908.315999999999</v>
      </c>
      <c r="M492" s="60">
        <v>9977.08</v>
      </c>
      <c r="N492" s="43">
        <v>45356</v>
      </c>
      <c r="O492" s="18" t="str">
        <f>TEXT(Table1[[#This Row],[Order_Date]],"mmm")</f>
        <v>Mar</v>
      </c>
      <c r="P492" s="18">
        <f t="shared" si="14"/>
        <v>2024</v>
      </c>
      <c r="Q492" s="45">
        <v>45366</v>
      </c>
      <c r="R492" s="19">
        <f>'Cleaned Data'!$Q492-'Cleaned Data'!$N492</f>
        <v>10</v>
      </c>
      <c r="S492" s="19" t="str">
        <f t="shared" si="15"/>
        <v>Summer</v>
      </c>
    </row>
    <row r="493" spans="1:19" x14ac:dyDescent="0.3">
      <c r="A493" s="11" t="s">
        <v>670</v>
      </c>
      <c r="B493" s="11" t="s">
        <v>26</v>
      </c>
      <c r="C493" s="3" t="s">
        <v>32</v>
      </c>
      <c r="D493" s="3" t="s">
        <v>54</v>
      </c>
      <c r="E493" s="3" t="s">
        <v>60</v>
      </c>
      <c r="F493" s="3" t="s">
        <v>61</v>
      </c>
      <c r="G493" s="3" t="s">
        <v>70</v>
      </c>
      <c r="H493" s="37">
        <v>27697.87</v>
      </c>
      <c r="I493" s="12">
        <v>0.2</v>
      </c>
      <c r="J493" s="37">
        <v>22158.295999999998</v>
      </c>
      <c r="K493" s="3">
        <v>5</v>
      </c>
      <c r="L493" s="61">
        <f>Table1[[#This Row],[Final_Unit_Price]]*Table1[[#This Row],[Quantity]]</f>
        <v>110791.48</v>
      </c>
      <c r="M493" s="59">
        <v>16618.72</v>
      </c>
      <c r="N493" s="42">
        <v>45458</v>
      </c>
      <c r="O493" s="20" t="str">
        <f>TEXT(Table1[[#This Row],[Order_Date]],"mmm")</f>
        <v>Jun</v>
      </c>
      <c r="P493" s="20">
        <f t="shared" si="14"/>
        <v>2024</v>
      </c>
      <c r="Q493" s="46">
        <v>45465</v>
      </c>
      <c r="R493" s="20">
        <f>'Cleaned Data'!$Q493-'Cleaned Data'!$N493</f>
        <v>7</v>
      </c>
      <c r="S493" s="19" t="str">
        <f t="shared" si="15"/>
        <v>Monsoon</v>
      </c>
    </row>
    <row r="494" spans="1:19" x14ac:dyDescent="0.3">
      <c r="A494" s="13" t="s">
        <v>671</v>
      </c>
      <c r="B494" s="13" t="s">
        <v>28</v>
      </c>
      <c r="C494" s="5" t="s">
        <v>34</v>
      </c>
      <c r="D494" s="5" t="s">
        <v>51</v>
      </c>
      <c r="E494" s="5" t="s">
        <v>59</v>
      </c>
      <c r="F494" s="5" t="s">
        <v>64</v>
      </c>
      <c r="G494" s="5" t="s">
        <v>72</v>
      </c>
      <c r="H494" s="38">
        <v>1869.54</v>
      </c>
      <c r="I494" s="14">
        <v>0</v>
      </c>
      <c r="J494" s="38">
        <v>1869.54</v>
      </c>
      <c r="K494" s="5">
        <v>2</v>
      </c>
      <c r="L494" s="62">
        <f>Table1[[#This Row],[Final_Unit_Price]]*Table1[[#This Row],[Quantity]]</f>
        <v>3739.08</v>
      </c>
      <c r="M494" s="60">
        <v>1308.68</v>
      </c>
      <c r="N494" s="43">
        <v>45705</v>
      </c>
      <c r="O494" s="18" t="str">
        <f>TEXT(Table1[[#This Row],[Order_Date]],"mmm")</f>
        <v>Feb</v>
      </c>
      <c r="P494" s="18">
        <f t="shared" si="14"/>
        <v>2025</v>
      </c>
      <c r="Q494" s="45">
        <v>45710</v>
      </c>
      <c r="R494" s="19">
        <f>'Cleaned Data'!$Q494-'Cleaned Data'!$N494</f>
        <v>5</v>
      </c>
      <c r="S494" s="19" t="str">
        <f t="shared" si="15"/>
        <v>Summer</v>
      </c>
    </row>
    <row r="495" spans="1:19" x14ac:dyDescent="0.3">
      <c r="A495" s="11" t="s">
        <v>672</v>
      </c>
      <c r="B495" s="11" t="s">
        <v>18</v>
      </c>
      <c r="C495" s="3" t="s">
        <v>33</v>
      </c>
      <c r="D495" s="3" t="s">
        <v>57</v>
      </c>
      <c r="E495" s="3" t="s">
        <v>60</v>
      </c>
      <c r="F495" s="3" t="s">
        <v>61</v>
      </c>
      <c r="G495" s="3" t="s">
        <v>70</v>
      </c>
      <c r="H495" s="37">
        <v>41982.99</v>
      </c>
      <c r="I495" s="12">
        <v>0.1</v>
      </c>
      <c r="J495" s="37">
        <v>37784.690999999999</v>
      </c>
      <c r="K495" s="3">
        <v>1</v>
      </c>
      <c r="L495" s="61">
        <f>Table1[[#This Row],[Final_Unit_Price]]*Table1[[#This Row],[Quantity]]</f>
        <v>37784.690999999999</v>
      </c>
      <c r="M495" s="59">
        <v>5667.7</v>
      </c>
      <c r="N495" s="42">
        <v>45458</v>
      </c>
      <c r="O495" s="20" t="str">
        <f>TEXT(Table1[[#This Row],[Order_Date]],"mmm")</f>
        <v>Jun</v>
      </c>
      <c r="P495" s="20">
        <f t="shared" si="14"/>
        <v>2024</v>
      </c>
      <c r="Q495" s="46">
        <v>45465</v>
      </c>
      <c r="R495" s="20">
        <f>'Cleaned Data'!$Q495-'Cleaned Data'!$N495</f>
        <v>7</v>
      </c>
      <c r="S495" s="19" t="str">
        <f t="shared" si="15"/>
        <v>Monsoon</v>
      </c>
    </row>
    <row r="496" spans="1:19" x14ac:dyDescent="0.3">
      <c r="A496" s="13" t="s">
        <v>673</v>
      </c>
      <c r="B496" s="13" t="s">
        <v>29</v>
      </c>
      <c r="C496" s="5" t="s">
        <v>35</v>
      </c>
      <c r="D496" s="5" t="s">
        <v>44</v>
      </c>
      <c r="E496" s="5" t="s">
        <v>60</v>
      </c>
      <c r="F496" s="5" t="s">
        <v>61</v>
      </c>
      <c r="G496" s="5" t="s">
        <v>71</v>
      </c>
      <c r="H496" s="38">
        <v>14798.41</v>
      </c>
      <c r="I496" s="14">
        <v>0.3</v>
      </c>
      <c r="J496" s="38">
        <v>10358.887000000001</v>
      </c>
      <c r="K496" s="5">
        <v>5</v>
      </c>
      <c r="L496" s="62">
        <f>Table1[[#This Row],[Final_Unit_Price]]*Table1[[#This Row],[Quantity]]</f>
        <v>51794.435000000005</v>
      </c>
      <c r="M496" s="60">
        <v>7769.16</v>
      </c>
      <c r="N496" s="43">
        <v>45419</v>
      </c>
      <c r="O496" s="18" t="str">
        <f>TEXT(Table1[[#This Row],[Order_Date]],"mmm")</f>
        <v>May</v>
      </c>
      <c r="P496" s="18">
        <f t="shared" si="14"/>
        <v>2024</v>
      </c>
      <c r="Q496" s="45">
        <v>45425</v>
      </c>
      <c r="R496" s="19">
        <f>'Cleaned Data'!$Q496-'Cleaned Data'!$N496</f>
        <v>6</v>
      </c>
      <c r="S496" s="19" t="str">
        <f t="shared" si="15"/>
        <v>Summer</v>
      </c>
    </row>
    <row r="497" spans="1:19" x14ac:dyDescent="0.3">
      <c r="A497" s="11" t="s">
        <v>674</v>
      </c>
      <c r="B497" s="11" t="s">
        <v>29</v>
      </c>
      <c r="C497" s="3" t="s">
        <v>35</v>
      </c>
      <c r="D497" s="3" t="s">
        <v>46</v>
      </c>
      <c r="E497" s="3" t="s">
        <v>59</v>
      </c>
      <c r="F497" s="3" t="s">
        <v>64</v>
      </c>
      <c r="G497" s="3" t="s">
        <v>72</v>
      </c>
      <c r="H497" s="37">
        <v>23491.83</v>
      </c>
      <c r="I497" s="12">
        <v>0</v>
      </c>
      <c r="J497" s="37">
        <v>23491.83</v>
      </c>
      <c r="K497" s="3">
        <v>5</v>
      </c>
      <c r="L497" s="61">
        <f>Table1[[#This Row],[Final_Unit_Price]]*Table1[[#This Row],[Quantity]]</f>
        <v>117459.15000000001</v>
      </c>
      <c r="M497" s="59">
        <v>41110.699999999997</v>
      </c>
      <c r="N497" s="42">
        <v>45822</v>
      </c>
      <c r="O497" s="20" t="str">
        <f>TEXT(Table1[[#This Row],[Order_Date]],"mmm")</f>
        <v>Jun</v>
      </c>
      <c r="P497" s="20">
        <f t="shared" si="14"/>
        <v>2025</v>
      </c>
      <c r="Q497" s="46">
        <v>45825</v>
      </c>
      <c r="R497" s="20">
        <f>'Cleaned Data'!$Q497-'Cleaned Data'!$N497</f>
        <v>3</v>
      </c>
      <c r="S497" s="19" t="str">
        <f t="shared" si="15"/>
        <v>Monsoon</v>
      </c>
    </row>
    <row r="498" spans="1:19" x14ac:dyDescent="0.3">
      <c r="A498" s="13" t="s">
        <v>675</v>
      </c>
      <c r="B498" s="13" t="s">
        <v>17</v>
      </c>
      <c r="C498" s="5" t="s">
        <v>32</v>
      </c>
      <c r="D498" s="5" t="s">
        <v>37</v>
      </c>
      <c r="E498" s="5" t="s">
        <v>59</v>
      </c>
      <c r="F498" s="5" t="s">
        <v>64</v>
      </c>
      <c r="G498" s="5" t="s">
        <v>76</v>
      </c>
      <c r="H498" s="38">
        <v>10861.16</v>
      </c>
      <c r="I498" s="14">
        <v>0.25</v>
      </c>
      <c r="J498" s="38">
        <v>8145.87</v>
      </c>
      <c r="K498" s="5">
        <v>3</v>
      </c>
      <c r="L498" s="62">
        <f>Table1[[#This Row],[Final_Unit_Price]]*Table1[[#This Row],[Quantity]]</f>
        <v>24437.61</v>
      </c>
      <c r="M498" s="60">
        <v>8553.16</v>
      </c>
      <c r="N498" s="43">
        <v>45559</v>
      </c>
      <c r="O498" s="18" t="str">
        <f>TEXT(Table1[[#This Row],[Order_Date]],"mmm")</f>
        <v>Sep</v>
      </c>
      <c r="P498" s="18">
        <f t="shared" si="14"/>
        <v>2024</v>
      </c>
      <c r="Q498" s="45">
        <v>45567</v>
      </c>
      <c r="R498" s="19">
        <f>'Cleaned Data'!$Q498-'Cleaned Data'!$N498</f>
        <v>8</v>
      </c>
      <c r="S498" s="19" t="str">
        <f t="shared" si="15"/>
        <v>Monsoon</v>
      </c>
    </row>
    <row r="499" spans="1:19" x14ac:dyDescent="0.3">
      <c r="A499" s="11" t="s">
        <v>676</v>
      </c>
      <c r="B499" s="11" t="s">
        <v>28</v>
      </c>
      <c r="C499" s="3" t="s">
        <v>34</v>
      </c>
      <c r="D499" s="3" t="s">
        <v>51</v>
      </c>
      <c r="E499" s="3" t="s">
        <v>59</v>
      </c>
      <c r="F499" s="3" t="s">
        <v>64</v>
      </c>
      <c r="G499" s="3" t="s">
        <v>72</v>
      </c>
      <c r="H499" s="37">
        <v>1929.87</v>
      </c>
      <c r="I499" s="12">
        <v>0.15</v>
      </c>
      <c r="J499" s="37">
        <v>1640.3895</v>
      </c>
      <c r="K499" s="3">
        <v>2</v>
      </c>
      <c r="L499" s="61">
        <f>Table1[[#This Row],[Final_Unit_Price]]*Table1[[#This Row],[Quantity]]</f>
        <v>3280.779</v>
      </c>
      <c r="M499" s="59">
        <v>1148.27</v>
      </c>
      <c r="N499" s="42">
        <v>45483</v>
      </c>
      <c r="O499" s="20" t="str">
        <f>TEXT(Table1[[#This Row],[Order_Date]],"mmm")</f>
        <v>Jul</v>
      </c>
      <c r="P499" s="20">
        <f t="shared" si="14"/>
        <v>2024</v>
      </c>
      <c r="Q499" s="46">
        <v>45489</v>
      </c>
      <c r="R499" s="20">
        <f>'Cleaned Data'!$Q499-'Cleaned Data'!$N499</f>
        <v>6</v>
      </c>
      <c r="S499" s="19" t="str">
        <f t="shared" si="15"/>
        <v>Monsoon</v>
      </c>
    </row>
    <row r="500" spans="1:19" x14ac:dyDescent="0.3">
      <c r="A500" s="13" t="s">
        <v>677</v>
      </c>
      <c r="B500" s="13" t="s">
        <v>17</v>
      </c>
      <c r="C500" s="5" t="s">
        <v>32</v>
      </c>
      <c r="D500" s="5" t="s">
        <v>37</v>
      </c>
      <c r="E500" s="5" t="s">
        <v>59</v>
      </c>
      <c r="F500" s="5" t="s">
        <v>64</v>
      </c>
      <c r="G500" s="5" t="s">
        <v>74</v>
      </c>
      <c r="H500" s="38">
        <v>10682.09</v>
      </c>
      <c r="I500" s="14">
        <v>0.3</v>
      </c>
      <c r="J500" s="38">
        <v>7477.4629999999997</v>
      </c>
      <c r="K500" s="5">
        <v>4</v>
      </c>
      <c r="L500" s="62">
        <f>Table1[[#This Row],[Final_Unit_Price]]*Table1[[#This Row],[Quantity]]</f>
        <v>29909.851999999999</v>
      </c>
      <c r="M500" s="60">
        <v>10468.450000000001</v>
      </c>
      <c r="N500" s="43">
        <v>45440</v>
      </c>
      <c r="O500" s="18" t="str">
        <f>TEXT(Table1[[#This Row],[Order_Date]],"mmm")</f>
        <v>May</v>
      </c>
      <c r="P500" s="18">
        <f t="shared" si="14"/>
        <v>2024</v>
      </c>
      <c r="Q500" s="45">
        <v>45445</v>
      </c>
      <c r="R500" s="19">
        <f>'Cleaned Data'!$Q500-'Cleaned Data'!$N500</f>
        <v>5</v>
      </c>
      <c r="S500" s="19" t="str">
        <f t="shared" si="15"/>
        <v>Summer</v>
      </c>
    </row>
    <row r="501" spans="1:19" x14ac:dyDescent="0.3">
      <c r="A501" s="11" t="s">
        <v>678</v>
      </c>
      <c r="B501" s="11" t="s">
        <v>20</v>
      </c>
      <c r="C501" s="3" t="s">
        <v>32</v>
      </c>
      <c r="D501" s="3" t="s">
        <v>37</v>
      </c>
      <c r="E501" s="3" t="s">
        <v>59</v>
      </c>
      <c r="F501" s="3" t="s">
        <v>61</v>
      </c>
      <c r="G501" s="3" t="s">
        <v>65</v>
      </c>
      <c r="H501" s="37">
        <v>36816.54</v>
      </c>
      <c r="I501" s="12">
        <v>0.05</v>
      </c>
      <c r="J501" s="37">
        <v>34975.713000000003</v>
      </c>
      <c r="K501" s="3">
        <v>4</v>
      </c>
      <c r="L501" s="61">
        <f>Table1[[#This Row],[Final_Unit_Price]]*Table1[[#This Row],[Quantity]]</f>
        <v>139902.85200000001</v>
      </c>
      <c r="M501" s="59">
        <v>48966</v>
      </c>
      <c r="N501" s="42">
        <v>45379</v>
      </c>
      <c r="O501" s="20" t="str">
        <f>TEXT(Table1[[#This Row],[Order_Date]],"mmm")</f>
        <v>Mar</v>
      </c>
      <c r="P501" s="20">
        <f t="shared" si="14"/>
        <v>2024</v>
      </c>
      <c r="Q501" s="46">
        <v>45384</v>
      </c>
      <c r="R501" s="20">
        <f>'Cleaned Data'!$Q501-'Cleaned Data'!$N501</f>
        <v>5</v>
      </c>
      <c r="S501" s="19" t="str">
        <f t="shared" si="15"/>
        <v>Summer</v>
      </c>
    </row>
    <row r="502" spans="1:19" x14ac:dyDescent="0.3">
      <c r="A502" s="13" t="s">
        <v>679</v>
      </c>
      <c r="B502" s="13" t="s">
        <v>16</v>
      </c>
      <c r="C502" s="5" t="s">
        <v>31</v>
      </c>
      <c r="D502" s="5" t="s">
        <v>36</v>
      </c>
      <c r="E502" s="5" t="s">
        <v>58</v>
      </c>
      <c r="F502" s="5" t="s">
        <v>61</v>
      </c>
      <c r="G502" s="5" t="s">
        <v>70</v>
      </c>
      <c r="H502" s="38">
        <v>2432.85</v>
      </c>
      <c r="I502" s="14">
        <v>0.2</v>
      </c>
      <c r="J502" s="38">
        <v>1946.28</v>
      </c>
      <c r="K502" s="5">
        <v>14</v>
      </c>
      <c r="L502" s="62">
        <f>Table1[[#This Row],[Final_Unit_Price]]*Table1[[#This Row],[Quantity]]</f>
        <v>27247.919999999998</v>
      </c>
      <c r="M502" s="60">
        <v>486.57</v>
      </c>
      <c r="N502" s="43">
        <v>45513</v>
      </c>
      <c r="O502" s="18" t="str">
        <f>TEXT(Table1[[#This Row],[Order_Date]],"mmm")</f>
        <v>Aug</v>
      </c>
      <c r="P502" s="18">
        <f t="shared" si="14"/>
        <v>2024</v>
      </c>
      <c r="Q502" s="45">
        <v>45515</v>
      </c>
      <c r="R502" s="19">
        <f>'Cleaned Data'!$Q502-'Cleaned Data'!$N502</f>
        <v>2</v>
      </c>
      <c r="S502" s="19" t="str">
        <f t="shared" si="15"/>
        <v>Monsoon</v>
      </c>
    </row>
    <row r="503" spans="1:19" x14ac:dyDescent="0.3">
      <c r="A503" s="11" t="s">
        <v>680</v>
      </c>
      <c r="B503" s="11" t="s">
        <v>19</v>
      </c>
      <c r="C503" s="3" t="s">
        <v>33</v>
      </c>
      <c r="D503" s="3" t="s">
        <v>53</v>
      </c>
      <c r="E503" s="3" t="s">
        <v>58</v>
      </c>
      <c r="F503" s="3" t="s">
        <v>61</v>
      </c>
      <c r="G503" s="3" t="s">
        <v>65</v>
      </c>
      <c r="H503" s="37">
        <v>2011.43</v>
      </c>
      <c r="I503" s="12">
        <v>0.3</v>
      </c>
      <c r="J503" s="37">
        <v>1408.001</v>
      </c>
      <c r="K503" s="3">
        <v>1</v>
      </c>
      <c r="L503" s="61">
        <f>Table1[[#This Row],[Final_Unit_Price]]*Table1[[#This Row],[Quantity]]</f>
        <v>1408.001</v>
      </c>
      <c r="M503" s="59">
        <v>352</v>
      </c>
      <c r="N503" s="42">
        <v>45536</v>
      </c>
      <c r="O503" s="20" t="str">
        <f>TEXT(Table1[[#This Row],[Order_Date]],"mmm")</f>
        <v>Sep</v>
      </c>
      <c r="P503" s="20">
        <f t="shared" si="14"/>
        <v>2024</v>
      </c>
      <c r="Q503" s="46">
        <v>45543</v>
      </c>
      <c r="R503" s="20">
        <f>'Cleaned Data'!$Q503-'Cleaned Data'!$N503</f>
        <v>7</v>
      </c>
      <c r="S503" s="19" t="str">
        <f t="shared" si="15"/>
        <v>Monsoon</v>
      </c>
    </row>
    <row r="504" spans="1:19" x14ac:dyDescent="0.3">
      <c r="A504" s="13" t="s">
        <v>681</v>
      </c>
      <c r="B504" s="13" t="s">
        <v>28</v>
      </c>
      <c r="C504" s="5" t="s">
        <v>34</v>
      </c>
      <c r="D504" s="5" t="s">
        <v>41</v>
      </c>
      <c r="E504" s="5" t="s">
        <v>60</v>
      </c>
      <c r="F504" s="5" t="s">
        <v>64</v>
      </c>
      <c r="G504" s="5" t="s">
        <v>74</v>
      </c>
      <c r="H504" s="38">
        <v>1311.26</v>
      </c>
      <c r="I504" s="14">
        <v>0.3</v>
      </c>
      <c r="J504" s="38">
        <v>917.88199999999995</v>
      </c>
      <c r="K504" s="5">
        <v>4</v>
      </c>
      <c r="L504" s="62">
        <f>Table1[[#This Row],[Final_Unit_Price]]*Table1[[#This Row],[Quantity]]</f>
        <v>3671.5279999999998</v>
      </c>
      <c r="M504" s="60">
        <v>550.73</v>
      </c>
      <c r="N504" s="43">
        <v>45511</v>
      </c>
      <c r="O504" s="18" t="str">
        <f>TEXT(Table1[[#This Row],[Order_Date]],"mmm")</f>
        <v>Aug</v>
      </c>
      <c r="P504" s="18">
        <f t="shared" si="14"/>
        <v>2024</v>
      </c>
      <c r="Q504" s="45">
        <v>45517</v>
      </c>
      <c r="R504" s="19">
        <f>'Cleaned Data'!$Q504-'Cleaned Data'!$N504</f>
        <v>6</v>
      </c>
      <c r="S504" s="19" t="str">
        <f t="shared" si="15"/>
        <v>Monsoon</v>
      </c>
    </row>
    <row r="505" spans="1:19" x14ac:dyDescent="0.3">
      <c r="A505" s="11" t="s">
        <v>682</v>
      </c>
      <c r="B505" s="11" t="s">
        <v>18</v>
      </c>
      <c r="C505" s="3" t="s">
        <v>33</v>
      </c>
      <c r="D505" s="3" t="s">
        <v>38</v>
      </c>
      <c r="E505" s="3" t="s">
        <v>59</v>
      </c>
      <c r="F505" s="3" t="s">
        <v>63</v>
      </c>
      <c r="G505" s="3" t="s">
        <v>68</v>
      </c>
      <c r="H505" s="37">
        <v>55932.75</v>
      </c>
      <c r="I505" s="12">
        <v>0.3</v>
      </c>
      <c r="J505" s="37">
        <v>39152.925000000003</v>
      </c>
      <c r="K505" s="3">
        <v>3</v>
      </c>
      <c r="L505" s="61">
        <f>Table1[[#This Row],[Final_Unit_Price]]*Table1[[#This Row],[Quantity]]</f>
        <v>117458.77500000001</v>
      </c>
      <c r="M505" s="59">
        <v>41110.57</v>
      </c>
      <c r="N505" s="42">
        <v>45325</v>
      </c>
      <c r="O505" s="20" t="str">
        <f>TEXT(Table1[[#This Row],[Order_Date]],"mmm")</f>
        <v>Feb</v>
      </c>
      <c r="P505" s="20">
        <f t="shared" si="14"/>
        <v>2024</v>
      </c>
      <c r="Q505" s="46">
        <v>45332</v>
      </c>
      <c r="R505" s="20">
        <f>'Cleaned Data'!$Q505-'Cleaned Data'!$N505</f>
        <v>7</v>
      </c>
      <c r="S505" s="19" t="str">
        <f t="shared" si="15"/>
        <v>Summer</v>
      </c>
    </row>
    <row r="506" spans="1:19" x14ac:dyDescent="0.3">
      <c r="A506" s="13" t="s">
        <v>683</v>
      </c>
      <c r="B506" s="13" t="s">
        <v>24</v>
      </c>
      <c r="C506" s="5" t="s">
        <v>32</v>
      </c>
      <c r="D506" s="5" t="s">
        <v>54</v>
      </c>
      <c r="E506" s="5" t="s">
        <v>60</v>
      </c>
      <c r="F506" s="5" t="s">
        <v>64</v>
      </c>
      <c r="G506" s="5" t="s">
        <v>74</v>
      </c>
      <c r="H506" s="38">
        <v>22040.62</v>
      </c>
      <c r="I506" s="14">
        <v>0</v>
      </c>
      <c r="J506" s="38">
        <v>22040.62</v>
      </c>
      <c r="K506" s="5">
        <v>4</v>
      </c>
      <c r="L506" s="62">
        <f>Table1[[#This Row],[Final_Unit_Price]]*Table1[[#This Row],[Quantity]]</f>
        <v>88162.48</v>
      </c>
      <c r="M506" s="60">
        <v>13224.37</v>
      </c>
      <c r="N506" s="43">
        <v>45681</v>
      </c>
      <c r="O506" s="18" t="str">
        <f>TEXT(Table1[[#This Row],[Order_Date]],"mmm")</f>
        <v>Jan</v>
      </c>
      <c r="P506" s="18">
        <f t="shared" si="14"/>
        <v>2025</v>
      </c>
      <c r="Q506" s="45">
        <v>45690</v>
      </c>
      <c r="R506" s="19">
        <f>'Cleaned Data'!$Q506-'Cleaned Data'!$N506</f>
        <v>9</v>
      </c>
      <c r="S506" s="19" t="str">
        <f t="shared" si="15"/>
        <v>Winter</v>
      </c>
    </row>
    <row r="507" spans="1:19" x14ac:dyDescent="0.3">
      <c r="A507" s="11" t="s">
        <v>684</v>
      </c>
      <c r="B507" s="11" t="s">
        <v>27</v>
      </c>
      <c r="C507" s="3" t="s">
        <v>35</v>
      </c>
      <c r="D507" s="3" t="s">
        <v>48</v>
      </c>
      <c r="E507" s="3" t="s">
        <v>58</v>
      </c>
      <c r="F507" s="3" t="s">
        <v>64</v>
      </c>
      <c r="G507" s="3" t="s">
        <v>74</v>
      </c>
      <c r="H507" s="37">
        <v>8932.34</v>
      </c>
      <c r="I507" s="12">
        <v>0.1</v>
      </c>
      <c r="J507" s="37">
        <v>8039.1060000000007</v>
      </c>
      <c r="K507" s="3">
        <v>1</v>
      </c>
      <c r="L507" s="61">
        <f>Table1[[#This Row],[Final_Unit_Price]]*Table1[[#This Row],[Quantity]]</f>
        <v>8039.1060000000007</v>
      </c>
      <c r="M507" s="59">
        <v>2009.78</v>
      </c>
      <c r="N507" s="42">
        <v>45744</v>
      </c>
      <c r="O507" s="20" t="str">
        <f>TEXT(Table1[[#This Row],[Order_Date]],"mmm")</f>
        <v>Mar</v>
      </c>
      <c r="P507" s="20">
        <f t="shared" si="14"/>
        <v>2025</v>
      </c>
      <c r="Q507" s="46">
        <v>45748</v>
      </c>
      <c r="R507" s="20">
        <f>'Cleaned Data'!$Q507-'Cleaned Data'!$N507</f>
        <v>4</v>
      </c>
      <c r="S507" s="19" t="str">
        <f t="shared" si="15"/>
        <v>Summer</v>
      </c>
    </row>
    <row r="508" spans="1:19" x14ac:dyDescent="0.3">
      <c r="A508" s="13" t="s">
        <v>685</v>
      </c>
      <c r="B508" s="13" t="s">
        <v>21</v>
      </c>
      <c r="C508" s="5" t="s">
        <v>34</v>
      </c>
      <c r="D508" s="5" t="s">
        <v>55</v>
      </c>
      <c r="E508" s="5" t="s">
        <v>58</v>
      </c>
      <c r="F508" s="5" t="s">
        <v>64</v>
      </c>
      <c r="G508" s="5" t="s">
        <v>74</v>
      </c>
      <c r="H508" s="38">
        <v>3368.87</v>
      </c>
      <c r="I508" s="14">
        <v>0.25</v>
      </c>
      <c r="J508" s="38">
        <v>2526.6525000000001</v>
      </c>
      <c r="K508" s="5">
        <v>2</v>
      </c>
      <c r="L508" s="62">
        <f>Table1[[#This Row],[Final_Unit_Price]]*Table1[[#This Row],[Quantity]]</f>
        <v>5053.3050000000003</v>
      </c>
      <c r="M508" s="60">
        <v>1263.33</v>
      </c>
      <c r="N508" s="43">
        <v>45366</v>
      </c>
      <c r="O508" s="18" t="str">
        <f>TEXT(Table1[[#This Row],[Order_Date]],"mmm")</f>
        <v>Mar</v>
      </c>
      <c r="P508" s="18">
        <f t="shared" si="14"/>
        <v>2024</v>
      </c>
      <c r="Q508" s="45">
        <v>45372</v>
      </c>
      <c r="R508" s="19">
        <f>'Cleaned Data'!$Q508-'Cleaned Data'!$N508</f>
        <v>6</v>
      </c>
      <c r="S508" s="19" t="str">
        <f t="shared" si="15"/>
        <v>Summer</v>
      </c>
    </row>
    <row r="509" spans="1:19" x14ac:dyDescent="0.3">
      <c r="A509" s="11" t="s">
        <v>686</v>
      </c>
      <c r="B509" s="11" t="s">
        <v>25</v>
      </c>
      <c r="C509" s="3" t="s">
        <v>34</v>
      </c>
      <c r="D509" s="3" t="s">
        <v>52</v>
      </c>
      <c r="E509" s="3" t="s">
        <v>60</v>
      </c>
      <c r="F509" s="3" t="s">
        <v>62</v>
      </c>
      <c r="G509" s="3" t="s">
        <v>66</v>
      </c>
      <c r="H509" s="37">
        <v>689</v>
      </c>
      <c r="I509" s="12">
        <v>0.2</v>
      </c>
      <c r="J509" s="37">
        <v>551.20000000000005</v>
      </c>
      <c r="K509" s="3">
        <v>1</v>
      </c>
      <c r="L509" s="61">
        <f>Table1[[#This Row],[Final_Unit_Price]]*Table1[[#This Row],[Quantity]]</f>
        <v>551.20000000000005</v>
      </c>
      <c r="M509" s="59">
        <v>82.68</v>
      </c>
      <c r="N509" s="42">
        <v>45738</v>
      </c>
      <c r="O509" s="20" t="str">
        <f>TEXT(Table1[[#This Row],[Order_Date]],"mmm")</f>
        <v>Mar</v>
      </c>
      <c r="P509" s="20">
        <f t="shared" si="14"/>
        <v>2025</v>
      </c>
      <c r="Q509" s="46">
        <v>45744</v>
      </c>
      <c r="R509" s="20">
        <f>'Cleaned Data'!$Q509-'Cleaned Data'!$N509</f>
        <v>6</v>
      </c>
      <c r="S509" s="19" t="str">
        <f t="shared" si="15"/>
        <v>Summer</v>
      </c>
    </row>
    <row r="510" spans="1:19" x14ac:dyDescent="0.3">
      <c r="A510" s="13" t="s">
        <v>687</v>
      </c>
      <c r="B510" s="13" t="s">
        <v>20</v>
      </c>
      <c r="C510" s="5" t="s">
        <v>32</v>
      </c>
      <c r="D510" s="5" t="s">
        <v>43</v>
      </c>
      <c r="E510" s="5" t="s">
        <v>58</v>
      </c>
      <c r="F510" s="5" t="s">
        <v>64</v>
      </c>
      <c r="G510" s="5" t="s">
        <v>76</v>
      </c>
      <c r="H510" s="38">
        <v>32503.66</v>
      </c>
      <c r="I510" s="14">
        <v>0.3</v>
      </c>
      <c r="J510" s="38">
        <v>22752.562000000002</v>
      </c>
      <c r="K510" s="5">
        <v>3</v>
      </c>
      <c r="L510" s="62">
        <f>Table1[[#This Row],[Final_Unit_Price]]*Table1[[#This Row],[Quantity]]</f>
        <v>68257.686000000002</v>
      </c>
      <c r="M510" s="60">
        <v>17064.419999999998</v>
      </c>
      <c r="N510" s="43">
        <v>45701</v>
      </c>
      <c r="O510" s="18" t="str">
        <f>TEXT(Table1[[#This Row],[Order_Date]],"mmm")</f>
        <v>Feb</v>
      </c>
      <c r="P510" s="18">
        <f t="shared" si="14"/>
        <v>2025</v>
      </c>
      <c r="Q510" s="45">
        <v>45710</v>
      </c>
      <c r="R510" s="19">
        <f>'Cleaned Data'!$Q510-'Cleaned Data'!$N510</f>
        <v>9</v>
      </c>
      <c r="S510" s="19" t="str">
        <f t="shared" si="15"/>
        <v>Summer</v>
      </c>
    </row>
    <row r="511" spans="1:19" x14ac:dyDescent="0.3">
      <c r="A511" s="11" t="s">
        <v>688</v>
      </c>
      <c r="B511" s="11" t="s">
        <v>19</v>
      </c>
      <c r="C511" s="3" t="s">
        <v>33</v>
      </c>
      <c r="D511" s="3" t="s">
        <v>50</v>
      </c>
      <c r="E511" s="3" t="s">
        <v>59</v>
      </c>
      <c r="F511" s="3" t="s">
        <v>64</v>
      </c>
      <c r="G511" s="3" t="s">
        <v>76</v>
      </c>
      <c r="H511" s="37">
        <v>2623.71</v>
      </c>
      <c r="I511" s="12">
        <v>0.15</v>
      </c>
      <c r="J511" s="37">
        <v>2230.1534999999999</v>
      </c>
      <c r="K511" s="3">
        <v>1</v>
      </c>
      <c r="L511" s="61">
        <f>Table1[[#This Row],[Final_Unit_Price]]*Table1[[#This Row],[Quantity]]</f>
        <v>2230.1534999999999</v>
      </c>
      <c r="M511" s="59">
        <v>780.55</v>
      </c>
      <c r="N511" s="42">
        <v>45831</v>
      </c>
      <c r="O511" s="20" t="str">
        <f>TEXT(Table1[[#This Row],[Order_Date]],"mmm")</f>
        <v>Jun</v>
      </c>
      <c r="P511" s="20">
        <f t="shared" si="14"/>
        <v>2025</v>
      </c>
      <c r="Q511" s="46">
        <v>45836</v>
      </c>
      <c r="R511" s="20">
        <f>'Cleaned Data'!$Q511-'Cleaned Data'!$N511</f>
        <v>5</v>
      </c>
      <c r="S511" s="19" t="str">
        <f t="shared" si="15"/>
        <v>Monsoon</v>
      </c>
    </row>
    <row r="512" spans="1:19" x14ac:dyDescent="0.3">
      <c r="A512" s="13" t="s">
        <v>689</v>
      </c>
      <c r="B512" s="13" t="s">
        <v>22</v>
      </c>
      <c r="C512" s="5" t="s">
        <v>31</v>
      </c>
      <c r="D512" s="5" t="s">
        <v>47</v>
      </c>
      <c r="E512" s="5" t="s">
        <v>59</v>
      </c>
      <c r="F512" s="5" t="s">
        <v>63</v>
      </c>
      <c r="G512" s="5" t="s">
        <v>73</v>
      </c>
      <c r="H512" s="38">
        <v>3865.4</v>
      </c>
      <c r="I512" s="14">
        <v>0.1</v>
      </c>
      <c r="J512" s="38">
        <v>3478.86</v>
      </c>
      <c r="K512" s="5">
        <v>5</v>
      </c>
      <c r="L512" s="62">
        <f>Table1[[#This Row],[Final_Unit_Price]]*Table1[[#This Row],[Quantity]]</f>
        <v>17394.3</v>
      </c>
      <c r="M512" s="60">
        <v>6088</v>
      </c>
      <c r="N512" s="43">
        <v>45554</v>
      </c>
      <c r="O512" s="18" t="str">
        <f>TEXT(Table1[[#This Row],[Order_Date]],"mmm")</f>
        <v>Sep</v>
      </c>
      <c r="P512" s="18">
        <f t="shared" si="14"/>
        <v>2024</v>
      </c>
      <c r="Q512" s="45">
        <v>45562</v>
      </c>
      <c r="R512" s="19">
        <f>'Cleaned Data'!$Q512-'Cleaned Data'!$N512</f>
        <v>8</v>
      </c>
      <c r="S512" s="19" t="str">
        <f t="shared" si="15"/>
        <v>Monsoon</v>
      </c>
    </row>
    <row r="513" spans="1:19" x14ac:dyDescent="0.3">
      <c r="A513" s="11" t="s">
        <v>690</v>
      </c>
      <c r="B513" s="11" t="s">
        <v>17</v>
      </c>
      <c r="C513" s="3" t="s">
        <v>32</v>
      </c>
      <c r="D513" s="3" t="s">
        <v>40</v>
      </c>
      <c r="E513" s="3" t="s">
        <v>59</v>
      </c>
      <c r="F513" s="3" t="s">
        <v>62</v>
      </c>
      <c r="G513" s="3" t="s">
        <v>69</v>
      </c>
      <c r="H513" s="37">
        <v>9924.07</v>
      </c>
      <c r="I513" s="12">
        <v>0.3</v>
      </c>
      <c r="J513" s="37">
        <v>6946.8489999999993</v>
      </c>
      <c r="K513" s="3">
        <v>4</v>
      </c>
      <c r="L513" s="61">
        <f>Table1[[#This Row],[Final_Unit_Price]]*Table1[[#This Row],[Quantity]]</f>
        <v>27787.395999999997</v>
      </c>
      <c r="M513" s="59">
        <v>9725.59</v>
      </c>
      <c r="N513" s="42">
        <v>45647</v>
      </c>
      <c r="O513" s="20" t="str">
        <f>TEXT(Table1[[#This Row],[Order_Date]],"mmm")</f>
        <v>Dec</v>
      </c>
      <c r="P513" s="20">
        <f t="shared" si="14"/>
        <v>2024</v>
      </c>
      <c r="Q513" s="46">
        <v>45651</v>
      </c>
      <c r="R513" s="20">
        <f>'Cleaned Data'!$Q513-'Cleaned Data'!$N513</f>
        <v>4</v>
      </c>
      <c r="S513" s="19" t="str">
        <f t="shared" si="15"/>
        <v>Winter</v>
      </c>
    </row>
    <row r="514" spans="1:19" x14ac:dyDescent="0.3">
      <c r="A514" s="13" t="s">
        <v>691</v>
      </c>
      <c r="B514" s="13" t="s">
        <v>16</v>
      </c>
      <c r="C514" s="5" t="s">
        <v>31</v>
      </c>
      <c r="D514" s="5" t="s">
        <v>47</v>
      </c>
      <c r="E514" s="5" t="s">
        <v>59</v>
      </c>
      <c r="F514" s="5" t="s">
        <v>62</v>
      </c>
      <c r="G514" s="5" t="s">
        <v>66</v>
      </c>
      <c r="H514" s="38">
        <v>3033.79</v>
      </c>
      <c r="I514" s="14">
        <v>0.3</v>
      </c>
      <c r="J514" s="38">
        <v>2123.6529999999998</v>
      </c>
      <c r="K514" s="5">
        <v>3</v>
      </c>
      <c r="L514" s="62">
        <f>Table1[[#This Row],[Final_Unit_Price]]*Table1[[#This Row],[Quantity]]</f>
        <v>6370.9589999999989</v>
      </c>
      <c r="M514" s="60">
        <v>2229.84</v>
      </c>
      <c r="N514" s="43">
        <v>45760</v>
      </c>
      <c r="O514" s="18" t="str">
        <f>TEXT(Table1[[#This Row],[Order_Date]],"mmm")</f>
        <v>Apr</v>
      </c>
      <c r="P514" s="18">
        <f t="shared" si="14"/>
        <v>2025</v>
      </c>
      <c r="Q514" s="45">
        <v>45768</v>
      </c>
      <c r="R514" s="19">
        <f>'Cleaned Data'!$Q514-'Cleaned Data'!$N514</f>
        <v>8</v>
      </c>
      <c r="S514" s="19" t="str">
        <f t="shared" si="15"/>
        <v>Summer</v>
      </c>
    </row>
    <row r="515" spans="1:19" x14ac:dyDescent="0.3">
      <c r="A515" s="11" t="s">
        <v>692</v>
      </c>
      <c r="B515" s="11" t="s">
        <v>27</v>
      </c>
      <c r="C515" s="3" t="s">
        <v>35</v>
      </c>
      <c r="D515" s="3" t="s">
        <v>38</v>
      </c>
      <c r="E515" s="3" t="s">
        <v>59</v>
      </c>
      <c r="F515" s="3" t="s">
        <v>61</v>
      </c>
      <c r="G515" s="3" t="s">
        <v>65</v>
      </c>
      <c r="H515" s="37">
        <v>9217.4599999999991</v>
      </c>
      <c r="I515" s="12">
        <v>0.3</v>
      </c>
      <c r="J515" s="37">
        <v>6452.2219999999988</v>
      </c>
      <c r="K515" s="3">
        <v>1</v>
      </c>
      <c r="L515" s="61">
        <f>Table1[[#This Row],[Final_Unit_Price]]*Table1[[#This Row],[Quantity]]</f>
        <v>6452.2219999999988</v>
      </c>
      <c r="M515" s="59">
        <v>2258.2800000000002</v>
      </c>
      <c r="N515" s="42">
        <v>45744</v>
      </c>
      <c r="O515" s="20" t="str">
        <f>TEXT(Table1[[#This Row],[Order_Date]],"mmm")</f>
        <v>Mar</v>
      </c>
      <c r="P515" s="20">
        <f t="shared" ref="P515:P578" si="16">YEAR(N515)</f>
        <v>2025</v>
      </c>
      <c r="Q515" s="46">
        <v>45748</v>
      </c>
      <c r="R515" s="20">
        <f>'Cleaned Data'!$Q515-'Cleaned Data'!$N515</f>
        <v>4</v>
      </c>
      <c r="S515" s="19" t="str">
        <f t="shared" ref="S515:S578" si="17">IF(OR(O515="Feb",O515="Mar",O515="Apr",O515="May"),"Summer",
   IF(OR(O515="Jun",O515="Jul",O515="Aug",O515="Sep"),"Monsoon",
   IF(OR(O515="Oct",O515="Nov",O515="Dec",O515= "Jan"),"Winter","Invalid")))</f>
        <v>Summer</v>
      </c>
    </row>
    <row r="516" spans="1:19" x14ac:dyDescent="0.3">
      <c r="A516" s="13" t="s">
        <v>693</v>
      </c>
      <c r="B516" s="13" t="s">
        <v>17</v>
      </c>
      <c r="C516" s="5" t="s">
        <v>32</v>
      </c>
      <c r="D516" s="5" t="s">
        <v>37</v>
      </c>
      <c r="E516" s="5" t="s">
        <v>59</v>
      </c>
      <c r="F516" s="5" t="s">
        <v>62</v>
      </c>
      <c r="G516" s="5" t="s">
        <v>69</v>
      </c>
      <c r="H516" s="38">
        <v>10474.99</v>
      </c>
      <c r="I516" s="14">
        <v>0.15</v>
      </c>
      <c r="J516" s="38">
        <v>8903.7415000000001</v>
      </c>
      <c r="K516" s="5">
        <v>2</v>
      </c>
      <c r="L516" s="62">
        <f>Table1[[#This Row],[Final_Unit_Price]]*Table1[[#This Row],[Quantity]]</f>
        <v>17807.483</v>
      </c>
      <c r="M516" s="60">
        <v>6232.62</v>
      </c>
      <c r="N516" s="43">
        <v>45835</v>
      </c>
      <c r="O516" s="18" t="str">
        <f>TEXT(Table1[[#This Row],[Order_Date]],"mmm")</f>
        <v>Jun</v>
      </c>
      <c r="P516" s="18">
        <f t="shared" si="16"/>
        <v>2025</v>
      </c>
      <c r="Q516" s="45">
        <v>45844</v>
      </c>
      <c r="R516" s="19">
        <f>'Cleaned Data'!$Q516-'Cleaned Data'!$N516</f>
        <v>9</v>
      </c>
      <c r="S516" s="19" t="str">
        <f t="shared" si="17"/>
        <v>Monsoon</v>
      </c>
    </row>
    <row r="517" spans="1:19" x14ac:dyDescent="0.3">
      <c r="A517" s="11" t="s">
        <v>694</v>
      </c>
      <c r="B517" s="11" t="s">
        <v>26</v>
      </c>
      <c r="C517" s="3" t="s">
        <v>32</v>
      </c>
      <c r="D517" s="3" t="s">
        <v>40</v>
      </c>
      <c r="E517" s="3" t="s">
        <v>59</v>
      </c>
      <c r="F517" s="3" t="s">
        <v>61</v>
      </c>
      <c r="G517" s="3" t="s">
        <v>70</v>
      </c>
      <c r="H517" s="37">
        <v>41846.58</v>
      </c>
      <c r="I517" s="12">
        <v>0.05</v>
      </c>
      <c r="J517" s="37">
        <v>39754.250999999997</v>
      </c>
      <c r="K517" s="3">
        <v>3</v>
      </c>
      <c r="L517" s="61">
        <f>Table1[[#This Row],[Final_Unit_Price]]*Table1[[#This Row],[Quantity]]</f>
        <v>119262.753</v>
      </c>
      <c r="M517" s="59">
        <v>41741.96</v>
      </c>
      <c r="N517" s="42">
        <v>45747</v>
      </c>
      <c r="O517" s="20" t="str">
        <f>TEXT(Table1[[#This Row],[Order_Date]],"mmm")</f>
        <v>Mar</v>
      </c>
      <c r="P517" s="20">
        <f t="shared" si="16"/>
        <v>2025</v>
      </c>
      <c r="Q517" s="46">
        <v>45752</v>
      </c>
      <c r="R517" s="20">
        <f>'Cleaned Data'!$Q517-'Cleaned Data'!$N517</f>
        <v>5</v>
      </c>
      <c r="S517" s="19" t="str">
        <f t="shared" si="17"/>
        <v>Summer</v>
      </c>
    </row>
    <row r="518" spans="1:19" x14ac:dyDescent="0.3">
      <c r="A518" s="13" t="s">
        <v>695</v>
      </c>
      <c r="B518" s="13" t="s">
        <v>19</v>
      </c>
      <c r="C518" s="5" t="s">
        <v>33</v>
      </c>
      <c r="D518" s="5" t="s">
        <v>56</v>
      </c>
      <c r="E518" s="5" t="s">
        <v>60</v>
      </c>
      <c r="F518" s="5" t="s">
        <v>64</v>
      </c>
      <c r="G518" s="5" t="s">
        <v>72</v>
      </c>
      <c r="H518" s="38">
        <v>1804.9</v>
      </c>
      <c r="I518" s="14">
        <v>0.2</v>
      </c>
      <c r="J518" s="38">
        <v>1443.92</v>
      </c>
      <c r="K518" s="5">
        <v>5</v>
      </c>
      <c r="L518" s="62">
        <f>Table1[[#This Row],[Final_Unit_Price]]*Table1[[#This Row],[Quantity]]</f>
        <v>7219.6</v>
      </c>
      <c r="M518" s="60">
        <v>1082.94</v>
      </c>
      <c r="N518" s="43">
        <v>45446</v>
      </c>
      <c r="O518" s="18" t="str">
        <f>TEXT(Table1[[#This Row],[Order_Date]],"mmm")</f>
        <v>Jun</v>
      </c>
      <c r="P518" s="18">
        <f t="shared" si="16"/>
        <v>2024</v>
      </c>
      <c r="Q518" s="45">
        <v>45456</v>
      </c>
      <c r="R518" s="19">
        <f>'Cleaned Data'!$Q518-'Cleaned Data'!$N518</f>
        <v>10</v>
      </c>
      <c r="S518" s="19" t="str">
        <f t="shared" si="17"/>
        <v>Monsoon</v>
      </c>
    </row>
    <row r="519" spans="1:19" x14ac:dyDescent="0.3">
      <c r="A519" s="11" t="s">
        <v>696</v>
      </c>
      <c r="B519" s="11" t="s">
        <v>22</v>
      </c>
      <c r="C519" s="3" t="s">
        <v>31</v>
      </c>
      <c r="D519" s="3" t="s">
        <v>47</v>
      </c>
      <c r="E519" s="3" t="s">
        <v>59</v>
      </c>
      <c r="F519" s="3" t="s">
        <v>63</v>
      </c>
      <c r="G519" s="3" t="s">
        <v>68</v>
      </c>
      <c r="H519" s="37">
        <v>4105.08</v>
      </c>
      <c r="I519" s="12">
        <v>0.05</v>
      </c>
      <c r="J519" s="37">
        <v>3899.826</v>
      </c>
      <c r="K519" s="3">
        <v>4</v>
      </c>
      <c r="L519" s="61">
        <f>Table1[[#This Row],[Final_Unit_Price]]*Table1[[#This Row],[Quantity]]</f>
        <v>15599.304</v>
      </c>
      <c r="M519" s="59">
        <v>5459.75</v>
      </c>
      <c r="N519" s="42">
        <v>45646</v>
      </c>
      <c r="O519" s="20" t="str">
        <f>TEXT(Table1[[#This Row],[Order_Date]],"mmm")</f>
        <v>Dec</v>
      </c>
      <c r="P519" s="20">
        <f t="shared" si="16"/>
        <v>2024</v>
      </c>
      <c r="Q519" s="46">
        <v>45650</v>
      </c>
      <c r="R519" s="20">
        <f>'Cleaned Data'!$Q519-'Cleaned Data'!$N519</f>
        <v>4</v>
      </c>
      <c r="S519" s="19" t="str">
        <f t="shared" si="17"/>
        <v>Winter</v>
      </c>
    </row>
    <row r="520" spans="1:19" x14ac:dyDescent="0.3">
      <c r="A520" s="13" t="s">
        <v>697</v>
      </c>
      <c r="B520" s="13" t="s">
        <v>18</v>
      </c>
      <c r="C520" s="5" t="s">
        <v>33</v>
      </c>
      <c r="D520" s="5" t="s">
        <v>56</v>
      </c>
      <c r="E520" s="5" t="s">
        <v>60</v>
      </c>
      <c r="F520" s="5" t="s">
        <v>62</v>
      </c>
      <c r="G520" s="5" t="s">
        <v>66</v>
      </c>
      <c r="H520" s="38">
        <v>42799.02</v>
      </c>
      <c r="I520" s="14">
        <v>0.15</v>
      </c>
      <c r="J520" s="38">
        <v>36379.166999999987</v>
      </c>
      <c r="K520" s="5">
        <v>3</v>
      </c>
      <c r="L520" s="62">
        <f>Table1[[#This Row],[Final_Unit_Price]]*Table1[[#This Row],[Quantity]]</f>
        <v>109137.50099999996</v>
      </c>
      <c r="M520" s="60">
        <v>16370.62</v>
      </c>
      <c r="N520" s="43">
        <v>45404</v>
      </c>
      <c r="O520" s="18" t="str">
        <f>TEXT(Table1[[#This Row],[Order_Date]],"mmm")</f>
        <v>Apr</v>
      </c>
      <c r="P520" s="18">
        <f t="shared" si="16"/>
        <v>2024</v>
      </c>
      <c r="Q520" s="45">
        <v>45407</v>
      </c>
      <c r="R520" s="19">
        <f>'Cleaned Data'!$Q520-'Cleaned Data'!$N520</f>
        <v>3</v>
      </c>
      <c r="S520" s="19" t="str">
        <f t="shared" si="17"/>
        <v>Summer</v>
      </c>
    </row>
    <row r="521" spans="1:19" x14ac:dyDescent="0.3">
      <c r="A521" s="11" t="s">
        <v>698</v>
      </c>
      <c r="B521" s="11" t="s">
        <v>17</v>
      </c>
      <c r="C521" s="3" t="s">
        <v>32</v>
      </c>
      <c r="D521" s="3" t="s">
        <v>37</v>
      </c>
      <c r="E521" s="3" t="s">
        <v>59</v>
      </c>
      <c r="F521" s="3" t="s">
        <v>61</v>
      </c>
      <c r="G521" s="3" t="s">
        <v>71</v>
      </c>
      <c r="H521" s="37">
        <v>9692.86</v>
      </c>
      <c r="I521" s="12">
        <v>0.2</v>
      </c>
      <c r="J521" s="37">
        <v>7754.2879999999996</v>
      </c>
      <c r="K521" s="3">
        <v>2</v>
      </c>
      <c r="L521" s="61">
        <f>Table1[[#This Row],[Final_Unit_Price]]*Table1[[#This Row],[Quantity]]</f>
        <v>15508.575999999999</v>
      </c>
      <c r="M521" s="59">
        <v>5428</v>
      </c>
      <c r="N521" s="42">
        <v>45552</v>
      </c>
      <c r="O521" s="20" t="str">
        <f>TEXT(Table1[[#This Row],[Order_Date]],"mmm")</f>
        <v>Sep</v>
      </c>
      <c r="P521" s="20">
        <f t="shared" si="16"/>
        <v>2024</v>
      </c>
      <c r="Q521" s="46">
        <v>45560</v>
      </c>
      <c r="R521" s="20">
        <f>'Cleaned Data'!$Q521-'Cleaned Data'!$N521</f>
        <v>8</v>
      </c>
      <c r="S521" s="19" t="str">
        <f t="shared" si="17"/>
        <v>Monsoon</v>
      </c>
    </row>
    <row r="522" spans="1:19" x14ac:dyDescent="0.3">
      <c r="A522" s="13" t="s">
        <v>699</v>
      </c>
      <c r="B522" s="13" t="s">
        <v>25</v>
      </c>
      <c r="C522" s="5" t="s">
        <v>34</v>
      </c>
      <c r="D522" s="5" t="s">
        <v>41</v>
      </c>
      <c r="E522" s="5" t="s">
        <v>60</v>
      </c>
      <c r="F522" s="5" t="s">
        <v>61</v>
      </c>
      <c r="G522" s="5" t="s">
        <v>71</v>
      </c>
      <c r="H522" s="38">
        <v>697.42</v>
      </c>
      <c r="I522" s="14">
        <v>0.1</v>
      </c>
      <c r="J522" s="38">
        <v>627.678</v>
      </c>
      <c r="K522" s="5">
        <v>2</v>
      </c>
      <c r="L522" s="62">
        <f>Table1[[#This Row],[Final_Unit_Price]]*Table1[[#This Row],[Quantity]]</f>
        <v>1255.356</v>
      </c>
      <c r="M522" s="60">
        <v>188.3</v>
      </c>
      <c r="N522" s="43">
        <v>45353</v>
      </c>
      <c r="O522" s="18" t="str">
        <f>TEXT(Table1[[#This Row],[Order_Date]],"mmm")</f>
        <v>Mar</v>
      </c>
      <c r="P522" s="18">
        <f t="shared" si="16"/>
        <v>2024</v>
      </c>
      <c r="Q522" s="45">
        <v>45363</v>
      </c>
      <c r="R522" s="19">
        <f>'Cleaned Data'!$Q522-'Cleaned Data'!$N522</f>
        <v>10</v>
      </c>
      <c r="S522" s="19" t="str">
        <f t="shared" si="17"/>
        <v>Summer</v>
      </c>
    </row>
    <row r="523" spans="1:19" x14ac:dyDescent="0.3">
      <c r="A523" s="11" t="s">
        <v>700</v>
      </c>
      <c r="B523" s="11" t="s">
        <v>19</v>
      </c>
      <c r="C523" s="3" t="s">
        <v>33</v>
      </c>
      <c r="D523" s="3" t="s">
        <v>50</v>
      </c>
      <c r="E523" s="3" t="s">
        <v>59</v>
      </c>
      <c r="F523" s="3" t="s">
        <v>63</v>
      </c>
      <c r="G523" s="3" t="s">
        <v>75</v>
      </c>
      <c r="H523" s="37">
        <v>2168.37</v>
      </c>
      <c r="I523" s="12">
        <v>0</v>
      </c>
      <c r="J523" s="37">
        <v>2168.37</v>
      </c>
      <c r="K523" s="3">
        <v>5</v>
      </c>
      <c r="L523" s="61">
        <f>Table1[[#This Row],[Final_Unit_Price]]*Table1[[#This Row],[Quantity]]</f>
        <v>10841.849999999999</v>
      </c>
      <c r="M523" s="59">
        <v>3794.65</v>
      </c>
      <c r="N523" s="42">
        <v>45415</v>
      </c>
      <c r="O523" s="20" t="str">
        <f>TEXT(Table1[[#This Row],[Order_Date]],"mmm")</f>
        <v>May</v>
      </c>
      <c r="P523" s="20">
        <f t="shared" si="16"/>
        <v>2024</v>
      </c>
      <c r="Q523" s="46">
        <v>45420</v>
      </c>
      <c r="R523" s="20">
        <f>'Cleaned Data'!$Q523-'Cleaned Data'!$N523</f>
        <v>5</v>
      </c>
      <c r="S523" s="19" t="str">
        <f t="shared" si="17"/>
        <v>Summer</v>
      </c>
    </row>
    <row r="524" spans="1:19" x14ac:dyDescent="0.3">
      <c r="A524" s="13" t="s">
        <v>701</v>
      </c>
      <c r="B524" s="13" t="s">
        <v>17</v>
      </c>
      <c r="C524" s="5" t="s">
        <v>32</v>
      </c>
      <c r="D524" s="5" t="s">
        <v>43</v>
      </c>
      <c r="E524" s="5" t="s">
        <v>58</v>
      </c>
      <c r="F524" s="5" t="s">
        <v>63</v>
      </c>
      <c r="G524" s="5" t="s">
        <v>75</v>
      </c>
      <c r="H524" s="38">
        <v>7811.99</v>
      </c>
      <c r="I524" s="14">
        <v>0.25</v>
      </c>
      <c r="J524" s="38">
        <v>5858.9925000000003</v>
      </c>
      <c r="K524" s="5">
        <v>3</v>
      </c>
      <c r="L524" s="62">
        <f>Table1[[#This Row],[Final_Unit_Price]]*Table1[[#This Row],[Quantity]]</f>
        <v>17576.977500000001</v>
      </c>
      <c r="M524" s="60">
        <v>4394.24</v>
      </c>
      <c r="N524" s="43">
        <v>45485</v>
      </c>
      <c r="O524" s="18" t="str">
        <f>TEXT(Table1[[#This Row],[Order_Date]],"mmm")</f>
        <v>Jul</v>
      </c>
      <c r="P524" s="18">
        <f t="shared" si="16"/>
        <v>2024</v>
      </c>
      <c r="Q524" s="45">
        <v>45490</v>
      </c>
      <c r="R524" s="19">
        <f>'Cleaned Data'!$Q524-'Cleaned Data'!$N524</f>
        <v>5</v>
      </c>
      <c r="S524" s="19" t="str">
        <f t="shared" si="17"/>
        <v>Monsoon</v>
      </c>
    </row>
    <row r="525" spans="1:19" x14ac:dyDescent="0.3">
      <c r="A525" s="11" t="s">
        <v>702</v>
      </c>
      <c r="B525" s="11" t="s">
        <v>26</v>
      </c>
      <c r="C525" s="3" t="s">
        <v>32</v>
      </c>
      <c r="D525" s="3" t="s">
        <v>43</v>
      </c>
      <c r="E525" s="3" t="s">
        <v>58</v>
      </c>
      <c r="F525" s="3" t="s">
        <v>64</v>
      </c>
      <c r="G525" s="3" t="s">
        <v>76</v>
      </c>
      <c r="H525" s="37">
        <v>37782.29</v>
      </c>
      <c r="I525" s="12">
        <v>0.1</v>
      </c>
      <c r="J525" s="37">
        <v>34004.061000000002</v>
      </c>
      <c r="K525" s="3">
        <v>1</v>
      </c>
      <c r="L525" s="61">
        <f>Table1[[#This Row],[Final_Unit_Price]]*Table1[[#This Row],[Quantity]]</f>
        <v>34004.061000000002</v>
      </c>
      <c r="M525" s="59">
        <v>8501.01</v>
      </c>
      <c r="N525" s="42">
        <v>45529</v>
      </c>
      <c r="O525" s="20" t="str">
        <f>TEXT(Table1[[#This Row],[Order_Date]],"mmm")</f>
        <v>Aug</v>
      </c>
      <c r="P525" s="20">
        <f t="shared" si="16"/>
        <v>2024</v>
      </c>
      <c r="Q525" s="46">
        <v>45539</v>
      </c>
      <c r="R525" s="20">
        <f>'Cleaned Data'!$Q525-'Cleaned Data'!$N525</f>
        <v>10</v>
      </c>
      <c r="S525" s="19" t="str">
        <f t="shared" si="17"/>
        <v>Monsoon</v>
      </c>
    </row>
    <row r="526" spans="1:19" x14ac:dyDescent="0.3">
      <c r="A526" s="13" t="s">
        <v>703</v>
      </c>
      <c r="B526" s="13" t="s">
        <v>29</v>
      </c>
      <c r="C526" s="5" t="s">
        <v>35</v>
      </c>
      <c r="D526" s="5" t="s">
        <v>38</v>
      </c>
      <c r="E526" s="5" t="s">
        <v>59</v>
      </c>
      <c r="F526" s="5" t="s">
        <v>63</v>
      </c>
      <c r="G526" s="5" t="s">
        <v>68</v>
      </c>
      <c r="H526" s="38">
        <v>20144.38</v>
      </c>
      <c r="I526" s="14">
        <v>0.1</v>
      </c>
      <c r="J526" s="38">
        <v>18129.941999999999</v>
      </c>
      <c r="K526" s="5">
        <v>5</v>
      </c>
      <c r="L526" s="62">
        <f>Table1[[#This Row],[Final_Unit_Price]]*Table1[[#This Row],[Quantity]]</f>
        <v>90649.709999999992</v>
      </c>
      <c r="M526" s="60">
        <v>31727.4</v>
      </c>
      <c r="N526" s="43">
        <v>45758</v>
      </c>
      <c r="O526" s="18" t="str">
        <f>TEXT(Table1[[#This Row],[Order_Date]],"mmm")</f>
        <v>Apr</v>
      </c>
      <c r="P526" s="18">
        <f t="shared" si="16"/>
        <v>2025</v>
      </c>
      <c r="Q526" s="45">
        <v>45766</v>
      </c>
      <c r="R526" s="19">
        <f>'Cleaned Data'!$Q526-'Cleaned Data'!$N526</f>
        <v>8</v>
      </c>
      <c r="S526" s="19" t="str">
        <f t="shared" si="17"/>
        <v>Summer</v>
      </c>
    </row>
    <row r="527" spans="1:19" x14ac:dyDescent="0.3">
      <c r="A527" s="11" t="s">
        <v>704</v>
      </c>
      <c r="B527" s="11" t="s">
        <v>26</v>
      </c>
      <c r="C527" s="3" t="s">
        <v>32</v>
      </c>
      <c r="D527" s="3" t="s">
        <v>40</v>
      </c>
      <c r="E527" s="3" t="s">
        <v>59</v>
      </c>
      <c r="F527" s="3" t="s">
        <v>64</v>
      </c>
      <c r="G527" s="3" t="s">
        <v>74</v>
      </c>
      <c r="H527" s="37">
        <v>43837.56</v>
      </c>
      <c r="I527" s="12">
        <v>0.2</v>
      </c>
      <c r="J527" s="37">
        <v>35070.048000000003</v>
      </c>
      <c r="K527" s="3">
        <v>3</v>
      </c>
      <c r="L527" s="61">
        <f>Table1[[#This Row],[Final_Unit_Price]]*Table1[[#This Row],[Quantity]]</f>
        <v>105210.144</v>
      </c>
      <c r="M527" s="59">
        <v>36823.550000000003</v>
      </c>
      <c r="N527" s="42">
        <v>45468</v>
      </c>
      <c r="O527" s="20" t="str">
        <f>TEXT(Table1[[#This Row],[Order_Date]],"mmm")</f>
        <v>Jun</v>
      </c>
      <c r="P527" s="20">
        <f t="shared" si="16"/>
        <v>2024</v>
      </c>
      <c r="Q527" s="46">
        <v>45477</v>
      </c>
      <c r="R527" s="20">
        <f>'Cleaned Data'!$Q527-'Cleaned Data'!$N527</f>
        <v>9</v>
      </c>
      <c r="S527" s="19" t="str">
        <f t="shared" si="17"/>
        <v>Monsoon</v>
      </c>
    </row>
    <row r="528" spans="1:19" x14ac:dyDescent="0.3">
      <c r="A528" s="13" t="s">
        <v>705</v>
      </c>
      <c r="B528" s="13" t="s">
        <v>16</v>
      </c>
      <c r="C528" s="5" t="s">
        <v>31</v>
      </c>
      <c r="D528" s="5" t="s">
        <v>47</v>
      </c>
      <c r="E528" s="5" t="s">
        <v>59</v>
      </c>
      <c r="F528" s="5" t="s">
        <v>63</v>
      </c>
      <c r="G528" s="5" t="s">
        <v>75</v>
      </c>
      <c r="H528" s="38">
        <v>2749.66</v>
      </c>
      <c r="I528" s="14">
        <v>0.25</v>
      </c>
      <c r="J528" s="38">
        <v>2062.2449999999999</v>
      </c>
      <c r="K528" s="5">
        <v>1</v>
      </c>
      <c r="L528" s="62">
        <f>Table1[[#This Row],[Final_Unit_Price]]*Table1[[#This Row],[Quantity]]</f>
        <v>2062.2449999999999</v>
      </c>
      <c r="M528" s="60">
        <v>721.78</v>
      </c>
      <c r="N528" s="43">
        <v>45418</v>
      </c>
      <c r="O528" s="18" t="str">
        <f>TEXT(Table1[[#This Row],[Order_Date]],"mmm")</f>
        <v>May</v>
      </c>
      <c r="P528" s="18">
        <f t="shared" si="16"/>
        <v>2024</v>
      </c>
      <c r="Q528" s="45">
        <v>45422</v>
      </c>
      <c r="R528" s="19">
        <f>'Cleaned Data'!$Q528-'Cleaned Data'!$N528</f>
        <v>4</v>
      </c>
      <c r="S528" s="19" t="str">
        <f t="shared" si="17"/>
        <v>Summer</v>
      </c>
    </row>
    <row r="529" spans="1:19" x14ac:dyDescent="0.3">
      <c r="A529" s="11" t="s">
        <v>706</v>
      </c>
      <c r="B529" s="11" t="s">
        <v>29</v>
      </c>
      <c r="C529" s="3" t="s">
        <v>35</v>
      </c>
      <c r="D529" s="3" t="s">
        <v>38</v>
      </c>
      <c r="E529" s="3" t="s">
        <v>59</v>
      </c>
      <c r="F529" s="3" t="s">
        <v>64</v>
      </c>
      <c r="G529" s="3" t="s">
        <v>76</v>
      </c>
      <c r="H529" s="37">
        <v>23053.24</v>
      </c>
      <c r="I529" s="12">
        <v>0.1</v>
      </c>
      <c r="J529" s="37">
        <v>20747.916000000001</v>
      </c>
      <c r="K529" s="3">
        <v>4</v>
      </c>
      <c r="L529" s="61">
        <f>Table1[[#This Row],[Final_Unit_Price]]*Table1[[#This Row],[Quantity]]</f>
        <v>82991.664000000004</v>
      </c>
      <c r="M529" s="59">
        <v>29047.08</v>
      </c>
      <c r="N529" s="42">
        <v>45523</v>
      </c>
      <c r="O529" s="20" t="str">
        <f>TEXT(Table1[[#This Row],[Order_Date]],"mmm")</f>
        <v>Aug</v>
      </c>
      <c r="P529" s="20">
        <f t="shared" si="16"/>
        <v>2024</v>
      </c>
      <c r="Q529" s="46">
        <v>45532</v>
      </c>
      <c r="R529" s="20">
        <f>'Cleaned Data'!$Q529-'Cleaned Data'!$N529</f>
        <v>9</v>
      </c>
      <c r="S529" s="19" t="str">
        <f t="shared" si="17"/>
        <v>Monsoon</v>
      </c>
    </row>
    <row r="530" spans="1:19" x14ac:dyDescent="0.3">
      <c r="A530" s="13" t="s">
        <v>707</v>
      </c>
      <c r="B530" s="13" t="s">
        <v>16</v>
      </c>
      <c r="C530" s="5" t="s">
        <v>31</v>
      </c>
      <c r="D530" s="5" t="s">
        <v>47</v>
      </c>
      <c r="E530" s="5" t="s">
        <v>59</v>
      </c>
      <c r="F530" s="5" t="s">
        <v>64</v>
      </c>
      <c r="G530" s="5" t="s">
        <v>74</v>
      </c>
      <c r="H530" s="38">
        <v>3260.34</v>
      </c>
      <c r="I530" s="14">
        <v>0.25</v>
      </c>
      <c r="J530" s="38">
        <v>2445.2550000000001</v>
      </c>
      <c r="K530" s="5">
        <v>4</v>
      </c>
      <c r="L530" s="62">
        <f>Table1[[#This Row],[Final_Unit_Price]]*Table1[[#This Row],[Quantity]]</f>
        <v>9781.02</v>
      </c>
      <c r="M530" s="60">
        <v>3423.36</v>
      </c>
      <c r="N530" s="43">
        <v>45728</v>
      </c>
      <c r="O530" s="18" t="str">
        <f>TEXT(Table1[[#This Row],[Order_Date]],"mmm")</f>
        <v>Mar</v>
      </c>
      <c r="P530" s="18">
        <f t="shared" si="16"/>
        <v>2025</v>
      </c>
      <c r="Q530" s="45">
        <v>45735</v>
      </c>
      <c r="R530" s="19">
        <f>'Cleaned Data'!$Q530-'Cleaned Data'!$N530</f>
        <v>7</v>
      </c>
      <c r="S530" s="19" t="str">
        <f t="shared" si="17"/>
        <v>Summer</v>
      </c>
    </row>
    <row r="531" spans="1:19" x14ac:dyDescent="0.3">
      <c r="A531" s="11" t="s">
        <v>708</v>
      </c>
      <c r="B531" s="11" t="s">
        <v>26</v>
      </c>
      <c r="C531" s="3" t="s">
        <v>32</v>
      </c>
      <c r="D531" s="3" t="s">
        <v>40</v>
      </c>
      <c r="E531" s="3" t="s">
        <v>59</v>
      </c>
      <c r="F531" s="3" t="s">
        <v>63</v>
      </c>
      <c r="G531" s="3" t="s">
        <v>73</v>
      </c>
      <c r="H531" s="37">
        <v>39220.519999999997</v>
      </c>
      <c r="I531" s="12">
        <v>0.15</v>
      </c>
      <c r="J531" s="37">
        <v>33337.442000000003</v>
      </c>
      <c r="K531" s="3">
        <v>2</v>
      </c>
      <c r="L531" s="61">
        <f>Table1[[#This Row],[Final_Unit_Price]]*Table1[[#This Row],[Quantity]]</f>
        <v>66674.884000000005</v>
      </c>
      <c r="M531" s="59">
        <v>23336.21</v>
      </c>
      <c r="N531" s="42">
        <v>45639</v>
      </c>
      <c r="O531" s="20" t="str">
        <f>TEXT(Table1[[#This Row],[Order_Date]],"mmm")</f>
        <v>Dec</v>
      </c>
      <c r="P531" s="20">
        <f t="shared" si="16"/>
        <v>2024</v>
      </c>
      <c r="Q531" s="46">
        <v>45648</v>
      </c>
      <c r="R531" s="20">
        <f>'Cleaned Data'!$Q531-'Cleaned Data'!$N531</f>
        <v>9</v>
      </c>
      <c r="S531" s="19" t="str">
        <f t="shared" si="17"/>
        <v>Winter</v>
      </c>
    </row>
    <row r="532" spans="1:19" x14ac:dyDescent="0.3">
      <c r="A532" s="13" t="s">
        <v>709</v>
      </c>
      <c r="B532" s="13" t="s">
        <v>18</v>
      </c>
      <c r="C532" s="5" t="s">
        <v>33</v>
      </c>
      <c r="D532" s="5" t="s">
        <v>50</v>
      </c>
      <c r="E532" s="5" t="s">
        <v>59</v>
      </c>
      <c r="F532" s="5" t="s">
        <v>63</v>
      </c>
      <c r="G532" s="5" t="s">
        <v>75</v>
      </c>
      <c r="H532" s="38">
        <v>58766.87</v>
      </c>
      <c r="I532" s="14">
        <v>0.05</v>
      </c>
      <c r="J532" s="38">
        <v>55828.5265</v>
      </c>
      <c r="K532" s="5">
        <v>4</v>
      </c>
      <c r="L532" s="62">
        <f>Table1[[#This Row],[Final_Unit_Price]]*Table1[[#This Row],[Quantity]]</f>
        <v>223314.106</v>
      </c>
      <c r="M532" s="60">
        <v>78159.94</v>
      </c>
      <c r="N532" s="43">
        <v>45772</v>
      </c>
      <c r="O532" s="18" t="str">
        <f>TEXT(Table1[[#This Row],[Order_Date]],"mmm")</f>
        <v>Apr</v>
      </c>
      <c r="P532" s="18">
        <f t="shared" si="16"/>
        <v>2025</v>
      </c>
      <c r="Q532" s="45">
        <v>45775</v>
      </c>
      <c r="R532" s="19">
        <f>'Cleaned Data'!$Q532-'Cleaned Data'!$N532</f>
        <v>3</v>
      </c>
      <c r="S532" s="19" t="str">
        <f t="shared" si="17"/>
        <v>Summer</v>
      </c>
    </row>
    <row r="533" spans="1:19" x14ac:dyDescent="0.3">
      <c r="A533" s="11" t="s">
        <v>710</v>
      </c>
      <c r="B533" s="11" t="s">
        <v>20</v>
      </c>
      <c r="C533" s="3" t="s">
        <v>32</v>
      </c>
      <c r="D533" s="3" t="s">
        <v>37</v>
      </c>
      <c r="E533" s="3" t="s">
        <v>59</v>
      </c>
      <c r="F533" s="3" t="s">
        <v>64</v>
      </c>
      <c r="G533" s="3" t="s">
        <v>74</v>
      </c>
      <c r="H533" s="37">
        <v>39852.699999999997</v>
      </c>
      <c r="I533" s="12">
        <v>0.2</v>
      </c>
      <c r="J533" s="37">
        <v>31882.16</v>
      </c>
      <c r="K533" s="3">
        <v>2</v>
      </c>
      <c r="L533" s="61">
        <f>Table1[[#This Row],[Final_Unit_Price]]*Table1[[#This Row],[Quantity]]</f>
        <v>63764.32</v>
      </c>
      <c r="M533" s="59">
        <v>22317.51</v>
      </c>
      <c r="N533" s="42">
        <v>45655</v>
      </c>
      <c r="O533" s="20" t="str">
        <f>TEXT(Table1[[#This Row],[Order_Date]],"mmm")</f>
        <v>Dec</v>
      </c>
      <c r="P533" s="20">
        <f t="shared" si="16"/>
        <v>2024</v>
      </c>
      <c r="Q533" s="46">
        <v>45661</v>
      </c>
      <c r="R533" s="20">
        <f>'Cleaned Data'!$Q533-'Cleaned Data'!$N533</f>
        <v>6</v>
      </c>
      <c r="S533" s="19" t="str">
        <f t="shared" si="17"/>
        <v>Winter</v>
      </c>
    </row>
    <row r="534" spans="1:19" x14ac:dyDescent="0.3">
      <c r="A534" s="13" t="s">
        <v>711</v>
      </c>
      <c r="B534" s="13" t="s">
        <v>20</v>
      </c>
      <c r="C534" s="5" t="s">
        <v>32</v>
      </c>
      <c r="D534" s="5" t="s">
        <v>40</v>
      </c>
      <c r="E534" s="5" t="s">
        <v>59</v>
      </c>
      <c r="F534" s="5" t="s">
        <v>61</v>
      </c>
      <c r="G534" s="5" t="s">
        <v>70</v>
      </c>
      <c r="H534" s="38">
        <v>34040.92</v>
      </c>
      <c r="I534" s="14">
        <v>0.05</v>
      </c>
      <c r="J534" s="38">
        <v>32338.874</v>
      </c>
      <c r="K534" s="5">
        <v>3</v>
      </c>
      <c r="L534" s="62">
        <f>Table1[[#This Row],[Final_Unit_Price]]*Table1[[#This Row],[Quantity]]</f>
        <v>97016.622000000003</v>
      </c>
      <c r="M534" s="60">
        <v>33955.82</v>
      </c>
      <c r="N534" s="43">
        <v>45439</v>
      </c>
      <c r="O534" s="18" t="str">
        <f>TEXT(Table1[[#This Row],[Order_Date]],"mmm")</f>
        <v>May</v>
      </c>
      <c r="P534" s="18">
        <f t="shared" si="16"/>
        <v>2024</v>
      </c>
      <c r="Q534" s="45">
        <v>45447</v>
      </c>
      <c r="R534" s="19">
        <f>'Cleaned Data'!$Q534-'Cleaned Data'!$N534</f>
        <v>8</v>
      </c>
      <c r="S534" s="19" t="str">
        <f t="shared" si="17"/>
        <v>Summer</v>
      </c>
    </row>
    <row r="535" spans="1:19" x14ac:dyDescent="0.3">
      <c r="A535" s="11" t="s">
        <v>712</v>
      </c>
      <c r="B535" s="11" t="s">
        <v>25</v>
      </c>
      <c r="C535" s="3" t="s">
        <v>34</v>
      </c>
      <c r="D535" s="3" t="s">
        <v>41</v>
      </c>
      <c r="E535" s="3" t="s">
        <v>60</v>
      </c>
      <c r="F535" s="3" t="s">
        <v>64</v>
      </c>
      <c r="G535" s="3" t="s">
        <v>74</v>
      </c>
      <c r="H535" s="37">
        <v>741.61</v>
      </c>
      <c r="I535" s="12">
        <v>0.2</v>
      </c>
      <c r="J535" s="37">
        <v>593.28800000000001</v>
      </c>
      <c r="K535" s="3">
        <v>2</v>
      </c>
      <c r="L535" s="61">
        <f>Table1[[#This Row],[Final_Unit_Price]]*Table1[[#This Row],[Quantity]]</f>
        <v>1186.576</v>
      </c>
      <c r="M535" s="59">
        <v>177.99</v>
      </c>
      <c r="N535" s="42">
        <v>45447</v>
      </c>
      <c r="O535" s="20" t="str">
        <f>TEXT(Table1[[#This Row],[Order_Date]],"mmm")</f>
        <v>Jun</v>
      </c>
      <c r="P535" s="20">
        <f t="shared" si="16"/>
        <v>2024</v>
      </c>
      <c r="Q535" s="46">
        <v>45450</v>
      </c>
      <c r="R535" s="20">
        <f>'Cleaned Data'!$Q535-'Cleaned Data'!$N535</f>
        <v>3</v>
      </c>
      <c r="S535" s="19" t="str">
        <f t="shared" si="17"/>
        <v>Monsoon</v>
      </c>
    </row>
    <row r="536" spans="1:19" x14ac:dyDescent="0.3">
      <c r="A536" s="13" t="s">
        <v>713</v>
      </c>
      <c r="B536" s="13" t="s">
        <v>23</v>
      </c>
      <c r="C536" s="5" t="s">
        <v>35</v>
      </c>
      <c r="D536" s="5" t="s">
        <v>44</v>
      </c>
      <c r="E536" s="5" t="s">
        <v>60</v>
      </c>
      <c r="F536" s="5" t="s">
        <v>63</v>
      </c>
      <c r="G536" s="5" t="s">
        <v>68</v>
      </c>
      <c r="H536" s="38">
        <v>19744.13</v>
      </c>
      <c r="I536" s="14">
        <v>0.25</v>
      </c>
      <c r="J536" s="38">
        <v>14808.0975</v>
      </c>
      <c r="K536" s="5">
        <v>5</v>
      </c>
      <c r="L536" s="62">
        <f>Table1[[#This Row],[Final_Unit_Price]]*Table1[[#This Row],[Quantity]]</f>
        <v>74040.487500000003</v>
      </c>
      <c r="M536" s="60">
        <v>11106.07</v>
      </c>
      <c r="N536" s="43">
        <v>45353</v>
      </c>
      <c r="O536" s="18" t="str">
        <f>TEXT(Table1[[#This Row],[Order_Date]],"mmm")</f>
        <v>Mar</v>
      </c>
      <c r="P536" s="18">
        <f t="shared" si="16"/>
        <v>2024</v>
      </c>
      <c r="Q536" s="45">
        <v>45356</v>
      </c>
      <c r="R536" s="19">
        <f>'Cleaned Data'!$Q536-'Cleaned Data'!$N536</f>
        <v>3</v>
      </c>
      <c r="S536" s="19" t="str">
        <f t="shared" si="17"/>
        <v>Summer</v>
      </c>
    </row>
    <row r="537" spans="1:19" x14ac:dyDescent="0.3">
      <c r="A537" s="11" t="s">
        <v>714</v>
      </c>
      <c r="B537" s="11" t="s">
        <v>22</v>
      </c>
      <c r="C537" s="3" t="s">
        <v>31</v>
      </c>
      <c r="D537" s="3" t="s">
        <v>36</v>
      </c>
      <c r="E537" s="3" t="s">
        <v>58</v>
      </c>
      <c r="F537" s="3" t="s">
        <v>64</v>
      </c>
      <c r="G537" s="3" t="s">
        <v>76</v>
      </c>
      <c r="H537" s="37">
        <v>3612.53</v>
      </c>
      <c r="I537" s="12">
        <v>0.2</v>
      </c>
      <c r="J537" s="37">
        <v>2890.0239999999999</v>
      </c>
      <c r="K537" s="3">
        <v>5</v>
      </c>
      <c r="L537" s="61">
        <f>Table1[[#This Row],[Final_Unit_Price]]*Table1[[#This Row],[Quantity]]</f>
        <v>14450.119999999999</v>
      </c>
      <c r="M537" s="59">
        <v>3612.53</v>
      </c>
      <c r="N537" s="42">
        <v>45306</v>
      </c>
      <c r="O537" s="20" t="str">
        <f>TEXT(Table1[[#This Row],[Order_Date]],"mmm")</f>
        <v>Jan</v>
      </c>
      <c r="P537" s="20">
        <f t="shared" si="16"/>
        <v>2024</v>
      </c>
      <c r="Q537" s="46">
        <v>45308</v>
      </c>
      <c r="R537" s="20">
        <f>'Cleaned Data'!$Q537-'Cleaned Data'!$N537</f>
        <v>2</v>
      </c>
      <c r="S537" s="19" t="str">
        <f t="shared" si="17"/>
        <v>Winter</v>
      </c>
    </row>
    <row r="538" spans="1:19" x14ac:dyDescent="0.3">
      <c r="A538" s="13" t="s">
        <v>715</v>
      </c>
      <c r="B538" s="13" t="s">
        <v>19</v>
      </c>
      <c r="C538" s="5" t="s">
        <v>33</v>
      </c>
      <c r="D538" s="5" t="s">
        <v>38</v>
      </c>
      <c r="E538" s="5" t="s">
        <v>59</v>
      </c>
      <c r="F538" s="5" t="s">
        <v>62</v>
      </c>
      <c r="G538" s="5" t="s">
        <v>66</v>
      </c>
      <c r="H538" s="38">
        <v>2414.5500000000002</v>
      </c>
      <c r="I538" s="14">
        <v>0</v>
      </c>
      <c r="J538" s="38">
        <v>2414.5500000000002</v>
      </c>
      <c r="K538" s="5">
        <v>4</v>
      </c>
      <c r="L538" s="62">
        <f>Table1[[#This Row],[Final_Unit_Price]]*Table1[[#This Row],[Quantity]]</f>
        <v>9658.2000000000007</v>
      </c>
      <c r="M538" s="60">
        <v>3380.37</v>
      </c>
      <c r="N538" s="43">
        <v>45503</v>
      </c>
      <c r="O538" s="18" t="str">
        <f>TEXT(Table1[[#This Row],[Order_Date]],"mmm")</f>
        <v>Jul</v>
      </c>
      <c r="P538" s="18">
        <f t="shared" si="16"/>
        <v>2024</v>
      </c>
      <c r="Q538" s="45">
        <v>45508</v>
      </c>
      <c r="R538" s="19">
        <f>'Cleaned Data'!$Q538-'Cleaned Data'!$N538</f>
        <v>5</v>
      </c>
      <c r="S538" s="19" t="str">
        <f t="shared" si="17"/>
        <v>Monsoon</v>
      </c>
    </row>
    <row r="539" spans="1:19" x14ac:dyDescent="0.3">
      <c r="A539" s="11" t="s">
        <v>716</v>
      </c>
      <c r="B539" s="11" t="s">
        <v>23</v>
      </c>
      <c r="C539" s="3" t="s">
        <v>35</v>
      </c>
      <c r="D539" s="3" t="s">
        <v>48</v>
      </c>
      <c r="E539" s="3" t="s">
        <v>58</v>
      </c>
      <c r="F539" s="3" t="s">
        <v>64</v>
      </c>
      <c r="G539" s="3" t="s">
        <v>72</v>
      </c>
      <c r="H539" s="37">
        <v>27309.58</v>
      </c>
      <c r="I539" s="12">
        <v>0.25</v>
      </c>
      <c r="J539" s="37">
        <v>20482.185000000001</v>
      </c>
      <c r="K539" s="3">
        <v>3</v>
      </c>
      <c r="L539" s="61">
        <f>Table1[[#This Row],[Final_Unit_Price]]*Table1[[#This Row],[Quantity]]</f>
        <v>61446.555000000008</v>
      </c>
      <c r="M539" s="59">
        <v>15361.64</v>
      </c>
      <c r="N539" s="42">
        <v>45372</v>
      </c>
      <c r="O539" s="20" t="str">
        <f>TEXT(Table1[[#This Row],[Order_Date]],"mmm")</f>
        <v>Mar</v>
      </c>
      <c r="P539" s="20">
        <f t="shared" si="16"/>
        <v>2024</v>
      </c>
      <c r="Q539" s="46">
        <v>45379</v>
      </c>
      <c r="R539" s="20">
        <f>'Cleaned Data'!$Q539-'Cleaned Data'!$N539</f>
        <v>7</v>
      </c>
      <c r="S539" s="19" t="str">
        <f t="shared" si="17"/>
        <v>Summer</v>
      </c>
    </row>
    <row r="540" spans="1:19" x14ac:dyDescent="0.3">
      <c r="A540" s="13" t="s">
        <v>717</v>
      </c>
      <c r="B540" s="13" t="s">
        <v>22</v>
      </c>
      <c r="C540" s="5" t="s">
        <v>31</v>
      </c>
      <c r="D540" s="5" t="s">
        <v>36</v>
      </c>
      <c r="E540" s="5" t="s">
        <v>58</v>
      </c>
      <c r="F540" s="5" t="s">
        <v>63</v>
      </c>
      <c r="G540" s="5" t="s">
        <v>73</v>
      </c>
      <c r="H540" s="38">
        <v>3370.43</v>
      </c>
      <c r="I540" s="14">
        <v>0.15</v>
      </c>
      <c r="J540" s="38">
        <v>2864.8654999999999</v>
      </c>
      <c r="K540" s="5">
        <v>2</v>
      </c>
      <c r="L540" s="62">
        <f>Table1[[#This Row],[Final_Unit_Price]]*Table1[[#This Row],[Quantity]]</f>
        <v>5729.7309999999998</v>
      </c>
      <c r="M540" s="60">
        <v>1432.43</v>
      </c>
      <c r="N540" s="43">
        <v>45563</v>
      </c>
      <c r="O540" s="18" t="str">
        <f>TEXT(Table1[[#This Row],[Order_Date]],"mmm")</f>
        <v>Sep</v>
      </c>
      <c r="P540" s="18">
        <f t="shared" si="16"/>
        <v>2024</v>
      </c>
      <c r="Q540" s="45">
        <v>45565</v>
      </c>
      <c r="R540" s="19">
        <f>'Cleaned Data'!$Q540-'Cleaned Data'!$N540</f>
        <v>2</v>
      </c>
      <c r="S540" s="19" t="str">
        <f t="shared" si="17"/>
        <v>Monsoon</v>
      </c>
    </row>
    <row r="541" spans="1:19" x14ac:dyDescent="0.3">
      <c r="A541" s="11" t="s">
        <v>718</v>
      </c>
      <c r="B541" s="11" t="s">
        <v>26</v>
      </c>
      <c r="C541" s="3" t="s">
        <v>32</v>
      </c>
      <c r="D541" s="3" t="s">
        <v>43</v>
      </c>
      <c r="E541" s="3" t="s">
        <v>58</v>
      </c>
      <c r="F541" s="3" t="s">
        <v>63</v>
      </c>
      <c r="G541" s="3" t="s">
        <v>73</v>
      </c>
      <c r="H541" s="37">
        <v>33947.56</v>
      </c>
      <c r="I541" s="12">
        <v>0.1</v>
      </c>
      <c r="J541" s="37">
        <v>30552.804</v>
      </c>
      <c r="K541" s="3">
        <v>2</v>
      </c>
      <c r="L541" s="61">
        <f>Table1[[#This Row],[Final_Unit_Price]]*Table1[[#This Row],[Quantity]]</f>
        <v>61105.608</v>
      </c>
      <c r="M541" s="59">
        <v>15276.4</v>
      </c>
      <c r="N541" s="42">
        <v>45367</v>
      </c>
      <c r="O541" s="20" t="str">
        <f>TEXT(Table1[[#This Row],[Order_Date]],"mmm")</f>
        <v>Mar</v>
      </c>
      <c r="P541" s="20">
        <f t="shared" si="16"/>
        <v>2024</v>
      </c>
      <c r="Q541" s="46">
        <v>45377</v>
      </c>
      <c r="R541" s="20">
        <f>'Cleaned Data'!$Q541-'Cleaned Data'!$N541</f>
        <v>10</v>
      </c>
      <c r="S541" s="19" t="str">
        <f t="shared" si="17"/>
        <v>Summer</v>
      </c>
    </row>
    <row r="542" spans="1:19" x14ac:dyDescent="0.3">
      <c r="A542" s="13" t="s">
        <v>719</v>
      </c>
      <c r="B542" s="13" t="s">
        <v>16</v>
      </c>
      <c r="C542" s="5" t="s">
        <v>31</v>
      </c>
      <c r="D542" s="5" t="s">
        <v>36</v>
      </c>
      <c r="E542" s="5" t="s">
        <v>58</v>
      </c>
      <c r="F542" s="5" t="s">
        <v>63</v>
      </c>
      <c r="G542" s="5" t="s">
        <v>75</v>
      </c>
      <c r="H542" s="38">
        <v>2468.91</v>
      </c>
      <c r="I542" s="14">
        <v>0.3</v>
      </c>
      <c r="J542" s="38">
        <v>1728.2370000000001</v>
      </c>
      <c r="K542" s="5">
        <v>2</v>
      </c>
      <c r="L542" s="62">
        <f>Table1[[#This Row],[Final_Unit_Price]]*Table1[[#This Row],[Quantity]]</f>
        <v>3456.4740000000002</v>
      </c>
      <c r="M542" s="60">
        <v>432.06</v>
      </c>
      <c r="N542" s="43">
        <v>45812</v>
      </c>
      <c r="O542" s="18" t="str">
        <f>TEXT(Table1[[#This Row],[Order_Date]],"mmm")</f>
        <v>Jun</v>
      </c>
      <c r="P542" s="18">
        <f t="shared" si="16"/>
        <v>2025</v>
      </c>
      <c r="Q542" s="45">
        <v>45817</v>
      </c>
      <c r="R542" s="19">
        <f>'Cleaned Data'!$Q542-'Cleaned Data'!$N542</f>
        <v>5</v>
      </c>
      <c r="S542" s="19" t="str">
        <f t="shared" si="17"/>
        <v>Monsoon</v>
      </c>
    </row>
    <row r="543" spans="1:19" x14ac:dyDescent="0.3">
      <c r="A543" s="11" t="s">
        <v>720</v>
      </c>
      <c r="B543" s="11" t="s">
        <v>23</v>
      </c>
      <c r="C543" s="3" t="s">
        <v>35</v>
      </c>
      <c r="D543" s="3" t="s">
        <v>46</v>
      </c>
      <c r="E543" s="3" t="s">
        <v>59</v>
      </c>
      <c r="F543" s="3" t="s">
        <v>62</v>
      </c>
      <c r="G543" s="3" t="s">
        <v>66</v>
      </c>
      <c r="H543" s="37">
        <v>30852.84</v>
      </c>
      <c r="I543" s="12">
        <v>0.05</v>
      </c>
      <c r="J543" s="37">
        <v>29310.198</v>
      </c>
      <c r="K543" s="3">
        <v>1</v>
      </c>
      <c r="L543" s="61">
        <f>Table1[[#This Row],[Final_Unit_Price]]*Table1[[#This Row],[Quantity]]</f>
        <v>29310.198</v>
      </c>
      <c r="M543" s="59">
        <v>10258.57</v>
      </c>
      <c r="N543" s="42">
        <v>45849</v>
      </c>
      <c r="O543" s="20" t="str">
        <f>TEXT(Table1[[#This Row],[Order_Date]],"mmm")</f>
        <v>Jul</v>
      </c>
      <c r="P543" s="20">
        <f t="shared" si="16"/>
        <v>2025</v>
      </c>
      <c r="Q543" s="46">
        <v>45857</v>
      </c>
      <c r="R543" s="20">
        <f>'Cleaned Data'!$Q543-'Cleaned Data'!$N543</f>
        <v>8</v>
      </c>
      <c r="S543" s="19" t="str">
        <f t="shared" si="17"/>
        <v>Monsoon</v>
      </c>
    </row>
    <row r="544" spans="1:19" x14ac:dyDescent="0.3">
      <c r="A544" s="13" t="s">
        <v>721</v>
      </c>
      <c r="B544" s="13" t="s">
        <v>26</v>
      </c>
      <c r="C544" s="5" t="s">
        <v>32</v>
      </c>
      <c r="D544" s="5" t="s">
        <v>40</v>
      </c>
      <c r="E544" s="5" t="s">
        <v>59</v>
      </c>
      <c r="F544" s="5" t="s">
        <v>64</v>
      </c>
      <c r="G544" s="5" t="s">
        <v>72</v>
      </c>
      <c r="H544" s="38">
        <v>45564.42</v>
      </c>
      <c r="I544" s="14">
        <v>0.15</v>
      </c>
      <c r="J544" s="38">
        <v>38729.756999999998</v>
      </c>
      <c r="K544" s="5">
        <v>5</v>
      </c>
      <c r="L544" s="62">
        <f>Table1[[#This Row],[Final_Unit_Price]]*Table1[[#This Row],[Quantity]]</f>
        <v>193648.78499999997</v>
      </c>
      <c r="M544" s="60">
        <v>67777.070000000007</v>
      </c>
      <c r="N544" s="43">
        <v>45413</v>
      </c>
      <c r="O544" s="18" t="str">
        <f>TEXT(Table1[[#This Row],[Order_Date]],"mmm")</f>
        <v>May</v>
      </c>
      <c r="P544" s="18">
        <f t="shared" si="16"/>
        <v>2024</v>
      </c>
      <c r="Q544" s="45">
        <v>45420</v>
      </c>
      <c r="R544" s="19">
        <f>'Cleaned Data'!$Q544-'Cleaned Data'!$N544</f>
        <v>7</v>
      </c>
      <c r="S544" s="19" t="str">
        <f t="shared" si="17"/>
        <v>Summer</v>
      </c>
    </row>
    <row r="545" spans="1:19" x14ac:dyDescent="0.3">
      <c r="A545" s="11" t="s">
        <v>722</v>
      </c>
      <c r="B545" s="11" t="s">
        <v>16</v>
      </c>
      <c r="C545" s="3" t="s">
        <v>31</v>
      </c>
      <c r="D545" s="3" t="s">
        <v>47</v>
      </c>
      <c r="E545" s="3" t="s">
        <v>59</v>
      </c>
      <c r="F545" s="3" t="s">
        <v>62</v>
      </c>
      <c r="G545" s="3" t="s">
        <v>67</v>
      </c>
      <c r="H545" s="37">
        <v>3021</v>
      </c>
      <c r="I545" s="12">
        <v>0.25</v>
      </c>
      <c r="J545" s="37">
        <v>2265.75</v>
      </c>
      <c r="K545" s="3">
        <v>3</v>
      </c>
      <c r="L545" s="61">
        <f>Table1[[#This Row],[Final_Unit_Price]]*Table1[[#This Row],[Quantity]]</f>
        <v>6797.25</v>
      </c>
      <c r="M545" s="59">
        <v>2379.04</v>
      </c>
      <c r="N545" s="42">
        <v>45796</v>
      </c>
      <c r="O545" s="20" t="str">
        <f>TEXT(Table1[[#This Row],[Order_Date]],"mmm")</f>
        <v>May</v>
      </c>
      <c r="P545" s="20">
        <f t="shared" si="16"/>
        <v>2025</v>
      </c>
      <c r="Q545" s="46">
        <v>45802</v>
      </c>
      <c r="R545" s="20">
        <f>'Cleaned Data'!$Q545-'Cleaned Data'!$N545</f>
        <v>6</v>
      </c>
      <c r="S545" s="19" t="str">
        <f t="shared" si="17"/>
        <v>Summer</v>
      </c>
    </row>
    <row r="546" spans="1:19" x14ac:dyDescent="0.3">
      <c r="A546" s="13" t="s">
        <v>723</v>
      </c>
      <c r="B546" s="13" t="s">
        <v>22</v>
      </c>
      <c r="C546" s="5" t="s">
        <v>31</v>
      </c>
      <c r="D546" s="5" t="s">
        <v>42</v>
      </c>
      <c r="E546" s="5" t="s">
        <v>60</v>
      </c>
      <c r="F546" s="5" t="s">
        <v>64</v>
      </c>
      <c r="G546" s="5" t="s">
        <v>74</v>
      </c>
      <c r="H546" s="38">
        <v>3304.26</v>
      </c>
      <c r="I546" s="14">
        <v>0.2</v>
      </c>
      <c r="J546" s="38">
        <v>2643.4079999999999</v>
      </c>
      <c r="K546" s="5">
        <v>1</v>
      </c>
      <c r="L546" s="62">
        <f>Table1[[#This Row],[Final_Unit_Price]]*Table1[[#This Row],[Quantity]]</f>
        <v>2643.4079999999999</v>
      </c>
      <c r="M546" s="60">
        <v>396.51</v>
      </c>
      <c r="N546" s="43">
        <v>45324</v>
      </c>
      <c r="O546" s="18" t="str">
        <f>TEXT(Table1[[#This Row],[Order_Date]],"mmm")</f>
        <v>Feb</v>
      </c>
      <c r="P546" s="18">
        <f t="shared" si="16"/>
        <v>2024</v>
      </c>
      <c r="Q546" s="45">
        <v>45331</v>
      </c>
      <c r="R546" s="19">
        <f>'Cleaned Data'!$Q546-'Cleaned Data'!$N546</f>
        <v>7</v>
      </c>
      <c r="S546" s="19" t="str">
        <f t="shared" si="17"/>
        <v>Summer</v>
      </c>
    </row>
    <row r="547" spans="1:19" x14ac:dyDescent="0.3">
      <c r="A547" s="11" t="s">
        <v>724</v>
      </c>
      <c r="B547" s="11" t="s">
        <v>20</v>
      </c>
      <c r="C547" s="3" t="s">
        <v>32</v>
      </c>
      <c r="D547" s="3" t="s">
        <v>43</v>
      </c>
      <c r="E547" s="3" t="s">
        <v>58</v>
      </c>
      <c r="F547" s="3" t="s">
        <v>63</v>
      </c>
      <c r="G547" s="3" t="s">
        <v>73</v>
      </c>
      <c r="H547" s="37">
        <v>27218.59</v>
      </c>
      <c r="I547" s="12">
        <v>0.05</v>
      </c>
      <c r="J547" s="37">
        <v>25857.660500000002</v>
      </c>
      <c r="K547" s="3">
        <v>1</v>
      </c>
      <c r="L547" s="61">
        <f>Table1[[#This Row],[Final_Unit_Price]]*Table1[[#This Row],[Quantity]]</f>
        <v>25857.660500000002</v>
      </c>
      <c r="M547" s="59">
        <v>6464.41</v>
      </c>
      <c r="N547" s="42">
        <v>45514</v>
      </c>
      <c r="O547" s="20" t="str">
        <f>TEXT(Table1[[#This Row],[Order_Date]],"mmm")</f>
        <v>Aug</v>
      </c>
      <c r="P547" s="20">
        <f t="shared" si="16"/>
        <v>2024</v>
      </c>
      <c r="Q547" s="46">
        <v>45521</v>
      </c>
      <c r="R547" s="20">
        <f>'Cleaned Data'!$Q547-'Cleaned Data'!$N547</f>
        <v>7</v>
      </c>
      <c r="S547" s="19" t="str">
        <f t="shared" si="17"/>
        <v>Monsoon</v>
      </c>
    </row>
    <row r="548" spans="1:19" x14ac:dyDescent="0.3">
      <c r="A548" s="13" t="s">
        <v>725</v>
      </c>
      <c r="B548" s="13" t="s">
        <v>29</v>
      </c>
      <c r="C548" s="5" t="s">
        <v>35</v>
      </c>
      <c r="D548" s="5" t="s">
        <v>38</v>
      </c>
      <c r="E548" s="5" t="s">
        <v>59</v>
      </c>
      <c r="F548" s="5" t="s">
        <v>64</v>
      </c>
      <c r="G548" s="5" t="s">
        <v>74</v>
      </c>
      <c r="H548" s="38">
        <v>24100.400000000001</v>
      </c>
      <c r="I548" s="14">
        <v>0.15</v>
      </c>
      <c r="J548" s="38">
        <v>20485.34</v>
      </c>
      <c r="K548" s="5">
        <v>5</v>
      </c>
      <c r="L548" s="62">
        <f>Table1[[#This Row],[Final_Unit_Price]]*Table1[[#This Row],[Quantity]]</f>
        <v>102426.7</v>
      </c>
      <c r="M548" s="60">
        <v>35849.339999999997</v>
      </c>
      <c r="N548" s="43">
        <v>45307</v>
      </c>
      <c r="O548" s="18" t="str">
        <f>TEXT(Table1[[#This Row],[Order_Date]],"mmm")</f>
        <v>Jan</v>
      </c>
      <c r="P548" s="18">
        <f t="shared" si="16"/>
        <v>2024</v>
      </c>
      <c r="Q548" s="45">
        <v>45312</v>
      </c>
      <c r="R548" s="19">
        <f>'Cleaned Data'!$Q548-'Cleaned Data'!$N548</f>
        <v>5</v>
      </c>
      <c r="S548" s="19" t="str">
        <f t="shared" si="17"/>
        <v>Winter</v>
      </c>
    </row>
    <row r="549" spans="1:19" x14ac:dyDescent="0.3">
      <c r="A549" s="11" t="s">
        <v>726</v>
      </c>
      <c r="B549" s="11" t="s">
        <v>22</v>
      </c>
      <c r="C549" s="3" t="s">
        <v>31</v>
      </c>
      <c r="D549" s="3" t="s">
        <v>47</v>
      </c>
      <c r="E549" s="3" t="s">
        <v>59</v>
      </c>
      <c r="F549" s="3" t="s">
        <v>64</v>
      </c>
      <c r="G549" s="3" t="s">
        <v>72</v>
      </c>
      <c r="H549" s="37">
        <v>4756.07</v>
      </c>
      <c r="I549" s="12">
        <v>0.3</v>
      </c>
      <c r="J549" s="37">
        <v>3329.2489999999998</v>
      </c>
      <c r="K549" s="3">
        <v>1</v>
      </c>
      <c r="L549" s="61">
        <f>Table1[[#This Row],[Final_Unit_Price]]*Table1[[#This Row],[Quantity]]</f>
        <v>3329.2489999999998</v>
      </c>
      <c r="M549" s="59">
        <v>1165.24</v>
      </c>
      <c r="N549" s="42">
        <v>45349</v>
      </c>
      <c r="O549" s="20" t="str">
        <f>TEXT(Table1[[#This Row],[Order_Date]],"mmm")</f>
        <v>Feb</v>
      </c>
      <c r="P549" s="20">
        <f t="shared" si="16"/>
        <v>2024</v>
      </c>
      <c r="Q549" s="46">
        <v>45355</v>
      </c>
      <c r="R549" s="20">
        <f>'Cleaned Data'!$Q549-'Cleaned Data'!$N549</f>
        <v>6</v>
      </c>
      <c r="S549" s="19" t="str">
        <f t="shared" si="17"/>
        <v>Summer</v>
      </c>
    </row>
    <row r="550" spans="1:19" x14ac:dyDescent="0.3">
      <c r="A550" s="13" t="s">
        <v>727</v>
      </c>
      <c r="B550" s="13" t="s">
        <v>23</v>
      </c>
      <c r="C550" s="5" t="s">
        <v>35</v>
      </c>
      <c r="D550" s="5" t="s">
        <v>38</v>
      </c>
      <c r="E550" s="5" t="s">
        <v>59</v>
      </c>
      <c r="F550" s="5" t="s">
        <v>61</v>
      </c>
      <c r="G550" s="5" t="s">
        <v>65</v>
      </c>
      <c r="H550" s="38">
        <v>29705.96</v>
      </c>
      <c r="I550" s="14">
        <v>0.3</v>
      </c>
      <c r="J550" s="38">
        <v>20794.171999999999</v>
      </c>
      <c r="K550" s="5">
        <v>3</v>
      </c>
      <c r="L550" s="62">
        <f>Table1[[#This Row],[Final_Unit_Price]]*Table1[[#This Row],[Quantity]]</f>
        <v>62382.515999999996</v>
      </c>
      <c r="M550" s="60">
        <v>21833.88</v>
      </c>
      <c r="N550" s="43">
        <v>45416</v>
      </c>
      <c r="O550" s="18" t="str">
        <f>TEXT(Table1[[#This Row],[Order_Date]],"mmm")</f>
        <v>May</v>
      </c>
      <c r="P550" s="18">
        <f t="shared" si="16"/>
        <v>2024</v>
      </c>
      <c r="Q550" s="45">
        <v>45420</v>
      </c>
      <c r="R550" s="19">
        <f>'Cleaned Data'!$Q550-'Cleaned Data'!$N550</f>
        <v>4</v>
      </c>
      <c r="S550" s="19" t="str">
        <f t="shared" si="17"/>
        <v>Summer</v>
      </c>
    </row>
    <row r="551" spans="1:19" x14ac:dyDescent="0.3">
      <c r="A551" s="11" t="s">
        <v>728</v>
      </c>
      <c r="B551" s="11" t="s">
        <v>30</v>
      </c>
      <c r="C551" s="3" t="s">
        <v>33</v>
      </c>
      <c r="D551" s="3" t="s">
        <v>50</v>
      </c>
      <c r="E551" s="3" t="s">
        <v>59</v>
      </c>
      <c r="F551" s="3" t="s">
        <v>63</v>
      </c>
      <c r="G551" s="3" t="s">
        <v>68</v>
      </c>
      <c r="H551" s="37">
        <v>17330.97</v>
      </c>
      <c r="I551" s="12">
        <v>0.3</v>
      </c>
      <c r="J551" s="37">
        <v>12131.679</v>
      </c>
      <c r="K551" s="3">
        <v>1</v>
      </c>
      <c r="L551" s="61">
        <f>Table1[[#This Row],[Final_Unit_Price]]*Table1[[#This Row],[Quantity]]</f>
        <v>12131.679</v>
      </c>
      <c r="M551" s="59">
        <v>4246.09</v>
      </c>
      <c r="N551" s="42">
        <v>45470</v>
      </c>
      <c r="O551" s="20" t="str">
        <f>TEXT(Table1[[#This Row],[Order_Date]],"mmm")</f>
        <v>Jun</v>
      </c>
      <c r="P551" s="20">
        <f t="shared" si="16"/>
        <v>2024</v>
      </c>
      <c r="Q551" s="46">
        <v>45478</v>
      </c>
      <c r="R551" s="20">
        <f>'Cleaned Data'!$Q551-'Cleaned Data'!$N551</f>
        <v>8</v>
      </c>
      <c r="S551" s="19" t="str">
        <f t="shared" si="17"/>
        <v>Monsoon</v>
      </c>
    </row>
    <row r="552" spans="1:19" x14ac:dyDescent="0.3">
      <c r="A552" s="13" t="s">
        <v>729</v>
      </c>
      <c r="B552" s="13" t="s">
        <v>16</v>
      </c>
      <c r="C552" s="5" t="s">
        <v>31</v>
      </c>
      <c r="D552" s="5" t="s">
        <v>42</v>
      </c>
      <c r="E552" s="5" t="s">
        <v>60</v>
      </c>
      <c r="F552" s="5" t="s">
        <v>61</v>
      </c>
      <c r="G552" s="5" t="s">
        <v>71</v>
      </c>
      <c r="H552" s="38">
        <v>2003.27</v>
      </c>
      <c r="I552" s="14">
        <v>0.15</v>
      </c>
      <c r="J552" s="38">
        <v>1702.7795000000001</v>
      </c>
      <c r="K552" s="5">
        <v>2</v>
      </c>
      <c r="L552" s="62">
        <f>Table1[[#This Row],[Final_Unit_Price]]*Table1[[#This Row],[Quantity]]</f>
        <v>3405.5590000000002</v>
      </c>
      <c r="M552" s="60">
        <v>510.83</v>
      </c>
      <c r="N552" s="43">
        <v>45841</v>
      </c>
      <c r="O552" s="18" t="str">
        <f>TEXT(Table1[[#This Row],[Order_Date]],"mmm")</f>
        <v>Jul</v>
      </c>
      <c r="P552" s="18">
        <f t="shared" si="16"/>
        <v>2025</v>
      </c>
      <c r="Q552" s="45">
        <v>45847</v>
      </c>
      <c r="R552" s="19">
        <f>'Cleaned Data'!$Q552-'Cleaned Data'!$N552</f>
        <v>6</v>
      </c>
      <c r="S552" s="19" t="str">
        <f t="shared" si="17"/>
        <v>Monsoon</v>
      </c>
    </row>
    <row r="553" spans="1:19" x14ac:dyDescent="0.3">
      <c r="A553" s="11" t="s">
        <v>730</v>
      </c>
      <c r="B553" s="11" t="s">
        <v>30</v>
      </c>
      <c r="C553" s="3" t="s">
        <v>33</v>
      </c>
      <c r="D553" s="3" t="s">
        <v>39</v>
      </c>
      <c r="E553" s="3" t="s">
        <v>58</v>
      </c>
      <c r="F553" s="3" t="s">
        <v>64</v>
      </c>
      <c r="G553" s="3" t="s">
        <v>72</v>
      </c>
      <c r="H553" s="37">
        <v>16783.41</v>
      </c>
      <c r="I553" s="12">
        <v>0.1</v>
      </c>
      <c r="J553" s="37">
        <v>15105.069</v>
      </c>
      <c r="K553" s="3">
        <v>1</v>
      </c>
      <c r="L553" s="61">
        <f>Table1[[#This Row],[Final_Unit_Price]]*Table1[[#This Row],[Quantity]]</f>
        <v>15105.069</v>
      </c>
      <c r="M553" s="59">
        <v>3776.27</v>
      </c>
      <c r="N553" s="42">
        <v>45342</v>
      </c>
      <c r="O553" s="20" t="str">
        <f>TEXT(Table1[[#This Row],[Order_Date]],"mmm")</f>
        <v>Feb</v>
      </c>
      <c r="P553" s="20">
        <f t="shared" si="16"/>
        <v>2024</v>
      </c>
      <c r="Q553" s="46">
        <v>45350</v>
      </c>
      <c r="R553" s="20">
        <f>'Cleaned Data'!$Q553-'Cleaned Data'!$N553</f>
        <v>8</v>
      </c>
      <c r="S553" s="19" t="str">
        <f t="shared" si="17"/>
        <v>Summer</v>
      </c>
    </row>
    <row r="554" spans="1:19" x14ac:dyDescent="0.3">
      <c r="A554" s="13" t="s">
        <v>731</v>
      </c>
      <c r="B554" s="13" t="s">
        <v>20</v>
      </c>
      <c r="C554" s="5" t="s">
        <v>32</v>
      </c>
      <c r="D554" s="5" t="s">
        <v>40</v>
      </c>
      <c r="E554" s="5" t="s">
        <v>59</v>
      </c>
      <c r="F554" s="5" t="s">
        <v>64</v>
      </c>
      <c r="G554" s="5" t="s">
        <v>76</v>
      </c>
      <c r="H554" s="38">
        <v>38712.31</v>
      </c>
      <c r="I554" s="14">
        <v>0.1</v>
      </c>
      <c r="J554" s="38">
        <v>34841.078999999998</v>
      </c>
      <c r="K554" s="5">
        <v>4</v>
      </c>
      <c r="L554" s="62">
        <f>Table1[[#This Row],[Final_Unit_Price]]*Table1[[#This Row],[Quantity]]</f>
        <v>139364.31599999999</v>
      </c>
      <c r="M554" s="60">
        <v>48777.51</v>
      </c>
      <c r="N554" s="43">
        <v>45591</v>
      </c>
      <c r="O554" s="18" t="str">
        <f>TEXT(Table1[[#This Row],[Order_Date]],"mmm")</f>
        <v>Oct</v>
      </c>
      <c r="P554" s="18">
        <f t="shared" si="16"/>
        <v>2024</v>
      </c>
      <c r="Q554" s="45">
        <v>45601</v>
      </c>
      <c r="R554" s="19">
        <f>'Cleaned Data'!$Q554-'Cleaned Data'!$N554</f>
        <v>10</v>
      </c>
      <c r="S554" s="19" t="str">
        <f t="shared" si="17"/>
        <v>Winter</v>
      </c>
    </row>
    <row r="555" spans="1:19" x14ac:dyDescent="0.3">
      <c r="A555" s="11" t="s">
        <v>732</v>
      </c>
      <c r="B555" s="11" t="s">
        <v>25</v>
      </c>
      <c r="C555" s="3" t="s">
        <v>34</v>
      </c>
      <c r="D555" s="3" t="s">
        <v>41</v>
      </c>
      <c r="E555" s="3" t="s">
        <v>60</v>
      </c>
      <c r="F555" s="3" t="s">
        <v>63</v>
      </c>
      <c r="G555" s="3" t="s">
        <v>73</v>
      </c>
      <c r="H555" s="37">
        <v>627.07000000000005</v>
      </c>
      <c r="I555" s="12">
        <v>0</v>
      </c>
      <c r="J555" s="37">
        <v>627.07000000000005</v>
      </c>
      <c r="K555" s="3">
        <v>5</v>
      </c>
      <c r="L555" s="61">
        <f>Table1[[#This Row],[Final_Unit_Price]]*Table1[[#This Row],[Quantity]]</f>
        <v>3135.3500000000004</v>
      </c>
      <c r="M555" s="59">
        <v>470.3</v>
      </c>
      <c r="N555" s="42">
        <v>45832</v>
      </c>
      <c r="O555" s="20" t="str">
        <f>TEXT(Table1[[#This Row],[Order_Date]],"mmm")</f>
        <v>Jun</v>
      </c>
      <c r="P555" s="20">
        <f t="shared" si="16"/>
        <v>2025</v>
      </c>
      <c r="Q555" s="46">
        <v>45838</v>
      </c>
      <c r="R555" s="20">
        <f>'Cleaned Data'!$Q555-'Cleaned Data'!$N555</f>
        <v>6</v>
      </c>
      <c r="S555" s="19" t="str">
        <f t="shared" si="17"/>
        <v>Monsoon</v>
      </c>
    </row>
    <row r="556" spans="1:19" x14ac:dyDescent="0.3">
      <c r="A556" s="13" t="s">
        <v>733</v>
      </c>
      <c r="B556" s="13" t="s">
        <v>23</v>
      </c>
      <c r="C556" s="5" t="s">
        <v>35</v>
      </c>
      <c r="D556" s="5" t="s">
        <v>38</v>
      </c>
      <c r="E556" s="5" t="s">
        <v>59</v>
      </c>
      <c r="F556" s="5" t="s">
        <v>63</v>
      </c>
      <c r="G556" s="5" t="s">
        <v>68</v>
      </c>
      <c r="H556" s="38">
        <v>27496.91</v>
      </c>
      <c r="I556" s="14">
        <v>0.05</v>
      </c>
      <c r="J556" s="38">
        <v>26122.0645</v>
      </c>
      <c r="K556" s="5">
        <v>1</v>
      </c>
      <c r="L556" s="62">
        <f>Table1[[#This Row],[Final_Unit_Price]]*Table1[[#This Row],[Quantity]]</f>
        <v>26122.0645</v>
      </c>
      <c r="M556" s="60">
        <v>9142.7199999999993</v>
      </c>
      <c r="N556" s="43">
        <v>45700</v>
      </c>
      <c r="O556" s="18" t="str">
        <f>TEXT(Table1[[#This Row],[Order_Date]],"mmm")</f>
        <v>Feb</v>
      </c>
      <c r="P556" s="18">
        <f t="shared" si="16"/>
        <v>2025</v>
      </c>
      <c r="Q556" s="45">
        <v>45702</v>
      </c>
      <c r="R556" s="19">
        <f>'Cleaned Data'!$Q556-'Cleaned Data'!$N556</f>
        <v>2</v>
      </c>
      <c r="S556" s="19" t="str">
        <f t="shared" si="17"/>
        <v>Summer</v>
      </c>
    </row>
    <row r="557" spans="1:19" x14ac:dyDescent="0.3">
      <c r="A557" s="11" t="s">
        <v>734</v>
      </c>
      <c r="B557" s="11" t="s">
        <v>29</v>
      </c>
      <c r="C557" s="3" t="s">
        <v>35</v>
      </c>
      <c r="D557" s="3" t="s">
        <v>44</v>
      </c>
      <c r="E557" s="3" t="s">
        <v>60</v>
      </c>
      <c r="F557" s="3" t="s">
        <v>64</v>
      </c>
      <c r="G557" s="3" t="s">
        <v>72</v>
      </c>
      <c r="H557" s="37">
        <v>16966.18</v>
      </c>
      <c r="I557" s="12">
        <v>0.1</v>
      </c>
      <c r="J557" s="37">
        <v>15269.562</v>
      </c>
      <c r="K557" s="3">
        <v>2</v>
      </c>
      <c r="L557" s="61">
        <f>Table1[[#This Row],[Final_Unit_Price]]*Table1[[#This Row],[Quantity]]</f>
        <v>30539.124</v>
      </c>
      <c r="M557" s="59">
        <v>4580.87</v>
      </c>
      <c r="N557" s="42">
        <v>45774</v>
      </c>
      <c r="O557" s="20" t="str">
        <f>TEXT(Table1[[#This Row],[Order_Date]],"mmm")</f>
        <v>Apr</v>
      </c>
      <c r="P557" s="20">
        <f t="shared" si="16"/>
        <v>2025</v>
      </c>
      <c r="Q557" s="46">
        <v>45781</v>
      </c>
      <c r="R557" s="20">
        <f>'Cleaned Data'!$Q557-'Cleaned Data'!$N557</f>
        <v>7</v>
      </c>
      <c r="S557" s="19" t="str">
        <f t="shared" si="17"/>
        <v>Summer</v>
      </c>
    </row>
    <row r="558" spans="1:19" x14ac:dyDescent="0.3">
      <c r="A558" s="13" t="s">
        <v>735</v>
      </c>
      <c r="B558" s="13" t="s">
        <v>16</v>
      </c>
      <c r="C558" s="5" t="s">
        <v>31</v>
      </c>
      <c r="D558" s="5" t="s">
        <v>47</v>
      </c>
      <c r="E558" s="5" t="s">
        <v>59</v>
      </c>
      <c r="F558" s="5" t="s">
        <v>62</v>
      </c>
      <c r="G558" s="5" t="s">
        <v>67</v>
      </c>
      <c r="H558" s="38">
        <v>3082.65</v>
      </c>
      <c r="I558" s="14">
        <v>0.1</v>
      </c>
      <c r="J558" s="38">
        <v>2774.3850000000002</v>
      </c>
      <c r="K558" s="5">
        <v>3</v>
      </c>
      <c r="L558" s="62">
        <f>Table1[[#This Row],[Final_Unit_Price]]*Table1[[#This Row],[Quantity]]</f>
        <v>8323.1550000000007</v>
      </c>
      <c r="M558" s="60">
        <v>2913.11</v>
      </c>
      <c r="N558" s="43">
        <v>45626</v>
      </c>
      <c r="O558" s="18" t="str">
        <f>TEXT(Table1[[#This Row],[Order_Date]],"mmm")</f>
        <v>Nov</v>
      </c>
      <c r="P558" s="18">
        <f t="shared" si="16"/>
        <v>2024</v>
      </c>
      <c r="Q558" s="45">
        <v>45635</v>
      </c>
      <c r="R558" s="19">
        <f>'Cleaned Data'!$Q558-'Cleaned Data'!$N558</f>
        <v>9</v>
      </c>
      <c r="S558" s="19" t="str">
        <f t="shared" si="17"/>
        <v>Winter</v>
      </c>
    </row>
    <row r="559" spans="1:19" x14ac:dyDescent="0.3">
      <c r="A559" s="11" t="s">
        <v>736</v>
      </c>
      <c r="B559" s="11" t="s">
        <v>26</v>
      </c>
      <c r="C559" s="3" t="s">
        <v>32</v>
      </c>
      <c r="D559" s="3" t="s">
        <v>40</v>
      </c>
      <c r="E559" s="3" t="s">
        <v>59</v>
      </c>
      <c r="F559" s="3" t="s">
        <v>63</v>
      </c>
      <c r="G559" s="3" t="s">
        <v>68</v>
      </c>
      <c r="H559" s="37">
        <v>39923.08</v>
      </c>
      <c r="I559" s="12">
        <v>0.15</v>
      </c>
      <c r="J559" s="37">
        <v>33934.618000000002</v>
      </c>
      <c r="K559" s="3">
        <v>5</v>
      </c>
      <c r="L559" s="61">
        <f>Table1[[#This Row],[Final_Unit_Price]]*Table1[[#This Row],[Quantity]]</f>
        <v>169673.09000000003</v>
      </c>
      <c r="M559" s="59">
        <v>59385.58</v>
      </c>
      <c r="N559" s="42">
        <v>45813</v>
      </c>
      <c r="O559" s="20" t="str">
        <f>TEXT(Table1[[#This Row],[Order_Date]],"mmm")</f>
        <v>Jun</v>
      </c>
      <c r="P559" s="20">
        <f t="shared" si="16"/>
        <v>2025</v>
      </c>
      <c r="Q559" s="46">
        <v>45820</v>
      </c>
      <c r="R559" s="20">
        <f>'Cleaned Data'!$Q559-'Cleaned Data'!$N559</f>
        <v>7</v>
      </c>
      <c r="S559" s="19" t="str">
        <f t="shared" si="17"/>
        <v>Monsoon</v>
      </c>
    </row>
    <row r="560" spans="1:19" x14ac:dyDescent="0.3">
      <c r="A560" s="13" t="s">
        <v>737</v>
      </c>
      <c r="B560" s="13" t="s">
        <v>26</v>
      </c>
      <c r="C560" s="5" t="s">
        <v>32</v>
      </c>
      <c r="D560" s="5" t="s">
        <v>54</v>
      </c>
      <c r="E560" s="5" t="s">
        <v>60</v>
      </c>
      <c r="F560" s="5" t="s">
        <v>61</v>
      </c>
      <c r="G560" s="5" t="s">
        <v>65</v>
      </c>
      <c r="H560" s="38">
        <v>28418.32</v>
      </c>
      <c r="I560" s="14">
        <v>0</v>
      </c>
      <c r="J560" s="38">
        <v>28418.32</v>
      </c>
      <c r="K560" s="5">
        <v>4</v>
      </c>
      <c r="L560" s="62">
        <f>Table1[[#This Row],[Final_Unit_Price]]*Table1[[#This Row],[Quantity]]</f>
        <v>113673.28</v>
      </c>
      <c r="M560" s="60">
        <v>17050.990000000002</v>
      </c>
      <c r="N560" s="43">
        <v>45475</v>
      </c>
      <c r="O560" s="18" t="str">
        <f>TEXT(Table1[[#This Row],[Order_Date]],"mmm")</f>
        <v>Jul</v>
      </c>
      <c r="P560" s="18">
        <f t="shared" si="16"/>
        <v>2024</v>
      </c>
      <c r="Q560" s="45">
        <v>45481</v>
      </c>
      <c r="R560" s="19">
        <f>'Cleaned Data'!$Q560-'Cleaned Data'!$N560</f>
        <v>6</v>
      </c>
      <c r="S560" s="19" t="str">
        <f t="shared" si="17"/>
        <v>Monsoon</v>
      </c>
    </row>
    <row r="561" spans="1:19" x14ac:dyDescent="0.3">
      <c r="A561" s="11" t="s">
        <v>738</v>
      </c>
      <c r="B561" s="11" t="s">
        <v>17</v>
      </c>
      <c r="C561" s="3" t="s">
        <v>32</v>
      </c>
      <c r="D561" s="3" t="s">
        <v>54</v>
      </c>
      <c r="E561" s="3" t="s">
        <v>60</v>
      </c>
      <c r="F561" s="3" t="s">
        <v>62</v>
      </c>
      <c r="G561" s="3" t="s">
        <v>69</v>
      </c>
      <c r="H561" s="37">
        <v>6914.96</v>
      </c>
      <c r="I561" s="12">
        <v>0.2</v>
      </c>
      <c r="J561" s="37">
        <v>5531.9680000000008</v>
      </c>
      <c r="K561" s="3">
        <v>5</v>
      </c>
      <c r="L561" s="61">
        <f>Table1[[#This Row],[Final_Unit_Price]]*Table1[[#This Row],[Quantity]]</f>
        <v>27659.840000000004</v>
      </c>
      <c r="M561" s="59">
        <v>4148.9799999999996</v>
      </c>
      <c r="N561" s="42">
        <v>45554</v>
      </c>
      <c r="O561" s="20" t="str">
        <f>TEXT(Table1[[#This Row],[Order_Date]],"mmm")</f>
        <v>Sep</v>
      </c>
      <c r="P561" s="20">
        <f t="shared" si="16"/>
        <v>2024</v>
      </c>
      <c r="Q561" s="46">
        <v>45557</v>
      </c>
      <c r="R561" s="20">
        <f>'Cleaned Data'!$Q561-'Cleaned Data'!$N561</f>
        <v>3</v>
      </c>
      <c r="S561" s="19" t="str">
        <f t="shared" si="17"/>
        <v>Monsoon</v>
      </c>
    </row>
    <row r="562" spans="1:19" x14ac:dyDescent="0.3">
      <c r="A562" s="13" t="s">
        <v>739</v>
      </c>
      <c r="B562" s="13" t="s">
        <v>24</v>
      </c>
      <c r="C562" s="5" t="s">
        <v>32</v>
      </c>
      <c r="D562" s="5" t="s">
        <v>54</v>
      </c>
      <c r="E562" s="5" t="s">
        <v>60</v>
      </c>
      <c r="F562" s="5" t="s">
        <v>62</v>
      </c>
      <c r="G562" s="5" t="s">
        <v>67</v>
      </c>
      <c r="H562" s="38">
        <v>22645.17</v>
      </c>
      <c r="I562" s="14">
        <v>0.15</v>
      </c>
      <c r="J562" s="38">
        <v>19248.394499999999</v>
      </c>
      <c r="K562" s="5">
        <v>1</v>
      </c>
      <c r="L562" s="62">
        <f>Table1[[#This Row],[Final_Unit_Price]]*Table1[[#This Row],[Quantity]]</f>
        <v>19248.394499999999</v>
      </c>
      <c r="M562" s="60">
        <v>2887.26</v>
      </c>
      <c r="N562" s="43">
        <v>45461</v>
      </c>
      <c r="O562" s="18" t="str">
        <f>TEXT(Table1[[#This Row],[Order_Date]],"mmm")</f>
        <v>Jun</v>
      </c>
      <c r="P562" s="18">
        <f t="shared" si="16"/>
        <v>2024</v>
      </c>
      <c r="Q562" s="45">
        <v>45465</v>
      </c>
      <c r="R562" s="19">
        <f>'Cleaned Data'!$Q562-'Cleaned Data'!$N562</f>
        <v>4</v>
      </c>
      <c r="S562" s="19" t="str">
        <f t="shared" si="17"/>
        <v>Monsoon</v>
      </c>
    </row>
    <row r="563" spans="1:19" x14ac:dyDescent="0.3">
      <c r="A563" s="11" t="s">
        <v>740</v>
      </c>
      <c r="B563" s="11" t="s">
        <v>17</v>
      </c>
      <c r="C563" s="3" t="s">
        <v>32</v>
      </c>
      <c r="D563" s="3" t="s">
        <v>37</v>
      </c>
      <c r="E563" s="3" t="s">
        <v>59</v>
      </c>
      <c r="F563" s="3" t="s">
        <v>63</v>
      </c>
      <c r="G563" s="3" t="s">
        <v>73</v>
      </c>
      <c r="H563" s="37">
        <v>9108.09</v>
      </c>
      <c r="I563" s="12">
        <v>0.3</v>
      </c>
      <c r="J563" s="37">
        <v>6375.6629999999996</v>
      </c>
      <c r="K563" s="3">
        <v>5</v>
      </c>
      <c r="L563" s="61">
        <f>Table1[[#This Row],[Final_Unit_Price]]*Table1[[#This Row],[Quantity]]</f>
        <v>31878.314999999999</v>
      </c>
      <c r="M563" s="59">
        <v>11157.41</v>
      </c>
      <c r="N563" s="42">
        <v>45704</v>
      </c>
      <c r="O563" s="20" t="str">
        <f>TEXT(Table1[[#This Row],[Order_Date]],"mmm")</f>
        <v>Feb</v>
      </c>
      <c r="P563" s="20">
        <f t="shared" si="16"/>
        <v>2025</v>
      </c>
      <c r="Q563" s="46">
        <v>45709</v>
      </c>
      <c r="R563" s="20">
        <f>'Cleaned Data'!$Q563-'Cleaned Data'!$N563</f>
        <v>5</v>
      </c>
      <c r="S563" s="19" t="str">
        <f t="shared" si="17"/>
        <v>Summer</v>
      </c>
    </row>
    <row r="564" spans="1:19" x14ac:dyDescent="0.3">
      <c r="A564" s="13" t="s">
        <v>741</v>
      </c>
      <c r="B564" s="13" t="s">
        <v>25</v>
      </c>
      <c r="C564" s="5" t="s">
        <v>34</v>
      </c>
      <c r="D564" s="5" t="s">
        <v>45</v>
      </c>
      <c r="E564" s="5" t="s">
        <v>59</v>
      </c>
      <c r="F564" s="5" t="s">
        <v>62</v>
      </c>
      <c r="G564" s="5" t="s">
        <v>67</v>
      </c>
      <c r="H564" s="38">
        <v>976.07</v>
      </c>
      <c r="I564" s="14">
        <v>0.05</v>
      </c>
      <c r="J564" s="38">
        <v>927.26649999999995</v>
      </c>
      <c r="K564" s="5">
        <v>3</v>
      </c>
      <c r="L564" s="62">
        <f>Table1[[#This Row],[Final_Unit_Price]]*Table1[[#This Row],[Quantity]]</f>
        <v>2781.7995000000001</v>
      </c>
      <c r="M564" s="60">
        <v>973.63</v>
      </c>
      <c r="N564" s="43">
        <v>45845</v>
      </c>
      <c r="O564" s="18" t="str">
        <f>TEXT(Table1[[#This Row],[Order_Date]],"mmm")</f>
        <v>Jul</v>
      </c>
      <c r="P564" s="18">
        <f t="shared" si="16"/>
        <v>2025</v>
      </c>
      <c r="Q564" s="45">
        <v>45853</v>
      </c>
      <c r="R564" s="19">
        <f>'Cleaned Data'!$Q564-'Cleaned Data'!$N564</f>
        <v>8</v>
      </c>
      <c r="S564" s="19" t="str">
        <f t="shared" si="17"/>
        <v>Monsoon</v>
      </c>
    </row>
    <row r="565" spans="1:19" x14ac:dyDescent="0.3">
      <c r="A565" s="11" t="s">
        <v>742</v>
      </c>
      <c r="B565" s="11" t="s">
        <v>25</v>
      </c>
      <c r="C565" s="3" t="s">
        <v>34</v>
      </c>
      <c r="D565" s="3" t="s">
        <v>51</v>
      </c>
      <c r="E565" s="3" t="s">
        <v>59</v>
      </c>
      <c r="F565" s="3" t="s">
        <v>61</v>
      </c>
      <c r="G565" s="3" t="s">
        <v>71</v>
      </c>
      <c r="H565" s="37">
        <v>983.89</v>
      </c>
      <c r="I565" s="12">
        <v>0.3</v>
      </c>
      <c r="J565" s="37">
        <v>688.72299999999996</v>
      </c>
      <c r="K565" s="3">
        <v>3</v>
      </c>
      <c r="L565" s="61">
        <f>Table1[[#This Row],[Final_Unit_Price]]*Table1[[#This Row],[Quantity]]</f>
        <v>2066.1689999999999</v>
      </c>
      <c r="M565" s="59">
        <v>723.16</v>
      </c>
      <c r="N565" s="42">
        <v>45541</v>
      </c>
      <c r="O565" s="20" t="str">
        <f>TEXT(Table1[[#This Row],[Order_Date]],"mmm")</f>
        <v>Sep</v>
      </c>
      <c r="P565" s="20">
        <f t="shared" si="16"/>
        <v>2024</v>
      </c>
      <c r="Q565" s="46">
        <v>45549</v>
      </c>
      <c r="R565" s="20">
        <f>'Cleaned Data'!$Q565-'Cleaned Data'!$N565</f>
        <v>8</v>
      </c>
      <c r="S565" s="19" t="str">
        <f t="shared" si="17"/>
        <v>Monsoon</v>
      </c>
    </row>
    <row r="566" spans="1:19" x14ac:dyDescent="0.3">
      <c r="A566" s="13" t="s">
        <v>743</v>
      </c>
      <c r="B566" s="13" t="s">
        <v>28</v>
      </c>
      <c r="C566" s="5" t="s">
        <v>34</v>
      </c>
      <c r="D566" s="5" t="s">
        <v>51</v>
      </c>
      <c r="E566" s="5" t="s">
        <v>59</v>
      </c>
      <c r="F566" s="5" t="s">
        <v>62</v>
      </c>
      <c r="G566" s="5" t="s">
        <v>67</v>
      </c>
      <c r="H566" s="38">
        <v>1928.84</v>
      </c>
      <c r="I566" s="14">
        <v>0.25</v>
      </c>
      <c r="J566" s="38">
        <v>1446.63</v>
      </c>
      <c r="K566" s="5">
        <v>5</v>
      </c>
      <c r="L566" s="62">
        <f>Table1[[#This Row],[Final_Unit_Price]]*Table1[[#This Row],[Quantity]]</f>
        <v>7233.1500000000005</v>
      </c>
      <c r="M566" s="60">
        <v>2025.28</v>
      </c>
      <c r="N566" s="43">
        <v>45647</v>
      </c>
      <c r="O566" s="18" t="str">
        <f>TEXT(Table1[[#This Row],[Order_Date]],"mmm")</f>
        <v>Dec</v>
      </c>
      <c r="P566" s="18">
        <f t="shared" si="16"/>
        <v>2024</v>
      </c>
      <c r="Q566" s="45">
        <v>45649</v>
      </c>
      <c r="R566" s="19">
        <f>'Cleaned Data'!$Q566-'Cleaned Data'!$N566</f>
        <v>2</v>
      </c>
      <c r="S566" s="19" t="str">
        <f t="shared" si="17"/>
        <v>Winter</v>
      </c>
    </row>
    <row r="567" spans="1:19" x14ac:dyDescent="0.3">
      <c r="A567" s="11" t="s">
        <v>744</v>
      </c>
      <c r="B567" s="11" t="s">
        <v>16</v>
      </c>
      <c r="C567" s="3" t="s">
        <v>31</v>
      </c>
      <c r="D567" s="3" t="s">
        <v>47</v>
      </c>
      <c r="E567" s="3" t="s">
        <v>59</v>
      </c>
      <c r="F567" s="3" t="s">
        <v>62</v>
      </c>
      <c r="G567" s="3" t="s">
        <v>66</v>
      </c>
      <c r="H567" s="37">
        <v>3067.43</v>
      </c>
      <c r="I567" s="12">
        <v>0.2</v>
      </c>
      <c r="J567" s="37">
        <v>2453.944</v>
      </c>
      <c r="K567" s="3">
        <v>3</v>
      </c>
      <c r="L567" s="61">
        <f>Table1[[#This Row],[Final_Unit_Price]]*Table1[[#This Row],[Quantity]]</f>
        <v>7361.8320000000003</v>
      </c>
      <c r="M567" s="59">
        <v>2576.64</v>
      </c>
      <c r="N567" s="42">
        <v>45337</v>
      </c>
      <c r="O567" s="20" t="str">
        <f>TEXT(Table1[[#This Row],[Order_Date]],"mmm")</f>
        <v>Feb</v>
      </c>
      <c r="P567" s="20">
        <f t="shared" si="16"/>
        <v>2024</v>
      </c>
      <c r="Q567" s="46">
        <v>45339</v>
      </c>
      <c r="R567" s="20">
        <f>'Cleaned Data'!$Q567-'Cleaned Data'!$N567</f>
        <v>2</v>
      </c>
      <c r="S567" s="19" t="str">
        <f t="shared" si="17"/>
        <v>Summer</v>
      </c>
    </row>
    <row r="568" spans="1:19" x14ac:dyDescent="0.3">
      <c r="A568" s="13" t="s">
        <v>745</v>
      </c>
      <c r="B568" s="13" t="s">
        <v>22</v>
      </c>
      <c r="C568" s="5" t="s">
        <v>31</v>
      </c>
      <c r="D568" s="5" t="s">
        <v>42</v>
      </c>
      <c r="E568" s="5" t="s">
        <v>60</v>
      </c>
      <c r="F568" s="5" t="s">
        <v>61</v>
      </c>
      <c r="G568" s="5" t="s">
        <v>70</v>
      </c>
      <c r="H568" s="38">
        <v>2968.22</v>
      </c>
      <c r="I568" s="14">
        <v>0.15</v>
      </c>
      <c r="J568" s="38">
        <v>2522.9870000000001</v>
      </c>
      <c r="K568" s="5">
        <v>1</v>
      </c>
      <c r="L568" s="62">
        <f>Table1[[#This Row],[Final_Unit_Price]]*Table1[[#This Row],[Quantity]]</f>
        <v>2522.9870000000001</v>
      </c>
      <c r="M568" s="60">
        <v>378.45</v>
      </c>
      <c r="N568" s="43">
        <v>45747</v>
      </c>
      <c r="O568" s="18" t="str">
        <f>TEXT(Table1[[#This Row],[Order_Date]],"mmm")</f>
        <v>Mar</v>
      </c>
      <c r="P568" s="18">
        <f t="shared" si="16"/>
        <v>2025</v>
      </c>
      <c r="Q568" s="45">
        <v>45757</v>
      </c>
      <c r="R568" s="19">
        <f>'Cleaned Data'!$Q568-'Cleaned Data'!$N568</f>
        <v>10</v>
      </c>
      <c r="S568" s="19" t="str">
        <f t="shared" si="17"/>
        <v>Summer</v>
      </c>
    </row>
    <row r="569" spans="1:19" x14ac:dyDescent="0.3">
      <c r="A569" s="11" t="s">
        <v>746</v>
      </c>
      <c r="B569" s="11" t="s">
        <v>27</v>
      </c>
      <c r="C569" s="3" t="s">
        <v>35</v>
      </c>
      <c r="D569" s="3" t="s">
        <v>44</v>
      </c>
      <c r="E569" s="3" t="s">
        <v>60</v>
      </c>
      <c r="F569" s="3" t="s">
        <v>61</v>
      </c>
      <c r="G569" s="3" t="s">
        <v>71</v>
      </c>
      <c r="H569" s="37">
        <v>6541.07</v>
      </c>
      <c r="I569" s="12">
        <v>0.25</v>
      </c>
      <c r="J569" s="37">
        <v>4905.8024999999998</v>
      </c>
      <c r="K569" s="3">
        <v>3</v>
      </c>
      <c r="L569" s="61">
        <f>Table1[[#This Row],[Final_Unit_Price]]*Table1[[#This Row],[Quantity]]</f>
        <v>14717.407499999999</v>
      </c>
      <c r="M569" s="59">
        <v>2207.61</v>
      </c>
      <c r="N569" s="42">
        <v>45815</v>
      </c>
      <c r="O569" s="20" t="str">
        <f>TEXT(Table1[[#This Row],[Order_Date]],"mmm")</f>
        <v>Jun</v>
      </c>
      <c r="P569" s="20">
        <f t="shared" si="16"/>
        <v>2025</v>
      </c>
      <c r="Q569" s="46">
        <v>45818</v>
      </c>
      <c r="R569" s="20">
        <f>'Cleaned Data'!$Q569-'Cleaned Data'!$N569</f>
        <v>3</v>
      </c>
      <c r="S569" s="19" t="str">
        <f t="shared" si="17"/>
        <v>Monsoon</v>
      </c>
    </row>
    <row r="570" spans="1:19" x14ac:dyDescent="0.3">
      <c r="A570" s="13" t="s">
        <v>747</v>
      </c>
      <c r="B570" s="13" t="s">
        <v>27</v>
      </c>
      <c r="C570" s="5" t="s">
        <v>35</v>
      </c>
      <c r="D570" s="5" t="s">
        <v>38</v>
      </c>
      <c r="E570" s="5" t="s">
        <v>59</v>
      </c>
      <c r="F570" s="5" t="s">
        <v>61</v>
      </c>
      <c r="G570" s="5" t="s">
        <v>65</v>
      </c>
      <c r="H570" s="38">
        <v>9708.2099999999991</v>
      </c>
      <c r="I570" s="14">
        <v>0.15</v>
      </c>
      <c r="J570" s="38">
        <v>8251.9784999999993</v>
      </c>
      <c r="K570" s="5">
        <v>3</v>
      </c>
      <c r="L570" s="62">
        <f>Table1[[#This Row],[Final_Unit_Price]]*Table1[[#This Row],[Quantity]]</f>
        <v>24755.9355</v>
      </c>
      <c r="M570" s="60">
        <v>8664.58</v>
      </c>
      <c r="N570" s="43">
        <v>45612</v>
      </c>
      <c r="O570" s="18" t="str">
        <f>TEXT(Table1[[#This Row],[Order_Date]],"mmm")</f>
        <v>Nov</v>
      </c>
      <c r="P570" s="18">
        <f t="shared" si="16"/>
        <v>2024</v>
      </c>
      <c r="Q570" s="45">
        <v>45615</v>
      </c>
      <c r="R570" s="19">
        <f>'Cleaned Data'!$Q570-'Cleaned Data'!$N570</f>
        <v>3</v>
      </c>
      <c r="S570" s="19" t="str">
        <f t="shared" si="17"/>
        <v>Winter</v>
      </c>
    </row>
    <row r="571" spans="1:19" x14ac:dyDescent="0.3">
      <c r="A571" s="11" t="s">
        <v>748</v>
      </c>
      <c r="B571" s="11" t="s">
        <v>27</v>
      </c>
      <c r="C571" s="3" t="s">
        <v>35</v>
      </c>
      <c r="D571" s="3" t="s">
        <v>46</v>
      </c>
      <c r="E571" s="3" t="s">
        <v>59</v>
      </c>
      <c r="F571" s="3" t="s">
        <v>62</v>
      </c>
      <c r="G571" s="3" t="s">
        <v>67</v>
      </c>
      <c r="H571" s="37">
        <v>9601.94</v>
      </c>
      <c r="I571" s="12">
        <v>0.05</v>
      </c>
      <c r="J571" s="37">
        <v>9121.8430000000008</v>
      </c>
      <c r="K571" s="3">
        <v>4</v>
      </c>
      <c r="L571" s="61">
        <f>Table1[[#This Row],[Final_Unit_Price]]*Table1[[#This Row],[Quantity]]</f>
        <v>36487.372000000003</v>
      </c>
      <c r="M571" s="59">
        <v>12770.58</v>
      </c>
      <c r="N571" s="42">
        <v>45501</v>
      </c>
      <c r="O571" s="20" t="str">
        <f>TEXT(Table1[[#This Row],[Order_Date]],"mmm")</f>
        <v>Jul</v>
      </c>
      <c r="P571" s="20">
        <f t="shared" si="16"/>
        <v>2024</v>
      </c>
      <c r="Q571" s="46">
        <v>45507</v>
      </c>
      <c r="R571" s="20">
        <f>'Cleaned Data'!$Q571-'Cleaned Data'!$N571</f>
        <v>6</v>
      </c>
      <c r="S571" s="19" t="str">
        <f t="shared" si="17"/>
        <v>Monsoon</v>
      </c>
    </row>
    <row r="572" spans="1:19" x14ac:dyDescent="0.3">
      <c r="A572" s="13" t="s">
        <v>749</v>
      </c>
      <c r="B572" s="13" t="s">
        <v>22</v>
      </c>
      <c r="C572" s="5" t="s">
        <v>31</v>
      </c>
      <c r="D572" s="5" t="s">
        <v>42</v>
      </c>
      <c r="E572" s="5" t="s">
        <v>60</v>
      </c>
      <c r="F572" s="5" t="s">
        <v>62</v>
      </c>
      <c r="G572" s="5" t="s">
        <v>67</v>
      </c>
      <c r="H572" s="38">
        <v>3064.87</v>
      </c>
      <c r="I572" s="14">
        <v>0</v>
      </c>
      <c r="J572" s="38">
        <v>3064.87</v>
      </c>
      <c r="K572" s="5">
        <v>4</v>
      </c>
      <c r="L572" s="62">
        <f>Table1[[#This Row],[Final_Unit_Price]]*Table1[[#This Row],[Quantity]]</f>
        <v>12259.48</v>
      </c>
      <c r="M572" s="60">
        <v>1838.92</v>
      </c>
      <c r="N572" s="43">
        <v>45400</v>
      </c>
      <c r="O572" s="18" t="str">
        <f>TEXT(Table1[[#This Row],[Order_Date]],"mmm")</f>
        <v>Apr</v>
      </c>
      <c r="P572" s="18">
        <f t="shared" si="16"/>
        <v>2024</v>
      </c>
      <c r="Q572" s="45">
        <v>45405</v>
      </c>
      <c r="R572" s="19">
        <f>'Cleaned Data'!$Q572-'Cleaned Data'!$N572</f>
        <v>5</v>
      </c>
      <c r="S572" s="19" t="str">
        <f t="shared" si="17"/>
        <v>Summer</v>
      </c>
    </row>
    <row r="573" spans="1:19" x14ac:dyDescent="0.3">
      <c r="A573" s="11" t="s">
        <v>750</v>
      </c>
      <c r="B573" s="11" t="s">
        <v>19</v>
      </c>
      <c r="C573" s="3" t="s">
        <v>33</v>
      </c>
      <c r="D573" s="3" t="s">
        <v>56</v>
      </c>
      <c r="E573" s="3" t="s">
        <v>60</v>
      </c>
      <c r="F573" s="3" t="s">
        <v>64</v>
      </c>
      <c r="G573" s="3" t="s">
        <v>72</v>
      </c>
      <c r="H573" s="37">
        <v>1830.55</v>
      </c>
      <c r="I573" s="12">
        <v>0.2</v>
      </c>
      <c r="J573" s="37">
        <v>1464.44</v>
      </c>
      <c r="K573" s="3">
        <v>5</v>
      </c>
      <c r="L573" s="61">
        <f>Table1[[#This Row],[Final_Unit_Price]]*Table1[[#This Row],[Quantity]]</f>
        <v>7322.2000000000007</v>
      </c>
      <c r="M573" s="59">
        <v>1098.33</v>
      </c>
      <c r="N573" s="42">
        <v>45524</v>
      </c>
      <c r="O573" s="20" t="str">
        <f>TEXT(Table1[[#This Row],[Order_Date]],"mmm")</f>
        <v>Aug</v>
      </c>
      <c r="P573" s="20">
        <f t="shared" si="16"/>
        <v>2024</v>
      </c>
      <c r="Q573" s="46">
        <v>45528</v>
      </c>
      <c r="R573" s="20">
        <f>'Cleaned Data'!$Q573-'Cleaned Data'!$N573</f>
        <v>4</v>
      </c>
      <c r="S573" s="19" t="str">
        <f t="shared" si="17"/>
        <v>Monsoon</v>
      </c>
    </row>
    <row r="574" spans="1:19" x14ac:dyDescent="0.3">
      <c r="A574" s="13" t="s">
        <v>751</v>
      </c>
      <c r="B574" s="13" t="s">
        <v>17</v>
      </c>
      <c r="C574" s="5" t="s">
        <v>32</v>
      </c>
      <c r="D574" s="5" t="s">
        <v>43</v>
      </c>
      <c r="E574" s="5" t="s">
        <v>58</v>
      </c>
      <c r="F574" s="5" t="s">
        <v>63</v>
      </c>
      <c r="G574" s="5" t="s">
        <v>75</v>
      </c>
      <c r="H574" s="38">
        <v>7853.87</v>
      </c>
      <c r="I574" s="14">
        <v>0</v>
      </c>
      <c r="J574" s="38">
        <v>7853.87</v>
      </c>
      <c r="K574" s="5">
        <v>5</v>
      </c>
      <c r="L574" s="62">
        <f>Table1[[#This Row],[Final_Unit_Price]]*Table1[[#This Row],[Quantity]]</f>
        <v>39269.35</v>
      </c>
      <c r="M574" s="60">
        <v>9817.34</v>
      </c>
      <c r="N574" s="43">
        <v>45615</v>
      </c>
      <c r="O574" s="18" t="str">
        <f>TEXT(Table1[[#This Row],[Order_Date]],"mmm")</f>
        <v>Nov</v>
      </c>
      <c r="P574" s="18">
        <f t="shared" si="16"/>
        <v>2024</v>
      </c>
      <c r="Q574" s="45">
        <v>45617</v>
      </c>
      <c r="R574" s="19">
        <f>'Cleaned Data'!$Q574-'Cleaned Data'!$N574</f>
        <v>2</v>
      </c>
      <c r="S574" s="19" t="str">
        <f t="shared" si="17"/>
        <v>Winter</v>
      </c>
    </row>
    <row r="575" spans="1:19" x14ac:dyDescent="0.3">
      <c r="A575" s="11" t="s">
        <v>752</v>
      </c>
      <c r="B575" s="11" t="s">
        <v>18</v>
      </c>
      <c r="C575" s="3" t="s">
        <v>33</v>
      </c>
      <c r="D575" s="3" t="s">
        <v>56</v>
      </c>
      <c r="E575" s="3" t="s">
        <v>60</v>
      </c>
      <c r="F575" s="3" t="s">
        <v>64</v>
      </c>
      <c r="G575" s="3" t="s">
        <v>74</v>
      </c>
      <c r="H575" s="37">
        <v>46253.2</v>
      </c>
      <c r="I575" s="12">
        <v>0.3</v>
      </c>
      <c r="J575" s="37">
        <v>32377.239999999991</v>
      </c>
      <c r="K575" s="3">
        <v>5</v>
      </c>
      <c r="L575" s="61">
        <f>Table1[[#This Row],[Final_Unit_Price]]*Table1[[#This Row],[Quantity]]</f>
        <v>161886.19999999995</v>
      </c>
      <c r="M575" s="59">
        <v>24282.93</v>
      </c>
      <c r="N575" s="42">
        <v>45471</v>
      </c>
      <c r="O575" s="20" t="str">
        <f>TEXT(Table1[[#This Row],[Order_Date]],"mmm")</f>
        <v>Jun</v>
      </c>
      <c r="P575" s="20">
        <f t="shared" si="16"/>
        <v>2024</v>
      </c>
      <c r="Q575" s="46">
        <v>45481</v>
      </c>
      <c r="R575" s="20">
        <f>'Cleaned Data'!$Q575-'Cleaned Data'!$N575</f>
        <v>10</v>
      </c>
      <c r="S575" s="19" t="str">
        <f t="shared" si="17"/>
        <v>Monsoon</v>
      </c>
    </row>
    <row r="576" spans="1:19" x14ac:dyDescent="0.3">
      <c r="A576" s="13" t="s">
        <v>753</v>
      </c>
      <c r="B576" s="13" t="s">
        <v>26</v>
      </c>
      <c r="C576" s="5" t="s">
        <v>32</v>
      </c>
      <c r="D576" s="5" t="s">
        <v>43</v>
      </c>
      <c r="E576" s="5" t="s">
        <v>58</v>
      </c>
      <c r="F576" s="5" t="s">
        <v>64</v>
      </c>
      <c r="G576" s="5" t="s">
        <v>74</v>
      </c>
      <c r="H576" s="38">
        <v>36834.910000000003</v>
      </c>
      <c r="I576" s="14">
        <v>0.2</v>
      </c>
      <c r="J576" s="38">
        <v>29467.928</v>
      </c>
      <c r="K576" s="5">
        <v>4</v>
      </c>
      <c r="L576" s="62">
        <f>Table1[[#This Row],[Final_Unit_Price]]*Table1[[#This Row],[Quantity]]</f>
        <v>117871.712</v>
      </c>
      <c r="M576" s="60">
        <v>29467.93</v>
      </c>
      <c r="N576" s="43">
        <v>45771</v>
      </c>
      <c r="O576" s="18" t="str">
        <f>TEXT(Table1[[#This Row],[Order_Date]],"mmm")</f>
        <v>Apr</v>
      </c>
      <c r="P576" s="18">
        <f t="shared" si="16"/>
        <v>2025</v>
      </c>
      <c r="Q576" s="45">
        <v>45777</v>
      </c>
      <c r="R576" s="19">
        <f>'Cleaned Data'!$Q576-'Cleaned Data'!$N576</f>
        <v>6</v>
      </c>
      <c r="S576" s="19" t="str">
        <f t="shared" si="17"/>
        <v>Summer</v>
      </c>
    </row>
    <row r="577" spans="1:19" x14ac:dyDescent="0.3">
      <c r="A577" s="11" t="s">
        <v>754</v>
      </c>
      <c r="B577" s="11" t="s">
        <v>23</v>
      </c>
      <c r="C577" s="3" t="s">
        <v>35</v>
      </c>
      <c r="D577" s="3" t="s">
        <v>46</v>
      </c>
      <c r="E577" s="3" t="s">
        <v>59</v>
      </c>
      <c r="F577" s="3" t="s">
        <v>63</v>
      </c>
      <c r="G577" s="3" t="s">
        <v>73</v>
      </c>
      <c r="H577" s="37">
        <v>29190.560000000001</v>
      </c>
      <c r="I577" s="12">
        <v>0.3</v>
      </c>
      <c r="J577" s="37">
        <v>20433.392</v>
      </c>
      <c r="K577" s="3">
        <v>5</v>
      </c>
      <c r="L577" s="61">
        <f>Table1[[#This Row],[Final_Unit_Price]]*Table1[[#This Row],[Quantity]]</f>
        <v>102166.95999999999</v>
      </c>
      <c r="M577" s="59">
        <v>35758.44</v>
      </c>
      <c r="N577" s="42">
        <v>45378</v>
      </c>
      <c r="O577" s="20" t="str">
        <f>TEXT(Table1[[#This Row],[Order_Date]],"mmm")</f>
        <v>Mar</v>
      </c>
      <c r="P577" s="20">
        <f t="shared" si="16"/>
        <v>2024</v>
      </c>
      <c r="Q577" s="46">
        <v>45381</v>
      </c>
      <c r="R577" s="20">
        <f>'Cleaned Data'!$Q577-'Cleaned Data'!$N577</f>
        <v>3</v>
      </c>
      <c r="S577" s="19" t="str">
        <f t="shared" si="17"/>
        <v>Summer</v>
      </c>
    </row>
    <row r="578" spans="1:19" x14ac:dyDescent="0.3">
      <c r="A578" s="13" t="s">
        <v>755</v>
      </c>
      <c r="B578" s="13" t="s">
        <v>22</v>
      </c>
      <c r="C578" s="5" t="s">
        <v>31</v>
      </c>
      <c r="D578" s="5" t="s">
        <v>36</v>
      </c>
      <c r="E578" s="5" t="s">
        <v>58</v>
      </c>
      <c r="F578" s="5" t="s">
        <v>63</v>
      </c>
      <c r="G578" s="5" t="s">
        <v>68</v>
      </c>
      <c r="H578" s="38">
        <v>3185.45</v>
      </c>
      <c r="I578" s="14">
        <v>0.2</v>
      </c>
      <c r="J578" s="38">
        <v>2548.36</v>
      </c>
      <c r="K578" s="5">
        <v>2</v>
      </c>
      <c r="L578" s="62">
        <f>Table1[[#This Row],[Final_Unit_Price]]*Table1[[#This Row],[Quantity]]</f>
        <v>5096.72</v>
      </c>
      <c r="M578" s="60">
        <v>1274.18</v>
      </c>
      <c r="N578" s="43">
        <v>45789</v>
      </c>
      <c r="O578" s="18" t="str">
        <f>TEXT(Table1[[#This Row],[Order_Date]],"mmm")</f>
        <v>May</v>
      </c>
      <c r="P578" s="18">
        <f t="shared" si="16"/>
        <v>2025</v>
      </c>
      <c r="Q578" s="45">
        <v>45798</v>
      </c>
      <c r="R578" s="19">
        <f>'Cleaned Data'!$Q578-'Cleaned Data'!$N578</f>
        <v>9</v>
      </c>
      <c r="S578" s="19" t="str">
        <f t="shared" si="17"/>
        <v>Summer</v>
      </c>
    </row>
    <row r="579" spans="1:19" x14ac:dyDescent="0.3">
      <c r="A579" s="11" t="s">
        <v>756</v>
      </c>
      <c r="B579" s="11" t="s">
        <v>30</v>
      </c>
      <c r="C579" s="3" t="s">
        <v>33</v>
      </c>
      <c r="D579" s="3" t="s">
        <v>53</v>
      </c>
      <c r="E579" s="3" t="s">
        <v>58</v>
      </c>
      <c r="F579" s="3" t="s">
        <v>63</v>
      </c>
      <c r="G579" s="3" t="s">
        <v>73</v>
      </c>
      <c r="H579" s="37">
        <v>13812.68</v>
      </c>
      <c r="I579" s="12">
        <v>0</v>
      </c>
      <c r="J579" s="37">
        <v>13812.68</v>
      </c>
      <c r="K579" s="3">
        <v>5</v>
      </c>
      <c r="L579" s="61">
        <f>Table1[[#This Row],[Final_Unit_Price]]*Table1[[#This Row],[Quantity]]</f>
        <v>69063.399999999994</v>
      </c>
      <c r="M579" s="59">
        <v>17265.849999999999</v>
      </c>
      <c r="N579" s="42">
        <v>45426</v>
      </c>
      <c r="O579" s="20" t="str">
        <f>TEXT(Table1[[#This Row],[Order_Date]],"mmm")</f>
        <v>May</v>
      </c>
      <c r="P579" s="20">
        <f t="shared" ref="P579:P642" si="18">YEAR(N579)</f>
        <v>2024</v>
      </c>
      <c r="Q579" s="46">
        <v>45433</v>
      </c>
      <c r="R579" s="20">
        <f>'Cleaned Data'!$Q579-'Cleaned Data'!$N579</f>
        <v>7</v>
      </c>
      <c r="S579" s="19" t="str">
        <f t="shared" ref="S579:S642" si="19">IF(OR(O579="Feb",O579="Mar",O579="Apr",O579="May"),"Summer",
   IF(OR(O579="Jun",O579="Jul",O579="Aug",O579="Sep"),"Monsoon",
   IF(OR(O579="Oct",O579="Nov",O579="Dec",O579= "Jan"),"Winter","Invalid")))</f>
        <v>Summer</v>
      </c>
    </row>
    <row r="580" spans="1:19" x14ac:dyDescent="0.3">
      <c r="A580" s="13" t="s">
        <v>757</v>
      </c>
      <c r="B580" s="13" t="s">
        <v>29</v>
      </c>
      <c r="C580" s="5" t="s">
        <v>35</v>
      </c>
      <c r="D580" s="5" t="s">
        <v>38</v>
      </c>
      <c r="E580" s="5" t="s">
        <v>59</v>
      </c>
      <c r="F580" s="5" t="s">
        <v>63</v>
      </c>
      <c r="G580" s="5" t="s">
        <v>68</v>
      </c>
      <c r="H580" s="38">
        <v>21094.48</v>
      </c>
      <c r="I580" s="14">
        <v>0.05</v>
      </c>
      <c r="J580" s="38">
        <v>20039.756000000001</v>
      </c>
      <c r="K580" s="5">
        <v>2</v>
      </c>
      <c r="L580" s="62">
        <f>Table1[[#This Row],[Final_Unit_Price]]*Table1[[#This Row],[Quantity]]</f>
        <v>40079.512000000002</v>
      </c>
      <c r="M580" s="60">
        <v>14027.83</v>
      </c>
      <c r="N580" s="43">
        <v>45369</v>
      </c>
      <c r="O580" s="18" t="str">
        <f>TEXT(Table1[[#This Row],[Order_Date]],"mmm")</f>
        <v>Mar</v>
      </c>
      <c r="P580" s="18">
        <f t="shared" si="18"/>
        <v>2024</v>
      </c>
      <c r="Q580" s="45">
        <v>45377</v>
      </c>
      <c r="R580" s="19">
        <f>'Cleaned Data'!$Q580-'Cleaned Data'!$N580</f>
        <v>8</v>
      </c>
      <c r="S580" s="19" t="str">
        <f t="shared" si="19"/>
        <v>Summer</v>
      </c>
    </row>
    <row r="581" spans="1:19" x14ac:dyDescent="0.3">
      <c r="A581" s="11" t="s">
        <v>758</v>
      </c>
      <c r="B581" s="11" t="s">
        <v>29</v>
      </c>
      <c r="C581" s="3" t="s">
        <v>35</v>
      </c>
      <c r="D581" s="3" t="s">
        <v>38</v>
      </c>
      <c r="E581" s="3" t="s">
        <v>59</v>
      </c>
      <c r="F581" s="3" t="s">
        <v>63</v>
      </c>
      <c r="G581" s="3" t="s">
        <v>75</v>
      </c>
      <c r="H581" s="37">
        <v>20975.13</v>
      </c>
      <c r="I581" s="12">
        <v>0.15</v>
      </c>
      <c r="J581" s="37">
        <v>17828.860499999999</v>
      </c>
      <c r="K581" s="3">
        <v>5</v>
      </c>
      <c r="L581" s="61">
        <f>Table1[[#This Row],[Final_Unit_Price]]*Table1[[#This Row],[Quantity]]</f>
        <v>89144.302499999991</v>
      </c>
      <c r="M581" s="59">
        <v>31200.5</v>
      </c>
      <c r="N581" s="42">
        <v>45547</v>
      </c>
      <c r="O581" s="20" t="str">
        <f>TEXT(Table1[[#This Row],[Order_Date]],"mmm")</f>
        <v>Sep</v>
      </c>
      <c r="P581" s="20">
        <f t="shared" si="18"/>
        <v>2024</v>
      </c>
      <c r="Q581" s="46">
        <v>45556</v>
      </c>
      <c r="R581" s="20">
        <f>'Cleaned Data'!$Q581-'Cleaned Data'!$N581</f>
        <v>9</v>
      </c>
      <c r="S581" s="19" t="str">
        <f t="shared" si="19"/>
        <v>Monsoon</v>
      </c>
    </row>
    <row r="582" spans="1:19" x14ac:dyDescent="0.3">
      <c r="A582" s="13" t="s">
        <v>759</v>
      </c>
      <c r="B582" s="13" t="s">
        <v>27</v>
      </c>
      <c r="C582" s="5" t="s">
        <v>35</v>
      </c>
      <c r="D582" s="5" t="s">
        <v>44</v>
      </c>
      <c r="E582" s="5" t="s">
        <v>60</v>
      </c>
      <c r="F582" s="5" t="s">
        <v>64</v>
      </c>
      <c r="G582" s="5" t="s">
        <v>76</v>
      </c>
      <c r="H582" s="38">
        <v>7001.03</v>
      </c>
      <c r="I582" s="14">
        <v>0</v>
      </c>
      <c r="J582" s="38">
        <v>7001.03</v>
      </c>
      <c r="K582" s="5">
        <v>5</v>
      </c>
      <c r="L582" s="62">
        <f>Table1[[#This Row],[Final_Unit_Price]]*Table1[[#This Row],[Quantity]]</f>
        <v>35005.15</v>
      </c>
      <c r="M582" s="60">
        <v>5250.77</v>
      </c>
      <c r="N582" s="43">
        <v>45677</v>
      </c>
      <c r="O582" s="18" t="str">
        <f>TEXT(Table1[[#This Row],[Order_Date]],"mmm")</f>
        <v>Jan</v>
      </c>
      <c r="P582" s="18">
        <f t="shared" si="18"/>
        <v>2025</v>
      </c>
      <c r="Q582" s="45">
        <v>45686</v>
      </c>
      <c r="R582" s="19">
        <f>'Cleaned Data'!$Q582-'Cleaned Data'!$N582</f>
        <v>9</v>
      </c>
      <c r="S582" s="19" t="str">
        <f t="shared" si="19"/>
        <v>Winter</v>
      </c>
    </row>
    <row r="583" spans="1:19" x14ac:dyDescent="0.3">
      <c r="A583" s="11" t="s">
        <v>760</v>
      </c>
      <c r="B583" s="11" t="s">
        <v>18</v>
      </c>
      <c r="C583" s="3" t="s">
        <v>33</v>
      </c>
      <c r="D583" s="3" t="s">
        <v>57</v>
      </c>
      <c r="E583" s="3" t="s">
        <v>60</v>
      </c>
      <c r="F583" s="3" t="s">
        <v>61</v>
      </c>
      <c r="G583" s="3" t="s">
        <v>65</v>
      </c>
      <c r="H583" s="37">
        <v>41536.76</v>
      </c>
      <c r="I583" s="12">
        <v>0.2</v>
      </c>
      <c r="J583" s="37">
        <v>33229.408000000003</v>
      </c>
      <c r="K583" s="3">
        <v>4</v>
      </c>
      <c r="L583" s="61">
        <f>Table1[[#This Row],[Final_Unit_Price]]*Table1[[#This Row],[Quantity]]</f>
        <v>132917.63200000001</v>
      </c>
      <c r="M583" s="59">
        <v>19937.64</v>
      </c>
      <c r="N583" s="42">
        <v>45530</v>
      </c>
      <c r="O583" s="20" t="str">
        <f>TEXT(Table1[[#This Row],[Order_Date]],"mmm")</f>
        <v>Aug</v>
      </c>
      <c r="P583" s="20">
        <f t="shared" si="18"/>
        <v>2024</v>
      </c>
      <c r="Q583" s="46">
        <v>45534</v>
      </c>
      <c r="R583" s="20">
        <f>'Cleaned Data'!$Q583-'Cleaned Data'!$N583</f>
        <v>4</v>
      </c>
      <c r="S583" s="19" t="str">
        <f t="shared" si="19"/>
        <v>Monsoon</v>
      </c>
    </row>
    <row r="584" spans="1:19" x14ac:dyDescent="0.3">
      <c r="A584" s="13" t="s">
        <v>761</v>
      </c>
      <c r="B584" s="13" t="s">
        <v>17</v>
      </c>
      <c r="C584" s="5" t="s">
        <v>32</v>
      </c>
      <c r="D584" s="5" t="s">
        <v>43</v>
      </c>
      <c r="E584" s="5" t="s">
        <v>58</v>
      </c>
      <c r="F584" s="5" t="s">
        <v>64</v>
      </c>
      <c r="G584" s="5" t="s">
        <v>72</v>
      </c>
      <c r="H584" s="38">
        <v>8339.91</v>
      </c>
      <c r="I584" s="14">
        <v>0.1</v>
      </c>
      <c r="J584" s="38">
        <v>7505.9189999999999</v>
      </c>
      <c r="K584" s="5">
        <v>4</v>
      </c>
      <c r="L584" s="62">
        <f>Table1[[#This Row],[Final_Unit_Price]]*Table1[[#This Row],[Quantity]]</f>
        <v>30023.675999999999</v>
      </c>
      <c r="M584" s="60">
        <v>7505.92</v>
      </c>
      <c r="N584" s="43">
        <v>45359</v>
      </c>
      <c r="O584" s="18" t="str">
        <f>TEXT(Table1[[#This Row],[Order_Date]],"mmm")</f>
        <v>Mar</v>
      </c>
      <c r="P584" s="18">
        <f t="shared" si="18"/>
        <v>2024</v>
      </c>
      <c r="Q584" s="45">
        <v>45365</v>
      </c>
      <c r="R584" s="19">
        <f>'Cleaned Data'!$Q584-'Cleaned Data'!$N584</f>
        <v>6</v>
      </c>
      <c r="S584" s="19" t="str">
        <f t="shared" si="19"/>
        <v>Summer</v>
      </c>
    </row>
    <row r="585" spans="1:19" x14ac:dyDescent="0.3">
      <c r="A585" s="11" t="s">
        <v>762</v>
      </c>
      <c r="B585" s="11" t="s">
        <v>29</v>
      </c>
      <c r="C585" s="3" t="s">
        <v>35</v>
      </c>
      <c r="D585" s="3" t="s">
        <v>38</v>
      </c>
      <c r="E585" s="3" t="s">
        <v>59</v>
      </c>
      <c r="F585" s="3" t="s">
        <v>62</v>
      </c>
      <c r="G585" s="3" t="s">
        <v>69</v>
      </c>
      <c r="H585" s="37">
        <v>22219.08</v>
      </c>
      <c r="I585" s="12">
        <v>0.25</v>
      </c>
      <c r="J585" s="37">
        <v>16664.310000000001</v>
      </c>
      <c r="K585" s="3">
        <v>4</v>
      </c>
      <c r="L585" s="61">
        <f>Table1[[#This Row],[Final_Unit_Price]]*Table1[[#This Row],[Quantity]]</f>
        <v>66657.240000000005</v>
      </c>
      <c r="M585" s="59">
        <v>23330.03</v>
      </c>
      <c r="N585" s="42">
        <v>45463</v>
      </c>
      <c r="O585" s="20" t="str">
        <f>TEXT(Table1[[#This Row],[Order_Date]],"mmm")</f>
        <v>Jun</v>
      </c>
      <c r="P585" s="20">
        <f t="shared" si="18"/>
        <v>2024</v>
      </c>
      <c r="Q585" s="46">
        <v>45466</v>
      </c>
      <c r="R585" s="20">
        <f>'Cleaned Data'!$Q585-'Cleaned Data'!$N585</f>
        <v>3</v>
      </c>
      <c r="S585" s="19" t="str">
        <f t="shared" si="19"/>
        <v>Monsoon</v>
      </c>
    </row>
    <row r="586" spans="1:19" x14ac:dyDescent="0.3">
      <c r="A586" s="13" t="s">
        <v>763</v>
      </c>
      <c r="B586" s="13" t="s">
        <v>26</v>
      </c>
      <c r="C586" s="5" t="s">
        <v>32</v>
      </c>
      <c r="D586" s="5" t="s">
        <v>37</v>
      </c>
      <c r="E586" s="5" t="s">
        <v>59</v>
      </c>
      <c r="F586" s="5" t="s">
        <v>64</v>
      </c>
      <c r="G586" s="5" t="s">
        <v>74</v>
      </c>
      <c r="H586" s="38">
        <v>44882.8</v>
      </c>
      <c r="I586" s="14">
        <v>0</v>
      </c>
      <c r="J586" s="38">
        <v>44882.8</v>
      </c>
      <c r="K586" s="5">
        <v>1</v>
      </c>
      <c r="L586" s="62">
        <f>Table1[[#This Row],[Final_Unit_Price]]*Table1[[#This Row],[Quantity]]</f>
        <v>44882.8</v>
      </c>
      <c r="M586" s="60">
        <v>15708.98</v>
      </c>
      <c r="N586" s="43">
        <v>45857</v>
      </c>
      <c r="O586" s="18" t="str">
        <f>TEXT(Table1[[#This Row],[Order_Date]],"mmm")</f>
        <v>Jul</v>
      </c>
      <c r="P586" s="18">
        <f t="shared" si="18"/>
        <v>2025</v>
      </c>
      <c r="Q586" s="45">
        <v>45866</v>
      </c>
      <c r="R586" s="19">
        <f>'Cleaned Data'!$Q586-'Cleaned Data'!$N586</f>
        <v>9</v>
      </c>
      <c r="S586" s="19" t="str">
        <f t="shared" si="19"/>
        <v>Monsoon</v>
      </c>
    </row>
    <row r="587" spans="1:19" x14ac:dyDescent="0.3">
      <c r="A587" s="11" t="s">
        <v>764</v>
      </c>
      <c r="B587" s="11" t="s">
        <v>25</v>
      </c>
      <c r="C587" s="3" t="s">
        <v>34</v>
      </c>
      <c r="D587" s="3" t="s">
        <v>52</v>
      </c>
      <c r="E587" s="3" t="s">
        <v>60</v>
      </c>
      <c r="F587" s="3" t="s">
        <v>61</v>
      </c>
      <c r="G587" s="3" t="s">
        <v>71</v>
      </c>
      <c r="H587" s="37">
        <v>672.18</v>
      </c>
      <c r="I587" s="12">
        <v>0.15</v>
      </c>
      <c r="J587" s="37">
        <v>571.35299999999995</v>
      </c>
      <c r="K587" s="3">
        <v>6</v>
      </c>
      <c r="L587" s="61">
        <f>Table1[[#This Row],[Final_Unit_Price]]*Table1[[#This Row],[Quantity]]</f>
        <v>3428.1179999999995</v>
      </c>
      <c r="M587" s="59">
        <v>257.11</v>
      </c>
      <c r="N587" s="42">
        <v>45584</v>
      </c>
      <c r="O587" s="20" t="str">
        <f>TEXT(Table1[[#This Row],[Order_Date]],"mmm")</f>
        <v>Oct</v>
      </c>
      <c r="P587" s="20">
        <f t="shared" si="18"/>
        <v>2024</v>
      </c>
      <c r="Q587" s="46">
        <v>45593</v>
      </c>
      <c r="R587" s="20">
        <f>'Cleaned Data'!$Q587-'Cleaned Data'!$N587</f>
        <v>9</v>
      </c>
      <c r="S587" s="19" t="str">
        <f t="shared" si="19"/>
        <v>Winter</v>
      </c>
    </row>
    <row r="588" spans="1:19" x14ac:dyDescent="0.3">
      <c r="A588" s="13" t="s">
        <v>765</v>
      </c>
      <c r="B588" s="13" t="s">
        <v>24</v>
      </c>
      <c r="C588" s="5" t="s">
        <v>32</v>
      </c>
      <c r="D588" s="5" t="s">
        <v>43</v>
      </c>
      <c r="E588" s="5" t="s">
        <v>58</v>
      </c>
      <c r="F588" s="5" t="s">
        <v>62</v>
      </c>
      <c r="G588" s="5" t="s">
        <v>66</v>
      </c>
      <c r="H588" s="38">
        <v>26595.81</v>
      </c>
      <c r="I588" s="14">
        <v>0.2</v>
      </c>
      <c r="J588" s="38">
        <v>21276.648000000001</v>
      </c>
      <c r="K588" s="5">
        <v>1</v>
      </c>
      <c r="L588" s="62">
        <f>Table1[[#This Row],[Final_Unit_Price]]*Table1[[#This Row],[Quantity]]</f>
        <v>21276.648000000001</v>
      </c>
      <c r="M588" s="60">
        <v>5319.16</v>
      </c>
      <c r="N588" s="43">
        <v>45733</v>
      </c>
      <c r="O588" s="18" t="str">
        <f>TEXT(Table1[[#This Row],[Order_Date]],"mmm")</f>
        <v>Mar</v>
      </c>
      <c r="P588" s="18">
        <f t="shared" si="18"/>
        <v>2025</v>
      </c>
      <c r="Q588" s="45">
        <v>45739</v>
      </c>
      <c r="R588" s="19">
        <f>'Cleaned Data'!$Q588-'Cleaned Data'!$N588</f>
        <v>6</v>
      </c>
      <c r="S588" s="19" t="str">
        <f t="shared" si="19"/>
        <v>Summer</v>
      </c>
    </row>
    <row r="589" spans="1:19" x14ac:dyDescent="0.3">
      <c r="A589" s="11" t="s">
        <v>766</v>
      </c>
      <c r="B589" s="11" t="s">
        <v>27</v>
      </c>
      <c r="C589" s="3" t="s">
        <v>35</v>
      </c>
      <c r="D589" s="3" t="s">
        <v>46</v>
      </c>
      <c r="E589" s="3" t="s">
        <v>59</v>
      </c>
      <c r="F589" s="3" t="s">
        <v>63</v>
      </c>
      <c r="G589" s="3" t="s">
        <v>75</v>
      </c>
      <c r="H589" s="37">
        <v>9045.32</v>
      </c>
      <c r="I589" s="12">
        <v>0.2</v>
      </c>
      <c r="J589" s="37">
        <v>7236.2560000000003</v>
      </c>
      <c r="K589" s="3">
        <v>4</v>
      </c>
      <c r="L589" s="61">
        <f>Table1[[#This Row],[Final_Unit_Price]]*Table1[[#This Row],[Quantity]]</f>
        <v>28945.024000000001</v>
      </c>
      <c r="M589" s="59">
        <v>10130.76</v>
      </c>
      <c r="N589" s="42">
        <v>45837</v>
      </c>
      <c r="O589" s="20" t="str">
        <f>TEXT(Table1[[#This Row],[Order_Date]],"mmm")</f>
        <v>Jun</v>
      </c>
      <c r="P589" s="20">
        <f t="shared" si="18"/>
        <v>2025</v>
      </c>
      <c r="Q589" s="46">
        <v>45845</v>
      </c>
      <c r="R589" s="20">
        <f>'Cleaned Data'!$Q589-'Cleaned Data'!$N589</f>
        <v>8</v>
      </c>
      <c r="S589" s="19" t="str">
        <f t="shared" si="19"/>
        <v>Monsoon</v>
      </c>
    </row>
    <row r="590" spans="1:19" x14ac:dyDescent="0.3">
      <c r="A590" s="13" t="s">
        <v>767</v>
      </c>
      <c r="B590" s="13" t="s">
        <v>17</v>
      </c>
      <c r="C590" s="5" t="s">
        <v>32</v>
      </c>
      <c r="D590" s="5" t="s">
        <v>54</v>
      </c>
      <c r="E590" s="5" t="s">
        <v>60</v>
      </c>
      <c r="F590" s="5" t="s">
        <v>64</v>
      </c>
      <c r="G590" s="5" t="s">
        <v>74</v>
      </c>
      <c r="H590" s="38">
        <v>7286.46</v>
      </c>
      <c r="I590" s="14">
        <v>0</v>
      </c>
      <c r="J590" s="38">
        <v>7286.46</v>
      </c>
      <c r="K590" s="5">
        <v>2</v>
      </c>
      <c r="L590" s="62">
        <f>Table1[[#This Row],[Final_Unit_Price]]*Table1[[#This Row],[Quantity]]</f>
        <v>14572.92</v>
      </c>
      <c r="M590" s="60">
        <v>2185.94</v>
      </c>
      <c r="N590" s="43">
        <v>45592</v>
      </c>
      <c r="O590" s="18" t="str">
        <f>TEXT(Table1[[#This Row],[Order_Date]],"mmm")</f>
        <v>Oct</v>
      </c>
      <c r="P590" s="18">
        <f t="shared" si="18"/>
        <v>2024</v>
      </c>
      <c r="Q590" s="45">
        <v>45599</v>
      </c>
      <c r="R590" s="19">
        <f>'Cleaned Data'!$Q590-'Cleaned Data'!$N590</f>
        <v>7</v>
      </c>
      <c r="S590" s="19" t="str">
        <f t="shared" si="19"/>
        <v>Winter</v>
      </c>
    </row>
    <row r="591" spans="1:19" x14ac:dyDescent="0.3">
      <c r="A591" s="11" t="s">
        <v>768</v>
      </c>
      <c r="B591" s="11" t="s">
        <v>22</v>
      </c>
      <c r="C591" s="3" t="s">
        <v>31</v>
      </c>
      <c r="D591" s="3" t="s">
        <v>36</v>
      </c>
      <c r="E591" s="3" t="s">
        <v>58</v>
      </c>
      <c r="F591" s="3" t="s">
        <v>61</v>
      </c>
      <c r="G591" s="3" t="s">
        <v>71</v>
      </c>
      <c r="H591" s="37">
        <v>3331.2</v>
      </c>
      <c r="I591" s="12">
        <v>0.2</v>
      </c>
      <c r="J591" s="37">
        <v>2664.96</v>
      </c>
      <c r="K591" s="3">
        <v>2</v>
      </c>
      <c r="L591" s="61">
        <f>Table1[[#This Row],[Final_Unit_Price]]*Table1[[#This Row],[Quantity]]</f>
        <v>5329.92</v>
      </c>
      <c r="M591" s="59">
        <v>1332.48</v>
      </c>
      <c r="N591" s="42">
        <v>45825</v>
      </c>
      <c r="O591" s="20" t="str">
        <f>TEXT(Table1[[#This Row],[Order_Date]],"mmm")</f>
        <v>Jun</v>
      </c>
      <c r="P591" s="20">
        <f t="shared" si="18"/>
        <v>2025</v>
      </c>
      <c r="Q591" s="46">
        <v>45834</v>
      </c>
      <c r="R591" s="20">
        <f>'Cleaned Data'!$Q591-'Cleaned Data'!$N591</f>
        <v>9</v>
      </c>
      <c r="S591" s="19" t="str">
        <f t="shared" si="19"/>
        <v>Monsoon</v>
      </c>
    </row>
    <row r="592" spans="1:19" x14ac:dyDescent="0.3">
      <c r="A592" s="13" t="s">
        <v>769</v>
      </c>
      <c r="B592" s="13" t="s">
        <v>17</v>
      </c>
      <c r="C592" s="5" t="s">
        <v>32</v>
      </c>
      <c r="D592" s="5" t="s">
        <v>43</v>
      </c>
      <c r="E592" s="5" t="s">
        <v>58</v>
      </c>
      <c r="F592" s="5" t="s">
        <v>63</v>
      </c>
      <c r="G592" s="5" t="s">
        <v>73</v>
      </c>
      <c r="H592" s="38">
        <v>7626.35</v>
      </c>
      <c r="I592" s="14">
        <v>0</v>
      </c>
      <c r="J592" s="38">
        <v>7626.35</v>
      </c>
      <c r="K592" s="5">
        <v>1</v>
      </c>
      <c r="L592" s="62">
        <f>Table1[[#This Row],[Final_Unit_Price]]*Table1[[#This Row],[Quantity]]</f>
        <v>7626.35</v>
      </c>
      <c r="M592" s="60">
        <v>1906.59</v>
      </c>
      <c r="N592" s="43">
        <v>45496</v>
      </c>
      <c r="O592" s="18" t="str">
        <f>TEXT(Table1[[#This Row],[Order_Date]],"mmm")</f>
        <v>Jul</v>
      </c>
      <c r="P592" s="18">
        <f t="shared" si="18"/>
        <v>2024</v>
      </c>
      <c r="Q592" s="45">
        <v>45501</v>
      </c>
      <c r="R592" s="19">
        <f>'Cleaned Data'!$Q592-'Cleaned Data'!$N592</f>
        <v>5</v>
      </c>
      <c r="S592" s="19" t="str">
        <f t="shared" si="19"/>
        <v>Monsoon</v>
      </c>
    </row>
    <row r="593" spans="1:19" x14ac:dyDescent="0.3">
      <c r="A593" s="11" t="s">
        <v>770</v>
      </c>
      <c r="B593" s="11" t="s">
        <v>29</v>
      </c>
      <c r="C593" s="3" t="s">
        <v>35</v>
      </c>
      <c r="D593" s="3" t="s">
        <v>46</v>
      </c>
      <c r="E593" s="3" t="s">
        <v>59</v>
      </c>
      <c r="F593" s="3" t="s">
        <v>62</v>
      </c>
      <c r="G593" s="3" t="s">
        <v>67</v>
      </c>
      <c r="H593" s="37">
        <v>22040.32</v>
      </c>
      <c r="I593" s="12">
        <v>0.05</v>
      </c>
      <c r="J593" s="37">
        <v>20938.304</v>
      </c>
      <c r="K593" s="3">
        <v>2</v>
      </c>
      <c r="L593" s="61">
        <f>Table1[[#This Row],[Final_Unit_Price]]*Table1[[#This Row],[Quantity]]</f>
        <v>41876.608</v>
      </c>
      <c r="M593" s="59">
        <v>14656.81</v>
      </c>
      <c r="N593" s="42">
        <v>45586</v>
      </c>
      <c r="O593" s="20" t="str">
        <f>TEXT(Table1[[#This Row],[Order_Date]],"mmm")</f>
        <v>Oct</v>
      </c>
      <c r="P593" s="20">
        <f t="shared" si="18"/>
        <v>2024</v>
      </c>
      <c r="Q593" s="46">
        <v>45590</v>
      </c>
      <c r="R593" s="20">
        <f>'Cleaned Data'!$Q593-'Cleaned Data'!$N593</f>
        <v>4</v>
      </c>
      <c r="S593" s="19" t="str">
        <f t="shared" si="19"/>
        <v>Winter</v>
      </c>
    </row>
    <row r="594" spans="1:19" x14ac:dyDescent="0.3">
      <c r="A594" s="13" t="s">
        <v>771</v>
      </c>
      <c r="B594" s="13" t="s">
        <v>24</v>
      </c>
      <c r="C594" s="5" t="s">
        <v>32</v>
      </c>
      <c r="D594" s="5" t="s">
        <v>54</v>
      </c>
      <c r="E594" s="5" t="s">
        <v>60</v>
      </c>
      <c r="F594" s="5" t="s">
        <v>64</v>
      </c>
      <c r="G594" s="5" t="s">
        <v>76</v>
      </c>
      <c r="H594" s="38">
        <v>22050.84</v>
      </c>
      <c r="I594" s="14">
        <v>0.25</v>
      </c>
      <c r="J594" s="38">
        <v>16538.13</v>
      </c>
      <c r="K594" s="5">
        <v>5</v>
      </c>
      <c r="L594" s="62">
        <f>Table1[[#This Row],[Final_Unit_Price]]*Table1[[#This Row],[Quantity]]</f>
        <v>82690.650000000009</v>
      </c>
      <c r="M594" s="60">
        <v>12403.6</v>
      </c>
      <c r="N594" s="43">
        <v>45489</v>
      </c>
      <c r="O594" s="18" t="str">
        <f>TEXT(Table1[[#This Row],[Order_Date]],"mmm")</f>
        <v>Jul</v>
      </c>
      <c r="P594" s="18">
        <f t="shared" si="18"/>
        <v>2024</v>
      </c>
      <c r="Q594" s="45">
        <v>45495</v>
      </c>
      <c r="R594" s="19">
        <f>'Cleaned Data'!$Q594-'Cleaned Data'!$N594</f>
        <v>6</v>
      </c>
      <c r="S594" s="19" t="str">
        <f t="shared" si="19"/>
        <v>Monsoon</v>
      </c>
    </row>
    <row r="595" spans="1:19" x14ac:dyDescent="0.3">
      <c r="A595" s="11" t="s">
        <v>772</v>
      </c>
      <c r="B595" s="11" t="s">
        <v>30</v>
      </c>
      <c r="C595" s="3" t="s">
        <v>33</v>
      </c>
      <c r="D595" s="3" t="s">
        <v>57</v>
      </c>
      <c r="E595" s="3" t="s">
        <v>60</v>
      </c>
      <c r="F595" s="3" t="s">
        <v>64</v>
      </c>
      <c r="G595" s="3" t="s">
        <v>74</v>
      </c>
      <c r="H595" s="37">
        <v>13633</v>
      </c>
      <c r="I595" s="12">
        <v>0</v>
      </c>
      <c r="J595" s="37">
        <v>13633</v>
      </c>
      <c r="K595" s="3">
        <v>5</v>
      </c>
      <c r="L595" s="61">
        <f>Table1[[#This Row],[Final_Unit_Price]]*Table1[[#This Row],[Quantity]]</f>
        <v>68165</v>
      </c>
      <c r="M595" s="59">
        <v>10224.75</v>
      </c>
      <c r="N595" s="42">
        <v>45796</v>
      </c>
      <c r="O595" s="20" t="str">
        <f>TEXT(Table1[[#This Row],[Order_Date]],"mmm")</f>
        <v>May</v>
      </c>
      <c r="P595" s="20">
        <f t="shared" si="18"/>
        <v>2025</v>
      </c>
      <c r="Q595" s="46">
        <v>45799</v>
      </c>
      <c r="R595" s="20">
        <f>'Cleaned Data'!$Q595-'Cleaned Data'!$N595</f>
        <v>3</v>
      </c>
      <c r="S595" s="19" t="str">
        <f t="shared" si="19"/>
        <v>Summer</v>
      </c>
    </row>
    <row r="596" spans="1:19" x14ac:dyDescent="0.3">
      <c r="A596" s="13" t="s">
        <v>773</v>
      </c>
      <c r="B596" s="13" t="s">
        <v>17</v>
      </c>
      <c r="C596" s="5" t="s">
        <v>32</v>
      </c>
      <c r="D596" s="5" t="s">
        <v>37</v>
      </c>
      <c r="E596" s="5" t="s">
        <v>59</v>
      </c>
      <c r="F596" s="5" t="s">
        <v>63</v>
      </c>
      <c r="G596" s="5" t="s">
        <v>73</v>
      </c>
      <c r="H596" s="38">
        <v>9433.6299999999992</v>
      </c>
      <c r="I596" s="14">
        <v>0.2</v>
      </c>
      <c r="J596" s="38">
        <v>7546.9040000000005</v>
      </c>
      <c r="K596" s="5">
        <v>4</v>
      </c>
      <c r="L596" s="62">
        <f>Table1[[#This Row],[Final_Unit_Price]]*Table1[[#This Row],[Quantity]]</f>
        <v>30187.616000000002</v>
      </c>
      <c r="M596" s="60">
        <v>10565.67</v>
      </c>
      <c r="N596" s="43">
        <v>45666</v>
      </c>
      <c r="O596" s="18" t="str">
        <f>TEXT(Table1[[#This Row],[Order_Date]],"mmm")</f>
        <v>Jan</v>
      </c>
      <c r="P596" s="18">
        <f t="shared" si="18"/>
        <v>2025</v>
      </c>
      <c r="Q596" s="45">
        <v>45675</v>
      </c>
      <c r="R596" s="19">
        <f>'Cleaned Data'!$Q596-'Cleaned Data'!$N596</f>
        <v>9</v>
      </c>
      <c r="S596" s="19" t="str">
        <f t="shared" si="19"/>
        <v>Winter</v>
      </c>
    </row>
    <row r="597" spans="1:19" x14ac:dyDescent="0.3">
      <c r="A597" s="11" t="s">
        <v>774</v>
      </c>
      <c r="B597" s="11" t="s">
        <v>16</v>
      </c>
      <c r="C597" s="3" t="s">
        <v>31</v>
      </c>
      <c r="D597" s="3" t="s">
        <v>36</v>
      </c>
      <c r="E597" s="3" t="s">
        <v>58</v>
      </c>
      <c r="F597" s="3" t="s">
        <v>64</v>
      </c>
      <c r="G597" s="3" t="s">
        <v>76</v>
      </c>
      <c r="H597" s="37">
        <v>2770.56</v>
      </c>
      <c r="I597" s="12">
        <v>0</v>
      </c>
      <c r="J597" s="37">
        <v>2770.56</v>
      </c>
      <c r="K597" s="3">
        <v>2</v>
      </c>
      <c r="L597" s="61">
        <f>Table1[[#This Row],[Final_Unit_Price]]*Table1[[#This Row],[Quantity]]</f>
        <v>5541.12</v>
      </c>
      <c r="M597" s="59">
        <v>1385.28</v>
      </c>
      <c r="N597" s="42">
        <v>45755</v>
      </c>
      <c r="O597" s="20" t="str">
        <f>TEXT(Table1[[#This Row],[Order_Date]],"mmm")</f>
        <v>Apr</v>
      </c>
      <c r="P597" s="20">
        <f t="shared" si="18"/>
        <v>2025</v>
      </c>
      <c r="Q597" s="46">
        <v>45759</v>
      </c>
      <c r="R597" s="20">
        <f>'Cleaned Data'!$Q597-'Cleaned Data'!$N597</f>
        <v>4</v>
      </c>
      <c r="S597" s="19" t="str">
        <f t="shared" si="19"/>
        <v>Summer</v>
      </c>
    </row>
    <row r="598" spans="1:19" x14ac:dyDescent="0.3">
      <c r="A598" s="13" t="s">
        <v>775</v>
      </c>
      <c r="B598" s="13" t="s">
        <v>28</v>
      </c>
      <c r="C598" s="5" t="s">
        <v>34</v>
      </c>
      <c r="D598" s="5" t="s">
        <v>51</v>
      </c>
      <c r="E598" s="5" t="s">
        <v>59</v>
      </c>
      <c r="F598" s="5" t="s">
        <v>64</v>
      </c>
      <c r="G598" s="5" t="s">
        <v>74</v>
      </c>
      <c r="H598" s="38">
        <v>1971.41</v>
      </c>
      <c r="I598" s="14">
        <v>0</v>
      </c>
      <c r="J598" s="38">
        <v>1971.41</v>
      </c>
      <c r="K598" s="5">
        <v>4</v>
      </c>
      <c r="L598" s="62">
        <f>Table1[[#This Row],[Final_Unit_Price]]*Table1[[#This Row],[Quantity]]</f>
        <v>7885.64</v>
      </c>
      <c r="M598" s="60">
        <v>2759.97</v>
      </c>
      <c r="N598" s="43">
        <v>45771</v>
      </c>
      <c r="O598" s="18" t="str">
        <f>TEXT(Table1[[#This Row],[Order_Date]],"mmm")</f>
        <v>Apr</v>
      </c>
      <c r="P598" s="18">
        <f t="shared" si="18"/>
        <v>2025</v>
      </c>
      <c r="Q598" s="45">
        <v>45781</v>
      </c>
      <c r="R598" s="19">
        <f>'Cleaned Data'!$Q598-'Cleaned Data'!$N598</f>
        <v>10</v>
      </c>
      <c r="S598" s="19" t="str">
        <f t="shared" si="19"/>
        <v>Summer</v>
      </c>
    </row>
    <row r="599" spans="1:19" x14ac:dyDescent="0.3">
      <c r="A599" s="11" t="s">
        <v>776</v>
      </c>
      <c r="B599" s="11" t="s">
        <v>20</v>
      </c>
      <c r="C599" s="3" t="s">
        <v>32</v>
      </c>
      <c r="D599" s="3" t="s">
        <v>43</v>
      </c>
      <c r="E599" s="3" t="s">
        <v>58</v>
      </c>
      <c r="F599" s="3" t="s">
        <v>62</v>
      </c>
      <c r="G599" s="3" t="s">
        <v>69</v>
      </c>
      <c r="H599" s="37">
        <v>32467.41</v>
      </c>
      <c r="I599" s="12">
        <v>0.15</v>
      </c>
      <c r="J599" s="37">
        <v>27597.298500000001</v>
      </c>
      <c r="K599" s="3">
        <v>2</v>
      </c>
      <c r="L599" s="61">
        <f>Table1[[#This Row],[Final_Unit_Price]]*Table1[[#This Row],[Quantity]]</f>
        <v>55194.597000000002</v>
      </c>
      <c r="M599" s="59">
        <v>13798.65</v>
      </c>
      <c r="N599" s="42">
        <v>45778</v>
      </c>
      <c r="O599" s="20" t="str">
        <f>TEXT(Table1[[#This Row],[Order_Date]],"mmm")</f>
        <v>May</v>
      </c>
      <c r="P599" s="20">
        <f t="shared" si="18"/>
        <v>2025</v>
      </c>
      <c r="Q599" s="46">
        <v>45782</v>
      </c>
      <c r="R599" s="20">
        <f>'Cleaned Data'!$Q599-'Cleaned Data'!$N599</f>
        <v>4</v>
      </c>
      <c r="S599" s="19" t="str">
        <f t="shared" si="19"/>
        <v>Summer</v>
      </c>
    </row>
    <row r="600" spans="1:19" x14ac:dyDescent="0.3">
      <c r="A600" s="13" t="s">
        <v>777</v>
      </c>
      <c r="B600" s="13" t="s">
        <v>19</v>
      </c>
      <c r="C600" s="5" t="s">
        <v>33</v>
      </c>
      <c r="D600" s="5" t="s">
        <v>50</v>
      </c>
      <c r="E600" s="5" t="s">
        <v>59</v>
      </c>
      <c r="F600" s="5" t="s">
        <v>62</v>
      </c>
      <c r="G600" s="5" t="s">
        <v>67</v>
      </c>
      <c r="H600" s="38">
        <v>2408.5300000000002</v>
      </c>
      <c r="I600" s="14">
        <v>0.3</v>
      </c>
      <c r="J600" s="38">
        <v>1685.971</v>
      </c>
      <c r="K600" s="5">
        <v>1</v>
      </c>
      <c r="L600" s="62">
        <f>Table1[[#This Row],[Final_Unit_Price]]*Table1[[#This Row],[Quantity]]</f>
        <v>1685.971</v>
      </c>
      <c r="M600" s="60">
        <v>590.09</v>
      </c>
      <c r="N600" s="43">
        <v>45678</v>
      </c>
      <c r="O600" s="18" t="str">
        <f>TEXT(Table1[[#This Row],[Order_Date]],"mmm")</f>
        <v>Jan</v>
      </c>
      <c r="P600" s="18">
        <f t="shared" si="18"/>
        <v>2025</v>
      </c>
      <c r="Q600" s="45">
        <v>45686</v>
      </c>
      <c r="R600" s="19">
        <f>'Cleaned Data'!$Q600-'Cleaned Data'!$N600</f>
        <v>8</v>
      </c>
      <c r="S600" s="19" t="str">
        <f t="shared" si="19"/>
        <v>Winter</v>
      </c>
    </row>
    <row r="601" spans="1:19" x14ac:dyDescent="0.3">
      <c r="A601" s="11" t="s">
        <v>778</v>
      </c>
      <c r="B601" s="11" t="s">
        <v>29</v>
      </c>
      <c r="C601" s="3" t="s">
        <v>35</v>
      </c>
      <c r="D601" s="3" t="s">
        <v>46</v>
      </c>
      <c r="E601" s="3" t="s">
        <v>59</v>
      </c>
      <c r="F601" s="3" t="s">
        <v>64</v>
      </c>
      <c r="G601" s="3" t="s">
        <v>72</v>
      </c>
      <c r="H601" s="37">
        <v>24354.13</v>
      </c>
      <c r="I601" s="12">
        <v>0.2</v>
      </c>
      <c r="J601" s="37">
        <v>19483.304</v>
      </c>
      <c r="K601" s="3">
        <v>1</v>
      </c>
      <c r="L601" s="61">
        <f>Table1[[#This Row],[Final_Unit_Price]]*Table1[[#This Row],[Quantity]]</f>
        <v>19483.304</v>
      </c>
      <c r="M601" s="59">
        <v>6819.15</v>
      </c>
      <c r="N601" s="42">
        <v>45371</v>
      </c>
      <c r="O601" s="20" t="str">
        <f>TEXT(Table1[[#This Row],[Order_Date]],"mmm")</f>
        <v>Mar</v>
      </c>
      <c r="P601" s="20">
        <f t="shared" si="18"/>
        <v>2024</v>
      </c>
      <c r="Q601" s="46">
        <v>45376</v>
      </c>
      <c r="R601" s="20">
        <f>'Cleaned Data'!$Q601-'Cleaned Data'!$N601</f>
        <v>5</v>
      </c>
      <c r="S601" s="19" t="str">
        <f t="shared" si="19"/>
        <v>Summer</v>
      </c>
    </row>
    <row r="602" spans="1:19" x14ac:dyDescent="0.3">
      <c r="A602" s="13" t="s">
        <v>779</v>
      </c>
      <c r="B602" s="13" t="s">
        <v>18</v>
      </c>
      <c r="C602" s="5" t="s">
        <v>33</v>
      </c>
      <c r="D602" s="5" t="s">
        <v>53</v>
      </c>
      <c r="E602" s="5" t="s">
        <v>58</v>
      </c>
      <c r="F602" s="5" t="s">
        <v>64</v>
      </c>
      <c r="G602" s="5" t="s">
        <v>74</v>
      </c>
      <c r="H602" s="38">
        <v>56323.99</v>
      </c>
      <c r="I602" s="14">
        <v>0.25</v>
      </c>
      <c r="J602" s="38">
        <v>42242.9925</v>
      </c>
      <c r="K602" s="5">
        <v>2</v>
      </c>
      <c r="L602" s="62">
        <f>Table1[[#This Row],[Final_Unit_Price]]*Table1[[#This Row],[Quantity]]</f>
        <v>84485.985000000001</v>
      </c>
      <c r="M602" s="60">
        <v>21121.5</v>
      </c>
      <c r="N602" s="43">
        <v>45867</v>
      </c>
      <c r="O602" s="18" t="str">
        <f>TEXT(Table1[[#This Row],[Order_Date]],"mmm")</f>
        <v>Jul</v>
      </c>
      <c r="P602" s="18">
        <f t="shared" si="18"/>
        <v>2025</v>
      </c>
      <c r="Q602" s="45">
        <v>45869</v>
      </c>
      <c r="R602" s="19">
        <f>'Cleaned Data'!$Q602-'Cleaned Data'!$N602</f>
        <v>2</v>
      </c>
      <c r="S602" s="19" t="str">
        <f t="shared" si="19"/>
        <v>Monsoon</v>
      </c>
    </row>
    <row r="603" spans="1:19" x14ac:dyDescent="0.3">
      <c r="A603" s="11" t="s">
        <v>780</v>
      </c>
      <c r="B603" s="11" t="s">
        <v>25</v>
      </c>
      <c r="C603" s="3" t="s">
        <v>34</v>
      </c>
      <c r="D603" s="3" t="s">
        <v>45</v>
      </c>
      <c r="E603" s="3" t="s">
        <v>59</v>
      </c>
      <c r="F603" s="3" t="s">
        <v>63</v>
      </c>
      <c r="G603" s="3" t="s">
        <v>75</v>
      </c>
      <c r="H603" s="37">
        <v>870.42</v>
      </c>
      <c r="I603" s="12">
        <v>0</v>
      </c>
      <c r="J603" s="37">
        <v>870.42</v>
      </c>
      <c r="K603" s="3">
        <v>2</v>
      </c>
      <c r="L603" s="61">
        <f>Table1[[#This Row],[Final_Unit_Price]]*Table1[[#This Row],[Quantity]]</f>
        <v>1740.84</v>
      </c>
      <c r="M603" s="59">
        <v>609.29</v>
      </c>
      <c r="N603" s="42">
        <v>45555</v>
      </c>
      <c r="O603" s="20" t="str">
        <f>TEXT(Table1[[#This Row],[Order_Date]],"mmm")</f>
        <v>Sep</v>
      </c>
      <c r="P603" s="20">
        <f t="shared" si="18"/>
        <v>2024</v>
      </c>
      <c r="Q603" s="46">
        <v>45558</v>
      </c>
      <c r="R603" s="20">
        <f>'Cleaned Data'!$Q603-'Cleaned Data'!$N603</f>
        <v>3</v>
      </c>
      <c r="S603" s="19" t="str">
        <f t="shared" si="19"/>
        <v>Monsoon</v>
      </c>
    </row>
    <row r="604" spans="1:19" x14ac:dyDescent="0.3">
      <c r="A604" s="13" t="s">
        <v>781</v>
      </c>
      <c r="B604" s="13" t="s">
        <v>28</v>
      </c>
      <c r="C604" s="5" t="s">
        <v>34</v>
      </c>
      <c r="D604" s="5" t="s">
        <v>41</v>
      </c>
      <c r="E604" s="5" t="s">
        <v>60</v>
      </c>
      <c r="F604" s="5" t="s">
        <v>62</v>
      </c>
      <c r="G604" s="5" t="s">
        <v>67</v>
      </c>
      <c r="H604" s="38">
        <v>1390.28</v>
      </c>
      <c r="I604" s="14">
        <v>0.1</v>
      </c>
      <c r="J604" s="38">
        <v>1251.252</v>
      </c>
      <c r="K604" s="5">
        <v>4</v>
      </c>
      <c r="L604" s="62">
        <f>Table1[[#This Row],[Final_Unit_Price]]*Table1[[#This Row],[Quantity]]</f>
        <v>5005.0079999999998</v>
      </c>
      <c r="M604" s="60">
        <v>750.75</v>
      </c>
      <c r="N604" s="43">
        <v>45811</v>
      </c>
      <c r="O604" s="18" t="str">
        <f>TEXT(Table1[[#This Row],[Order_Date]],"mmm")</f>
        <v>Jun</v>
      </c>
      <c r="P604" s="18">
        <f t="shared" si="18"/>
        <v>2025</v>
      </c>
      <c r="Q604" s="45">
        <v>45816</v>
      </c>
      <c r="R604" s="19">
        <f>'Cleaned Data'!$Q604-'Cleaned Data'!$N604</f>
        <v>5</v>
      </c>
      <c r="S604" s="19" t="str">
        <f t="shared" si="19"/>
        <v>Monsoon</v>
      </c>
    </row>
    <row r="605" spans="1:19" x14ac:dyDescent="0.3">
      <c r="A605" s="11" t="s">
        <v>782</v>
      </c>
      <c r="B605" s="11" t="s">
        <v>22</v>
      </c>
      <c r="C605" s="3" t="s">
        <v>31</v>
      </c>
      <c r="D605" s="3" t="s">
        <v>36</v>
      </c>
      <c r="E605" s="3" t="s">
        <v>58</v>
      </c>
      <c r="F605" s="3" t="s">
        <v>64</v>
      </c>
      <c r="G605" s="3" t="s">
        <v>74</v>
      </c>
      <c r="H605" s="37">
        <v>3943.85</v>
      </c>
      <c r="I605" s="12">
        <v>0.2</v>
      </c>
      <c r="J605" s="37">
        <v>3155.08</v>
      </c>
      <c r="K605" s="3">
        <v>2</v>
      </c>
      <c r="L605" s="61">
        <f>Table1[[#This Row],[Final_Unit_Price]]*Table1[[#This Row],[Quantity]]</f>
        <v>6310.16</v>
      </c>
      <c r="M605" s="59">
        <v>1577.54</v>
      </c>
      <c r="N605" s="42">
        <v>45467</v>
      </c>
      <c r="O605" s="20" t="str">
        <f>TEXT(Table1[[#This Row],[Order_Date]],"mmm")</f>
        <v>Jun</v>
      </c>
      <c r="P605" s="20">
        <f t="shared" si="18"/>
        <v>2024</v>
      </c>
      <c r="Q605" s="46">
        <v>45472</v>
      </c>
      <c r="R605" s="20">
        <f>'Cleaned Data'!$Q605-'Cleaned Data'!$N605</f>
        <v>5</v>
      </c>
      <c r="S605" s="19" t="str">
        <f t="shared" si="19"/>
        <v>Monsoon</v>
      </c>
    </row>
    <row r="606" spans="1:19" x14ac:dyDescent="0.3">
      <c r="A606" s="13" t="s">
        <v>783</v>
      </c>
      <c r="B606" s="13" t="s">
        <v>27</v>
      </c>
      <c r="C606" s="5" t="s">
        <v>35</v>
      </c>
      <c r="D606" s="5" t="s">
        <v>44</v>
      </c>
      <c r="E606" s="5" t="s">
        <v>60</v>
      </c>
      <c r="F606" s="5" t="s">
        <v>61</v>
      </c>
      <c r="G606" s="5" t="s">
        <v>65</v>
      </c>
      <c r="H606" s="38">
        <v>6600.14</v>
      </c>
      <c r="I606" s="14">
        <v>0.25</v>
      </c>
      <c r="J606" s="38">
        <v>4950.1049999999996</v>
      </c>
      <c r="K606" s="5">
        <v>3</v>
      </c>
      <c r="L606" s="62">
        <f>Table1[[#This Row],[Final_Unit_Price]]*Table1[[#This Row],[Quantity]]</f>
        <v>14850.314999999999</v>
      </c>
      <c r="M606" s="60">
        <v>2227.5500000000002</v>
      </c>
      <c r="N606" s="43">
        <v>45725</v>
      </c>
      <c r="O606" s="18" t="str">
        <f>TEXT(Table1[[#This Row],[Order_Date]],"mmm")</f>
        <v>Mar</v>
      </c>
      <c r="P606" s="18">
        <f t="shared" si="18"/>
        <v>2025</v>
      </c>
      <c r="Q606" s="45">
        <v>45729</v>
      </c>
      <c r="R606" s="19">
        <f>'Cleaned Data'!$Q606-'Cleaned Data'!$N606</f>
        <v>4</v>
      </c>
      <c r="S606" s="19" t="str">
        <f t="shared" si="19"/>
        <v>Summer</v>
      </c>
    </row>
    <row r="607" spans="1:19" x14ac:dyDescent="0.3">
      <c r="A607" s="11" t="s">
        <v>784</v>
      </c>
      <c r="B607" s="11" t="s">
        <v>22</v>
      </c>
      <c r="C607" s="3" t="s">
        <v>31</v>
      </c>
      <c r="D607" s="3" t="s">
        <v>42</v>
      </c>
      <c r="E607" s="3" t="s">
        <v>60</v>
      </c>
      <c r="F607" s="3" t="s">
        <v>62</v>
      </c>
      <c r="G607" s="3" t="s">
        <v>66</v>
      </c>
      <c r="H607" s="37">
        <v>2964.63</v>
      </c>
      <c r="I607" s="12">
        <v>0</v>
      </c>
      <c r="J607" s="37">
        <v>2964.63</v>
      </c>
      <c r="K607" s="3">
        <v>4</v>
      </c>
      <c r="L607" s="61">
        <f>Table1[[#This Row],[Final_Unit_Price]]*Table1[[#This Row],[Quantity]]</f>
        <v>11858.52</v>
      </c>
      <c r="M607" s="59">
        <v>1778.78</v>
      </c>
      <c r="N607" s="42">
        <v>45671</v>
      </c>
      <c r="O607" s="20" t="str">
        <f>TEXT(Table1[[#This Row],[Order_Date]],"mmm")</f>
        <v>Jan</v>
      </c>
      <c r="P607" s="20">
        <f t="shared" si="18"/>
        <v>2025</v>
      </c>
      <c r="Q607" s="46">
        <v>45678</v>
      </c>
      <c r="R607" s="20">
        <f>'Cleaned Data'!$Q607-'Cleaned Data'!$N607</f>
        <v>7</v>
      </c>
      <c r="S607" s="19" t="str">
        <f t="shared" si="19"/>
        <v>Winter</v>
      </c>
    </row>
    <row r="608" spans="1:19" x14ac:dyDescent="0.3">
      <c r="A608" s="13" t="s">
        <v>785</v>
      </c>
      <c r="B608" s="13" t="s">
        <v>19</v>
      </c>
      <c r="C608" s="5" t="s">
        <v>33</v>
      </c>
      <c r="D608" s="5" t="s">
        <v>38</v>
      </c>
      <c r="E608" s="5" t="s">
        <v>59</v>
      </c>
      <c r="F608" s="5" t="s">
        <v>63</v>
      </c>
      <c r="G608" s="5" t="s">
        <v>75</v>
      </c>
      <c r="H608" s="38">
        <v>2351.89</v>
      </c>
      <c r="I608" s="14">
        <v>0.25</v>
      </c>
      <c r="J608" s="38">
        <v>1763.9175</v>
      </c>
      <c r="K608" s="5">
        <v>1</v>
      </c>
      <c r="L608" s="62">
        <f>Table1[[#This Row],[Final_Unit_Price]]*Table1[[#This Row],[Quantity]]</f>
        <v>1763.9175</v>
      </c>
      <c r="M608" s="60">
        <v>617.37</v>
      </c>
      <c r="N608" s="43">
        <v>45576</v>
      </c>
      <c r="O608" s="18" t="str">
        <f>TEXT(Table1[[#This Row],[Order_Date]],"mmm")</f>
        <v>Oct</v>
      </c>
      <c r="P608" s="18">
        <f t="shared" si="18"/>
        <v>2024</v>
      </c>
      <c r="Q608" s="45">
        <v>45578</v>
      </c>
      <c r="R608" s="19">
        <f>'Cleaned Data'!$Q608-'Cleaned Data'!$N608</f>
        <v>2</v>
      </c>
      <c r="S608" s="19" t="str">
        <f t="shared" si="19"/>
        <v>Winter</v>
      </c>
    </row>
    <row r="609" spans="1:19" x14ac:dyDescent="0.3">
      <c r="A609" s="11" t="s">
        <v>786</v>
      </c>
      <c r="B609" s="11" t="s">
        <v>16</v>
      </c>
      <c r="C609" s="3" t="s">
        <v>31</v>
      </c>
      <c r="D609" s="3" t="s">
        <v>47</v>
      </c>
      <c r="E609" s="3" t="s">
        <v>59</v>
      </c>
      <c r="F609" s="3" t="s">
        <v>62</v>
      </c>
      <c r="G609" s="3" t="s">
        <v>67</v>
      </c>
      <c r="H609" s="37">
        <v>2963.75</v>
      </c>
      <c r="I609" s="12">
        <v>0</v>
      </c>
      <c r="J609" s="37">
        <v>2963.75</v>
      </c>
      <c r="K609" s="3">
        <v>4</v>
      </c>
      <c r="L609" s="61">
        <f>Table1[[#This Row],[Final_Unit_Price]]*Table1[[#This Row],[Quantity]]</f>
        <v>11855</v>
      </c>
      <c r="M609" s="59">
        <v>4149.25</v>
      </c>
      <c r="N609" s="42">
        <v>45424</v>
      </c>
      <c r="O609" s="20" t="str">
        <f>TEXT(Table1[[#This Row],[Order_Date]],"mmm")</f>
        <v>May</v>
      </c>
      <c r="P609" s="20">
        <f t="shared" si="18"/>
        <v>2024</v>
      </c>
      <c r="Q609" s="46">
        <v>45429</v>
      </c>
      <c r="R609" s="20">
        <f>'Cleaned Data'!$Q609-'Cleaned Data'!$N609</f>
        <v>5</v>
      </c>
      <c r="S609" s="19" t="str">
        <f t="shared" si="19"/>
        <v>Summer</v>
      </c>
    </row>
    <row r="610" spans="1:19" x14ac:dyDescent="0.3">
      <c r="A610" s="13" t="s">
        <v>787</v>
      </c>
      <c r="B610" s="13" t="s">
        <v>28</v>
      </c>
      <c r="C610" s="5" t="s">
        <v>34</v>
      </c>
      <c r="D610" s="5" t="s">
        <v>49</v>
      </c>
      <c r="E610" s="5" t="s">
        <v>59</v>
      </c>
      <c r="F610" s="5" t="s">
        <v>61</v>
      </c>
      <c r="G610" s="5" t="s">
        <v>70</v>
      </c>
      <c r="H610" s="38">
        <v>1827.19</v>
      </c>
      <c r="I610" s="14">
        <v>0</v>
      </c>
      <c r="J610" s="38">
        <v>1827.19</v>
      </c>
      <c r="K610" s="5">
        <v>5</v>
      </c>
      <c r="L610" s="62">
        <f>Table1[[#This Row],[Final_Unit_Price]]*Table1[[#This Row],[Quantity]]</f>
        <v>9135.9500000000007</v>
      </c>
      <c r="M610" s="60">
        <v>3197.58</v>
      </c>
      <c r="N610" s="43">
        <v>45364</v>
      </c>
      <c r="O610" s="18" t="str">
        <f>TEXT(Table1[[#This Row],[Order_Date]],"mmm")</f>
        <v>Mar</v>
      </c>
      <c r="P610" s="18">
        <f t="shared" si="18"/>
        <v>2024</v>
      </c>
      <c r="Q610" s="45">
        <v>45373</v>
      </c>
      <c r="R610" s="19">
        <f>'Cleaned Data'!$Q610-'Cleaned Data'!$N610</f>
        <v>9</v>
      </c>
      <c r="S610" s="19" t="str">
        <f t="shared" si="19"/>
        <v>Summer</v>
      </c>
    </row>
    <row r="611" spans="1:19" x14ac:dyDescent="0.3">
      <c r="A611" s="11" t="s">
        <v>788</v>
      </c>
      <c r="B611" s="11" t="s">
        <v>18</v>
      </c>
      <c r="C611" s="3" t="s">
        <v>33</v>
      </c>
      <c r="D611" s="3" t="s">
        <v>56</v>
      </c>
      <c r="E611" s="3" t="s">
        <v>60</v>
      </c>
      <c r="F611" s="3" t="s">
        <v>64</v>
      </c>
      <c r="G611" s="3" t="s">
        <v>72</v>
      </c>
      <c r="H611" s="37">
        <v>46808.27</v>
      </c>
      <c r="I611" s="12">
        <v>0.25</v>
      </c>
      <c r="J611" s="37">
        <v>35106.202499999999</v>
      </c>
      <c r="K611" s="3">
        <v>4</v>
      </c>
      <c r="L611" s="61">
        <f>Table1[[#This Row],[Final_Unit_Price]]*Table1[[#This Row],[Quantity]]</f>
        <v>140424.81</v>
      </c>
      <c r="M611" s="59">
        <v>21063.72</v>
      </c>
      <c r="N611" s="42">
        <v>45479</v>
      </c>
      <c r="O611" s="20" t="str">
        <f>TEXT(Table1[[#This Row],[Order_Date]],"mmm")</f>
        <v>Jul</v>
      </c>
      <c r="P611" s="20">
        <f t="shared" si="18"/>
        <v>2024</v>
      </c>
      <c r="Q611" s="46">
        <v>45481</v>
      </c>
      <c r="R611" s="20">
        <f>'Cleaned Data'!$Q611-'Cleaned Data'!$N611</f>
        <v>2</v>
      </c>
      <c r="S611" s="19" t="str">
        <f t="shared" si="19"/>
        <v>Monsoon</v>
      </c>
    </row>
    <row r="612" spans="1:19" x14ac:dyDescent="0.3">
      <c r="A612" s="13" t="s">
        <v>789</v>
      </c>
      <c r="B612" s="13" t="s">
        <v>22</v>
      </c>
      <c r="C612" s="5" t="s">
        <v>31</v>
      </c>
      <c r="D612" s="5" t="s">
        <v>47</v>
      </c>
      <c r="E612" s="5" t="s">
        <v>59</v>
      </c>
      <c r="F612" s="5" t="s">
        <v>64</v>
      </c>
      <c r="G612" s="5" t="s">
        <v>74</v>
      </c>
      <c r="H612" s="38">
        <v>4407.78</v>
      </c>
      <c r="I612" s="14">
        <v>0.2</v>
      </c>
      <c r="J612" s="38">
        <v>3526.2240000000002</v>
      </c>
      <c r="K612" s="5">
        <v>1</v>
      </c>
      <c r="L612" s="62">
        <f>Table1[[#This Row],[Final_Unit_Price]]*Table1[[#This Row],[Quantity]]</f>
        <v>3526.2240000000002</v>
      </c>
      <c r="M612" s="60">
        <v>1234.18</v>
      </c>
      <c r="N612" s="43">
        <v>45559</v>
      </c>
      <c r="O612" s="18" t="str">
        <f>TEXT(Table1[[#This Row],[Order_Date]],"mmm")</f>
        <v>Sep</v>
      </c>
      <c r="P612" s="18">
        <f t="shared" si="18"/>
        <v>2024</v>
      </c>
      <c r="Q612" s="45">
        <v>45566</v>
      </c>
      <c r="R612" s="19">
        <f>'Cleaned Data'!$Q612-'Cleaned Data'!$N612</f>
        <v>7</v>
      </c>
      <c r="S612" s="19" t="str">
        <f t="shared" si="19"/>
        <v>Monsoon</v>
      </c>
    </row>
    <row r="613" spans="1:19" x14ac:dyDescent="0.3">
      <c r="A613" s="11" t="s">
        <v>790</v>
      </c>
      <c r="B613" s="11" t="s">
        <v>28</v>
      </c>
      <c r="C613" s="3" t="s">
        <v>34</v>
      </c>
      <c r="D613" s="3" t="s">
        <v>45</v>
      </c>
      <c r="E613" s="3" t="s">
        <v>59</v>
      </c>
      <c r="F613" s="3" t="s">
        <v>62</v>
      </c>
      <c r="G613" s="3" t="s">
        <v>66</v>
      </c>
      <c r="H613" s="37">
        <v>1939.43</v>
      </c>
      <c r="I613" s="12">
        <v>0.1</v>
      </c>
      <c r="J613" s="37">
        <v>1745.4870000000001</v>
      </c>
      <c r="K613" s="3">
        <v>4</v>
      </c>
      <c r="L613" s="61">
        <f>Table1[[#This Row],[Final_Unit_Price]]*Table1[[#This Row],[Quantity]]</f>
        <v>6981.9480000000003</v>
      </c>
      <c r="M613" s="59">
        <v>2443.6799999999998</v>
      </c>
      <c r="N613" s="42">
        <v>45406</v>
      </c>
      <c r="O613" s="20" t="str">
        <f>TEXT(Table1[[#This Row],[Order_Date]],"mmm")</f>
        <v>Apr</v>
      </c>
      <c r="P613" s="20">
        <f t="shared" si="18"/>
        <v>2024</v>
      </c>
      <c r="Q613" s="46">
        <v>45412</v>
      </c>
      <c r="R613" s="20">
        <f>'Cleaned Data'!$Q613-'Cleaned Data'!$N613</f>
        <v>6</v>
      </c>
      <c r="S613" s="19" t="str">
        <f t="shared" si="19"/>
        <v>Summer</v>
      </c>
    </row>
    <row r="614" spans="1:19" x14ac:dyDescent="0.3">
      <c r="A614" s="13" t="s">
        <v>791</v>
      </c>
      <c r="B614" s="13" t="s">
        <v>22</v>
      </c>
      <c r="C614" s="5" t="s">
        <v>31</v>
      </c>
      <c r="D614" s="5" t="s">
        <v>36</v>
      </c>
      <c r="E614" s="5" t="s">
        <v>58</v>
      </c>
      <c r="F614" s="5" t="s">
        <v>64</v>
      </c>
      <c r="G614" s="5" t="s">
        <v>74</v>
      </c>
      <c r="H614" s="38">
        <v>3956.73</v>
      </c>
      <c r="I614" s="14">
        <v>0.25</v>
      </c>
      <c r="J614" s="38">
        <v>2967.5475000000001</v>
      </c>
      <c r="K614" s="5">
        <v>4</v>
      </c>
      <c r="L614" s="62">
        <f>Table1[[#This Row],[Final_Unit_Price]]*Table1[[#This Row],[Quantity]]</f>
        <v>11870.19</v>
      </c>
      <c r="M614" s="60">
        <v>2967.55</v>
      </c>
      <c r="N614" s="43">
        <v>45553</v>
      </c>
      <c r="O614" s="18" t="str">
        <f>TEXT(Table1[[#This Row],[Order_Date]],"mmm")</f>
        <v>Sep</v>
      </c>
      <c r="P614" s="18">
        <f t="shared" si="18"/>
        <v>2024</v>
      </c>
      <c r="Q614" s="45">
        <v>45557</v>
      </c>
      <c r="R614" s="19">
        <f>'Cleaned Data'!$Q614-'Cleaned Data'!$N614</f>
        <v>4</v>
      </c>
      <c r="S614" s="19" t="str">
        <f t="shared" si="19"/>
        <v>Monsoon</v>
      </c>
    </row>
    <row r="615" spans="1:19" x14ac:dyDescent="0.3">
      <c r="A615" s="11" t="s">
        <v>792</v>
      </c>
      <c r="B615" s="11" t="s">
        <v>22</v>
      </c>
      <c r="C615" s="3" t="s">
        <v>31</v>
      </c>
      <c r="D615" s="3" t="s">
        <v>47</v>
      </c>
      <c r="E615" s="3" t="s">
        <v>59</v>
      </c>
      <c r="F615" s="3" t="s">
        <v>61</v>
      </c>
      <c r="G615" s="3" t="s">
        <v>71</v>
      </c>
      <c r="H615" s="37">
        <v>4066.28</v>
      </c>
      <c r="I615" s="12">
        <v>0</v>
      </c>
      <c r="J615" s="37">
        <v>4066.28</v>
      </c>
      <c r="K615" s="3">
        <v>2</v>
      </c>
      <c r="L615" s="61">
        <f>Table1[[#This Row],[Final_Unit_Price]]*Table1[[#This Row],[Quantity]]</f>
        <v>8132.56</v>
      </c>
      <c r="M615" s="59">
        <v>2846.4</v>
      </c>
      <c r="N615" s="42">
        <v>45726</v>
      </c>
      <c r="O615" s="20" t="str">
        <f>TEXT(Table1[[#This Row],[Order_Date]],"mmm")</f>
        <v>Mar</v>
      </c>
      <c r="P615" s="20">
        <f t="shared" si="18"/>
        <v>2025</v>
      </c>
      <c r="Q615" s="46">
        <v>45730</v>
      </c>
      <c r="R615" s="20">
        <f>'Cleaned Data'!$Q615-'Cleaned Data'!$N615</f>
        <v>4</v>
      </c>
      <c r="S615" s="19" t="str">
        <f t="shared" si="19"/>
        <v>Summer</v>
      </c>
    </row>
    <row r="616" spans="1:19" x14ac:dyDescent="0.3">
      <c r="A616" s="13" t="s">
        <v>793</v>
      </c>
      <c r="B616" s="13" t="s">
        <v>26</v>
      </c>
      <c r="C616" s="5" t="s">
        <v>32</v>
      </c>
      <c r="D616" s="5" t="s">
        <v>37</v>
      </c>
      <c r="E616" s="5" t="s">
        <v>59</v>
      </c>
      <c r="F616" s="5" t="s">
        <v>64</v>
      </c>
      <c r="G616" s="5" t="s">
        <v>72</v>
      </c>
      <c r="H616" s="38">
        <v>46286.91</v>
      </c>
      <c r="I616" s="14">
        <v>0.05</v>
      </c>
      <c r="J616" s="38">
        <v>43972.5645</v>
      </c>
      <c r="K616" s="5">
        <v>2</v>
      </c>
      <c r="L616" s="62">
        <f>Table1[[#This Row],[Final_Unit_Price]]*Table1[[#This Row],[Quantity]]</f>
        <v>87945.129000000001</v>
      </c>
      <c r="M616" s="60">
        <v>30780.799999999999</v>
      </c>
      <c r="N616" s="43">
        <v>45350</v>
      </c>
      <c r="O616" s="18" t="str">
        <f>TEXT(Table1[[#This Row],[Order_Date]],"mmm")</f>
        <v>Feb</v>
      </c>
      <c r="P616" s="18">
        <f t="shared" si="18"/>
        <v>2024</v>
      </c>
      <c r="Q616" s="45">
        <v>45356</v>
      </c>
      <c r="R616" s="19">
        <f>'Cleaned Data'!$Q616-'Cleaned Data'!$N616</f>
        <v>6</v>
      </c>
      <c r="S616" s="19" t="str">
        <f t="shared" si="19"/>
        <v>Summer</v>
      </c>
    </row>
    <row r="617" spans="1:19" x14ac:dyDescent="0.3">
      <c r="A617" s="11" t="s">
        <v>794</v>
      </c>
      <c r="B617" s="11" t="s">
        <v>28</v>
      </c>
      <c r="C617" s="3" t="s">
        <v>34</v>
      </c>
      <c r="D617" s="3" t="s">
        <v>51</v>
      </c>
      <c r="E617" s="3" t="s">
        <v>59</v>
      </c>
      <c r="F617" s="3" t="s">
        <v>62</v>
      </c>
      <c r="G617" s="3" t="s">
        <v>67</v>
      </c>
      <c r="H617" s="37">
        <v>1912.84</v>
      </c>
      <c r="I617" s="12">
        <v>0.25</v>
      </c>
      <c r="J617" s="37">
        <v>1434.63</v>
      </c>
      <c r="K617" s="3">
        <v>2</v>
      </c>
      <c r="L617" s="61">
        <f>Table1[[#This Row],[Final_Unit_Price]]*Table1[[#This Row],[Quantity]]</f>
        <v>2869.26</v>
      </c>
      <c r="M617" s="59">
        <v>1004.24</v>
      </c>
      <c r="N617" s="42">
        <v>45708</v>
      </c>
      <c r="O617" s="20" t="str">
        <f>TEXT(Table1[[#This Row],[Order_Date]],"mmm")</f>
        <v>Feb</v>
      </c>
      <c r="P617" s="20">
        <f t="shared" si="18"/>
        <v>2025</v>
      </c>
      <c r="Q617" s="46">
        <v>45711</v>
      </c>
      <c r="R617" s="20">
        <f>'Cleaned Data'!$Q617-'Cleaned Data'!$N617</f>
        <v>3</v>
      </c>
      <c r="S617" s="19" t="str">
        <f t="shared" si="19"/>
        <v>Summer</v>
      </c>
    </row>
    <row r="618" spans="1:19" x14ac:dyDescent="0.3">
      <c r="A618" s="13" t="s">
        <v>795</v>
      </c>
      <c r="B618" s="13" t="s">
        <v>25</v>
      </c>
      <c r="C618" s="5" t="s">
        <v>34</v>
      </c>
      <c r="D618" s="5" t="s">
        <v>55</v>
      </c>
      <c r="E618" s="5" t="s">
        <v>58</v>
      </c>
      <c r="F618" s="5" t="s">
        <v>64</v>
      </c>
      <c r="G618" s="5" t="s">
        <v>76</v>
      </c>
      <c r="H618" s="38">
        <v>890.85</v>
      </c>
      <c r="I618" s="14">
        <v>0.3</v>
      </c>
      <c r="J618" s="38">
        <v>623.59500000000003</v>
      </c>
      <c r="K618" s="5">
        <v>2</v>
      </c>
      <c r="L618" s="62">
        <f>Table1[[#This Row],[Final_Unit_Price]]*Table1[[#This Row],[Quantity]]</f>
        <v>1247.19</v>
      </c>
      <c r="M618" s="60">
        <v>311.8</v>
      </c>
      <c r="N618" s="43">
        <v>45530</v>
      </c>
      <c r="O618" s="18" t="str">
        <f>TEXT(Table1[[#This Row],[Order_Date]],"mmm")</f>
        <v>Aug</v>
      </c>
      <c r="P618" s="18">
        <f t="shared" si="18"/>
        <v>2024</v>
      </c>
      <c r="Q618" s="45">
        <v>45540</v>
      </c>
      <c r="R618" s="19">
        <f>'Cleaned Data'!$Q618-'Cleaned Data'!$N618</f>
        <v>10</v>
      </c>
      <c r="S618" s="19" t="str">
        <f t="shared" si="19"/>
        <v>Monsoon</v>
      </c>
    </row>
    <row r="619" spans="1:19" x14ac:dyDescent="0.3">
      <c r="A619" s="11" t="s">
        <v>796</v>
      </c>
      <c r="B619" s="11" t="s">
        <v>19</v>
      </c>
      <c r="C619" s="3" t="s">
        <v>33</v>
      </c>
      <c r="D619" s="3" t="s">
        <v>50</v>
      </c>
      <c r="E619" s="3" t="s">
        <v>59</v>
      </c>
      <c r="F619" s="3" t="s">
        <v>63</v>
      </c>
      <c r="G619" s="3" t="s">
        <v>68</v>
      </c>
      <c r="H619" s="37">
        <v>2198.81</v>
      </c>
      <c r="I619" s="12">
        <v>0.15</v>
      </c>
      <c r="J619" s="37">
        <v>1868.9884999999999</v>
      </c>
      <c r="K619" s="3">
        <v>4</v>
      </c>
      <c r="L619" s="61">
        <f>Table1[[#This Row],[Final_Unit_Price]]*Table1[[#This Row],[Quantity]]</f>
        <v>7475.9539999999997</v>
      </c>
      <c r="M619" s="59">
        <v>2616.58</v>
      </c>
      <c r="N619" s="42">
        <v>45641</v>
      </c>
      <c r="O619" s="20" t="str">
        <f>TEXT(Table1[[#This Row],[Order_Date]],"mmm")</f>
        <v>Dec</v>
      </c>
      <c r="P619" s="20">
        <f t="shared" si="18"/>
        <v>2024</v>
      </c>
      <c r="Q619" s="46">
        <v>45648</v>
      </c>
      <c r="R619" s="20">
        <f>'Cleaned Data'!$Q619-'Cleaned Data'!$N619</f>
        <v>7</v>
      </c>
      <c r="S619" s="19" t="str">
        <f t="shared" si="19"/>
        <v>Winter</v>
      </c>
    </row>
    <row r="620" spans="1:19" x14ac:dyDescent="0.3">
      <c r="A620" s="13" t="s">
        <v>797</v>
      </c>
      <c r="B620" s="13" t="s">
        <v>26</v>
      </c>
      <c r="C620" s="5" t="s">
        <v>32</v>
      </c>
      <c r="D620" s="5" t="s">
        <v>37</v>
      </c>
      <c r="E620" s="5" t="s">
        <v>59</v>
      </c>
      <c r="F620" s="5" t="s">
        <v>62</v>
      </c>
      <c r="G620" s="5" t="s">
        <v>69</v>
      </c>
      <c r="H620" s="38">
        <v>43667.64</v>
      </c>
      <c r="I620" s="14">
        <v>0.25</v>
      </c>
      <c r="J620" s="38">
        <v>32750.73</v>
      </c>
      <c r="K620" s="5">
        <v>3</v>
      </c>
      <c r="L620" s="62">
        <f>Table1[[#This Row],[Final_Unit_Price]]*Table1[[#This Row],[Quantity]]</f>
        <v>98252.19</v>
      </c>
      <c r="M620" s="60">
        <v>34388.269999999997</v>
      </c>
      <c r="N620" s="43">
        <v>45469</v>
      </c>
      <c r="O620" s="18" t="str">
        <f>TEXT(Table1[[#This Row],[Order_Date]],"mmm")</f>
        <v>Jun</v>
      </c>
      <c r="P620" s="18">
        <f t="shared" si="18"/>
        <v>2024</v>
      </c>
      <c r="Q620" s="45">
        <v>45477</v>
      </c>
      <c r="R620" s="19">
        <f>'Cleaned Data'!$Q620-'Cleaned Data'!$N620</f>
        <v>8</v>
      </c>
      <c r="S620" s="19" t="str">
        <f t="shared" si="19"/>
        <v>Monsoon</v>
      </c>
    </row>
    <row r="621" spans="1:19" x14ac:dyDescent="0.3">
      <c r="A621" s="11" t="s">
        <v>798</v>
      </c>
      <c r="B621" s="11" t="s">
        <v>17</v>
      </c>
      <c r="C621" s="3" t="s">
        <v>32</v>
      </c>
      <c r="D621" s="3" t="s">
        <v>43</v>
      </c>
      <c r="E621" s="3" t="s">
        <v>58</v>
      </c>
      <c r="F621" s="3" t="s">
        <v>64</v>
      </c>
      <c r="G621" s="3" t="s">
        <v>74</v>
      </c>
      <c r="H621" s="37">
        <v>8352.9699999999993</v>
      </c>
      <c r="I621" s="12">
        <v>0.3</v>
      </c>
      <c r="J621" s="37">
        <v>5847.0789999999988</v>
      </c>
      <c r="K621" s="3">
        <v>4</v>
      </c>
      <c r="L621" s="61">
        <f>Table1[[#This Row],[Final_Unit_Price]]*Table1[[#This Row],[Quantity]]</f>
        <v>23388.315999999995</v>
      </c>
      <c r="M621" s="59">
        <v>5847.08</v>
      </c>
      <c r="N621" s="42">
        <v>45543</v>
      </c>
      <c r="O621" s="20" t="str">
        <f>TEXT(Table1[[#This Row],[Order_Date]],"mmm")</f>
        <v>Sep</v>
      </c>
      <c r="P621" s="20">
        <f t="shared" si="18"/>
        <v>2024</v>
      </c>
      <c r="Q621" s="46">
        <v>45552</v>
      </c>
      <c r="R621" s="20">
        <f>'Cleaned Data'!$Q621-'Cleaned Data'!$N621</f>
        <v>9</v>
      </c>
      <c r="S621" s="19" t="str">
        <f t="shared" si="19"/>
        <v>Monsoon</v>
      </c>
    </row>
    <row r="622" spans="1:19" x14ac:dyDescent="0.3">
      <c r="A622" s="13" t="s">
        <v>799</v>
      </c>
      <c r="B622" s="13" t="s">
        <v>30</v>
      </c>
      <c r="C622" s="5" t="s">
        <v>33</v>
      </c>
      <c r="D622" s="5" t="s">
        <v>50</v>
      </c>
      <c r="E622" s="5" t="s">
        <v>59</v>
      </c>
      <c r="F622" s="5" t="s">
        <v>63</v>
      </c>
      <c r="G622" s="5" t="s">
        <v>68</v>
      </c>
      <c r="H622" s="38">
        <v>17090.89</v>
      </c>
      <c r="I622" s="14">
        <v>0.1</v>
      </c>
      <c r="J622" s="38">
        <v>15381.800999999999</v>
      </c>
      <c r="K622" s="5">
        <v>5</v>
      </c>
      <c r="L622" s="62">
        <f>Table1[[#This Row],[Final_Unit_Price]]*Table1[[#This Row],[Quantity]]</f>
        <v>76909.005000000005</v>
      </c>
      <c r="M622" s="60">
        <v>26918.15</v>
      </c>
      <c r="N622" s="43">
        <v>45473</v>
      </c>
      <c r="O622" s="18" t="str">
        <f>TEXT(Table1[[#This Row],[Order_Date]],"mmm")</f>
        <v>Jun</v>
      </c>
      <c r="P622" s="18">
        <f t="shared" si="18"/>
        <v>2024</v>
      </c>
      <c r="Q622" s="45">
        <v>45477</v>
      </c>
      <c r="R622" s="19">
        <f>'Cleaned Data'!$Q622-'Cleaned Data'!$N622</f>
        <v>4</v>
      </c>
      <c r="S622" s="19" t="str">
        <f t="shared" si="19"/>
        <v>Monsoon</v>
      </c>
    </row>
    <row r="623" spans="1:19" x14ac:dyDescent="0.3">
      <c r="A623" s="11" t="s">
        <v>800</v>
      </c>
      <c r="B623" s="11" t="s">
        <v>19</v>
      </c>
      <c r="C623" s="3" t="s">
        <v>33</v>
      </c>
      <c r="D623" s="3" t="s">
        <v>38</v>
      </c>
      <c r="E623" s="3" t="s">
        <v>59</v>
      </c>
      <c r="F623" s="3" t="s">
        <v>62</v>
      </c>
      <c r="G623" s="3" t="s">
        <v>67</v>
      </c>
      <c r="H623" s="37">
        <v>2576.35</v>
      </c>
      <c r="I623" s="12">
        <v>0.3</v>
      </c>
      <c r="J623" s="37">
        <v>1803.4449999999999</v>
      </c>
      <c r="K623" s="3">
        <v>1</v>
      </c>
      <c r="L623" s="61">
        <f>Table1[[#This Row],[Final_Unit_Price]]*Table1[[#This Row],[Quantity]]</f>
        <v>1803.4449999999999</v>
      </c>
      <c r="M623" s="59">
        <v>631.20000000000005</v>
      </c>
      <c r="N623" s="42">
        <v>45585</v>
      </c>
      <c r="O623" s="20" t="str">
        <f>TEXT(Table1[[#This Row],[Order_Date]],"mmm")</f>
        <v>Oct</v>
      </c>
      <c r="P623" s="20">
        <f t="shared" si="18"/>
        <v>2024</v>
      </c>
      <c r="Q623" s="46">
        <v>45593</v>
      </c>
      <c r="R623" s="20">
        <f>'Cleaned Data'!$Q623-'Cleaned Data'!$N623</f>
        <v>8</v>
      </c>
      <c r="S623" s="19" t="str">
        <f t="shared" si="19"/>
        <v>Winter</v>
      </c>
    </row>
    <row r="624" spans="1:19" x14ac:dyDescent="0.3">
      <c r="A624" s="13" t="s">
        <v>801</v>
      </c>
      <c r="B624" s="13" t="s">
        <v>18</v>
      </c>
      <c r="C624" s="5" t="s">
        <v>33</v>
      </c>
      <c r="D624" s="5" t="s">
        <v>57</v>
      </c>
      <c r="E624" s="5" t="s">
        <v>60</v>
      </c>
      <c r="F624" s="5" t="s">
        <v>63</v>
      </c>
      <c r="G624" s="5" t="s">
        <v>73</v>
      </c>
      <c r="H624" s="38">
        <v>40148.639999999999</v>
      </c>
      <c r="I624" s="14">
        <v>0.15</v>
      </c>
      <c r="J624" s="38">
        <v>34126.343999999997</v>
      </c>
      <c r="K624" s="5">
        <v>1</v>
      </c>
      <c r="L624" s="62">
        <f>Table1[[#This Row],[Final_Unit_Price]]*Table1[[#This Row],[Quantity]]</f>
        <v>34126.343999999997</v>
      </c>
      <c r="M624" s="60">
        <v>5118.95</v>
      </c>
      <c r="N624" s="43">
        <v>45463</v>
      </c>
      <c r="O624" s="18" t="str">
        <f>TEXT(Table1[[#This Row],[Order_Date]],"mmm")</f>
        <v>Jun</v>
      </c>
      <c r="P624" s="18">
        <f t="shared" si="18"/>
        <v>2024</v>
      </c>
      <c r="Q624" s="45">
        <v>45473</v>
      </c>
      <c r="R624" s="19">
        <f>'Cleaned Data'!$Q624-'Cleaned Data'!$N624</f>
        <v>10</v>
      </c>
      <c r="S624" s="19" t="str">
        <f t="shared" si="19"/>
        <v>Monsoon</v>
      </c>
    </row>
    <row r="625" spans="1:19" x14ac:dyDescent="0.3">
      <c r="A625" s="11" t="s">
        <v>802</v>
      </c>
      <c r="B625" s="11" t="s">
        <v>28</v>
      </c>
      <c r="C625" s="3" t="s">
        <v>34</v>
      </c>
      <c r="D625" s="3" t="s">
        <v>55</v>
      </c>
      <c r="E625" s="3" t="s">
        <v>58</v>
      </c>
      <c r="F625" s="3" t="s">
        <v>61</v>
      </c>
      <c r="G625" s="3" t="s">
        <v>71</v>
      </c>
      <c r="H625" s="37">
        <v>1482.32</v>
      </c>
      <c r="I625" s="12">
        <v>0.15</v>
      </c>
      <c r="J625" s="37">
        <v>1259.972</v>
      </c>
      <c r="K625" s="3">
        <v>2</v>
      </c>
      <c r="L625" s="61">
        <f>Table1[[#This Row],[Final_Unit_Price]]*Table1[[#This Row],[Quantity]]</f>
        <v>2519.944</v>
      </c>
      <c r="M625" s="59">
        <v>629.99</v>
      </c>
      <c r="N625" s="42">
        <v>45727</v>
      </c>
      <c r="O625" s="20" t="str">
        <f>TEXT(Table1[[#This Row],[Order_Date]],"mmm")</f>
        <v>Mar</v>
      </c>
      <c r="P625" s="20">
        <f t="shared" si="18"/>
        <v>2025</v>
      </c>
      <c r="Q625" s="46">
        <v>45736</v>
      </c>
      <c r="R625" s="20">
        <f>'Cleaned Data'!$Q625-'Cleaned Data'!$N625</f>
        <v>9</v>
      </c>
      <c r="S625" s="19" t="str">
        <f t="shared" si="19"/>
        <v>Summer</v>
      </c>
    </row>
    <row r="626" spans="1:19" x14ac:dyDescent="0.3">
      <c r="A626" s="13" t="s">
        <v>803</v>
      </c>
      <c r="B626" s="13" t="s">
        <v>26</v>
      </c>
      <c r="C626" s="5" t="s">
        <v>32</v>
      </c>
      <c r="D626" s="5" t="s">
        <v>54</v>
      </c>
      <c r="E626" s="5" t="s">
        <v>60</v>
      </c>
      <c r="F626" s="5" t="s">
        <v>63</v>
      </c>
      <c r="G626" s="5" t="s">
        <v>68</v>
      </c>
      <c r="H626" s="38">
        <v>28486.77</v>
      </c>
      <c r="I626" s="14">
        <v>0</v>
      </c>
      <c r="J626" s="38">
        <v>28486.77</v>
      </c>
      <c r="K626" s="5">
        <v>4</v>
      </c>
      <c r="L626" s="62">
        <f>Table1[[#This Row],[Final_Unit_Price]]*Table1[[#This Row],[Quantity]]</f>
        <v>113947.08</v>
      </c>
      <c r="M626" s="60">
        <v>17092.060000000001</v>
      </c>
      <c r="N626" s="43">
        <v>45677</v>
      </c>
      <c r="O626" s="18" t="str">
        <f>TEXT(Table1[[#This Row],[Order_Date]],"mmm")</f>
        <v>Jan</v>
      </c>
      <c r="P626" s="18">
        <f t="shared" si="18"/>
        <v>2025</v>
      </c>
      <c r="Q626" s="45">
        <v>45687</v>
      </c>
      <c r="R626" s="19">
        <f>'Cleaned Data'!$Q626-'Cleaned Data'!$N626</f>
        <v>10</v>
      </c>
      <c r="S626" s="19" t="str">
        <f t="shared" si="19"/>
        <v>Winter</v>
      </c>
    </row>
    <row r="627" spans="1:19" x14ac:dyDescent="0.3">
      <c r="A627" s="11" t="s">
        <v>804</v>
      </c>
      <c r="B627" s="11" t="s">
        <v>24</v>
      </c>
      <c r="C627" s="3" t="s">
        <v>32</v>
      </c>
      <c r="D627" s="3" t="s">
        <v>43</v>
      </c>
      <c r="E627" s="3" t="s">
        <v>58</v>
      </c>
      <c r="F627" s="3" t="s">
        <v>62</v>
      </c>
      <c r="G627" s="3" t="s">
        <v>66</v>
      </c>
      <c r="H627" s="37">
        <v>25404.54</v>
      </c>
      <c r="I627" s="12">
        <v>0.05</v>
      </c>
      <c r="J627" s="37">
        <v>24134.312999999998</v>
      </c>
      <c r="K627" s="3">
        <v>5</v>
      </c>
      <c r="L627" s="61">
        <f>Table1[[#This Row],[Final_Unit_Price]]*Table1[[#This Row],[Quantity]]</f>
        <v>120671.56499999999</v>
      </c>
      <c r="M627" s="59">
        <v>30167.89</v>
      </c>
      <c r="N627" s="42">
        <v>45626</v>
      </c>
      <c r="O627" s="20" t="str">
        <f>TEXT(Table1[[#This Row],[Order_Date]],"mmm")</f>
        <v>Nov</v>
      </c>
      <c r="P627" s="20">
        <f t="shared" si="18"/>
        <v>2024</v>
      </c>
      <c r="Q627" s="46">
        <v>45636</v>
      </c>
      <c r="R627" s="20">
        <f>'Cleaned Data'!$Q627-'Cleaned Data'!$N627</f>
        <v>10</v>
      </c>
      <c r="S627" s="19" t="str">
        <f t="shared" si="19"/>
        <v>Winter</v>
      </c>
    </row>
    <row r="628" spans="1:19" x14ac:dyDescent="0.3">
      <c r="A628" s="13" t="s">
        <v>805</v>
      </c>
      <c r="B628" s="13" t="s">
        <v>21</v>
      </c>
      <c r="C628" s="5" t="s">
        <v>34</v>
      </c>
      <c r="D628" s="5" t="s">
        <v>49</v>
      </c>
      <c r="E628" s="5" t="s">
        <v>59</v>
      </c>
      <c r="F628" s="5" t="s">
        <v>63</v>
      </c>
      <c r="G628" s="5" t="s">
        <v>68</v>
      </c>
      <c r="H628" s="38">
        <v>3358.94</v>
      </c>
      <c r="I628" s="14">
        <v>0.2</v>
      </c>
      <c r="J628" s="38">
        <v>2687.152</v>
      </c>
      <c r="K628" s="5">
        <v>2</v>
      </c>
      <c r="L628" s="62">
        <f>Table1[[#This Row],[Final_Unit_Price]]*Table1[[#This Row],[Quantity]]</f>
        <v>5374.3040000000001</v>
      </c>
      <c r="M628" s="60">
        <v>1881</v>
      </c>
      <c r="N628" s="43">
        <v>45397</v>
      </c>
      <c r="O628" s="18" t="str">
        <f>TEXT(Table1[[#This Row],[Order_Date]],"mmm")</f>
        <v>Apr</v>
      </c>
      <c r="P628" s="18">
        <f t="shared" si="18"/>
        <v>2024</v>
      </c>
      <c r="Q628" s="45">
        <v>45407</v>
      </c>
      <c r="R628" s="19">
        <f>'Cleaned Data'!$Q628-'Cleaned Data'!$N628</f>
        <v>10</v>
      </c>
      <c r="S628" s="19" t="str">
        <f t="shared" si="19"/>
        <v>Summer</v>
      </c>
    </row>
    <row r="629" spans="1:19" x14ac:dyDescent="0.3">
      <c r="A629" s="11" t="s">
        <v>806</v>
      </c>
      <c r="B629" s="11" t="s">
        <v>20</v>
      </c>
      <c r="C629" s="3" t="s">
        <v>32</v>
      </c>
      <c r="D629" s="3" t="s">
        <v>37</v>
      </c>
      <c r="E629" s="3" t="s">
        <v>59</v>
      </c>
      <c r="F629" s="3" t="s">
        <v>64</v>
      </c>
      <c r="G629" s="3" t="s">
        <v>74</v>
      </c>
      <c r="H629" s="37">
        <v>38457.35</v>
      </c>
      <c r="I629" s="12">
        <v>0.05</v>
      </c>
      <c r="J629" s="37">
        <v>36534.482499999998</v>
      </c>
      <c r="K629" s="3">
        <v>1</v>
      </c>
      <c r="L629" s="61">
        <f>Table1[[#This Row],[Final_Unit_Price]]*Table1[[#This Row],[Quantity]]</f>
        <v>36534.482499999998</v>
      </c>
      <c r="M629" s="59">
        <v>12787.07</v>
      </c>
      <c r="N629" s="42">
        <v>45787</v>
      </c>
      <c r="O629" s="20" t="str">
        <f>TEXT(Table1[[#This Row],[Order_Date]],"mmm")</f>
        <v>May</v>
      </c>
      <c r="P629" s="20">
        <f t="shared" si="18"/>
        <v>2025</v>
      </c>
      <c r="Q629" s="46">
        <v>45795</v>
      </c>
      <c r="R629" s="20">
        <f>'Cleaned Data'!$Q629-'Cleaned Data'!$N629</f>
        <v>8</v>
      </c>
      <c r="S629" s="19" t="str">
        <f t="shared" si="19"/>
        <v>Summer</v>
      </c>
    </row>
    <row r="630" spans="1:19" x14ac:dyDescent="0.3">
      <c r="A630" s="13" t="s">
        <v>807</v>
      </c>
      <c r="B630" s="13" t="s">
        <v>29</v>
      </c>
      <c r="C630" s="5" t="s">
        <v>35</v>
      </c>
      <c r="D630" s="5" t="s">
        <v>48</v>
      </c>
      <c r="E630" s="5" t="s">
        <v>58</v>
      </c>
      <c r="F630" s="5" t="s">
        <v>63</v>
      </c>
      <c r="G630" s="5" t="s">
        <v>75</v>
      </c>
      <c r="H630" s="38">
        <v>16674.41</v>
      </c>
      <c r="I630" s="14">
        <v>0.1</v>
      </c>
      <c r="J630" s="38">
        <v>15006.968999999999</v>
      </c>
      <c r="K630" s="5">
        <v>1</v>
      </c>
      <c r="L630" s="62">
        <f>Table1[[#This Row],[Final_Unit_Price]]*Table1[[#This Row],[Quantity]]</f>
        <v>15006.968999999999</v>
      </c>
      <c r="M630" s="60">
        <v>3751.74</v>
      </c>
      <c r="N630" s="43">
        <v>45859</v>
      </c>
      <c r="O630" s="18" t="str">
        <f>TEXT(Table1[[#This Row],[Order_Date]],"mmm")</f>
        <v>Jul</v>
      </c>
      <c r="P630" s="18">
        <f t="shared" si="18"/>
        <v>2025</v>
      </c>
      <c r="Q630" s="45">
        <v>45862</v>
      </c>
      <c r="R630" s="19">
        <f>'Cleaned Data'!$Q630-'Cleaned Data'!$N630</f>
        <v>3</v>
      </c>
      <c r="S630" s="19" t="str">
        <f t="shared" si="19"/>
        <v>Monsoon</v>
      </c>
    </row>
    <row r="631" spans="1:19" x14ac:dyDescent="0.3">
      <c r="A631" s="11" t="s">
        <v>808</v>
      </c>
      <c r="B631" s="11" t="s">
        <v>23</v>
      </c>
      <c r="C631" s="3" t="s">
        <v>35</v>
      </c>
      <c r="D631" s="3" t="s">
        <v>46</v>
      </c>
      <c r="E631" s="3" t="s">
        <v>59</v>
      </c>
      <c r="F631" s="3" t="s">
        <v>64</v>
      </c>
      <c r="G631" s="3" t="s">
        <v>74</v>
      </c>
      <c r="H631" s="37">
        <v>33201.39</v>
      </c>
      <c r="I631" s="12">
        <v>0</v>
      </c>
      <c r="J631" s="37">
        <v>33201.39</v>
      </c>
      <c r="K631" s="3">
        <v>2</v>
      </c>
      <c r="L631" s="61">
        <f>Table1[[#This Row],[Final_Unit_Price]]*Table1[[#This Row],[Quantity]]</f>
        <v>66402.78</v>
      </c>
      <c r="M631" s="59">
        <v>23240.97</v>
      </c>
      <c r="N631" s="42">
        <v>45332</v>
      </c>
      <c r="O631" s="20" t="str">
        <f>TEXT(Table1[[#This Row],[Order_Date]],"mmm")</f>
        <v>Feb</v>
      </c>
      <c r="P631" s="20">
        <f t="shared" si="18"/>
        <v>2024</v>
      </c>
      <c r="Q631" s="46">
        <v>45337</v>
      </c>
      <c r="R631" s="20">
        <f>'Cleaned Data'!$Q631-'Cleaned Data'!$N631</f>
        <v>5</v>
      </c>
      <c r="S631" s="19" t="str">
        <f t="shared" si="19"/>
        <v>Summer</v>
      </c>
    </row>
    <row r="632" spans="1:19" x14ac:dyDescent="0.3">
      <c r="A632" s="13" t="s">
        <v>809</v>
      </c>
      <c r="B632" s="13" t="s">
        <v>30</v>
      </c>
      <c r="C632" s="5" t="s">
        <v>33</v>
      </c>
      <c r="D632" s="5" t="s">
        <v>56</v>
      </c>
      <c r="E632" s="5" t="s">
        <v>60</v>
      </c>
      <c r="F632" s="5" t="s">
        <v>64</v>
      </c>
      <c r="G632" s="5" t="s">
        <v>72</v>
      </c>
      <c r="H632" s="38">
        <v>14230.83</v>
      </c>
      <c r="I632" s="14">
        <v>0.3</v>
      </c>
      <c r="J632" s="38">
        <v>9961.5810000000001</v>
      </c>
      <c r="K632" s="5">
        <v>5</v>
      </c>
      <c r="L632" s="62">
        <f>Table1[[#This Row],[Final_Unit_Price]]*Table1[[#This Row],[Quantity]]</f>
        <v>49807.904999999999</v>
      </c>
      <c r="M632" s="60">
        <v>7471.18</v>
      </c>
      <c r="N632" s="43">
        <v>45735</v>
      </c>
      <c r="O632" s="18" t="str">
        <f>TEXT(Table1[[#This Row],[Order_Date]],"mmm")</f>
        <v>Mar</v>
      </c>
      <c r="P632" s="18">
        <f t="shared" si="18"/>
        <v>2025</v>
      </c>
      <c r="Q632" s="45">
        <v>45742</v>
      </c>
      <c r="R632" s="19">
        <f>'Cleaned Data'!$Q632-'Cleaned Data'!$N632</f>
        <v>7</v>
      </c>
      <c r="S632" s="19" t="str">
        <f t="shared" si="19"/>
        <v>Summer</v>
      </c>
    </row>
    <row r="633" spans="1:19" x14ac:dyDescent="0.3">
      <c r="A633" s="11" t="s">
        <v>810</v>
      </c>
      <c r="B633" s="11" t="s">
        <v>16</v>
      </c>
      <c r="C633" s="3" t="s">
        <v>31</v>
      </c>
      <c r="D633" s="3" t="s">
        <v>42</v>
      </c>
      <c r="E633" s="3" t="s">
        <v>60</v>
      </c>
      <c r="F633" s="3" t="s">
        <v>62</v>
      </c>
      <c r="G633" s="3" t="s">
        <v>66</v>
      </c>
      <c r="H633" s="37">
        <v>2141.73</v>
      </c>
      <c r="I633" s="12">
        <v>0.05</v>
      </c>
      <c r="J633" s="37">
        <v>2034.6434999999999</v>
      </c>
      <c r="K633" s="3">
        <v>5</v>
      </c>
      <c r="L633" s="61">
        <f>Table1[[#This Row],[Final_Unit_Price]]*Table1[[#This Row],[Quantity]]</f>
        <v>10173.217499999999</v>
      </c>
      <c r="M633" s="59">
        <v>1525.98</v>
      </c>
      <c r="N633" s="42">
        <v>45593</v>
      </c>
      <c r="O633" s="20" t="str">
        <f>TEXT(Table1[[#This Row],[Order_Date]],"mmm")</f>
        <v>Oct</v>
      </c>
      <c r="P633" s="20">
        <f t="shared" si="18"/>
        <v>2024</v>
      </c>
      <c r="Q633" s="46">
        <v>45601</v>
      </c>
      <c r="R633" s="20">
        <f>'Cleaned Data'!$Q633-'Cleaned Data'!$N633</f>
        <v>8</v>
      </c>
      <c r="S633" s="19" t="str">
        <f t="shared" si="19"/>
        <v>Winter</v>
      </c>
    </row>
    <row r="634" spans="1:19" x14ac:dyDescent="0.3">
      <c r="A634" s="13" t="s">
        <v>811</v>
      </c>
      <c r="B634" s="13" t="s">
        <v>21</v>
      </c>
      <c r="C634" s="5" t="s">
        <v>34</v>
      </c>
      <c r="D634" s="5" t="s">
        <v>55</v>
      </c>
      <c r="E634" s="5" t="s">
        <v>58</v>
      </c>
      <c r="F634" s="5" t="s">
        <v>62</v>
      </c>
      <c r="G634" s="5" t="s">
        <v>66</v>
      </c>
      <c r="H634" s="38">
        <v>3274.49</v>
      </c>
      <c r="I634" s="14">
        <v>0.15</v>
      </c>
      <c r="J634" s="38">
        <v>2783.3164999999999</v>
      </c>
      <c r="K634" s="5">
        <v>8</v>
      </c>
      <c r="L634" s="62">
        <f>Table1[[#This Row],[Final_Unit_Price]]*Table1[[#This Row],[Quantity]]</f>
        <v>22266.531999999999</v>
      </c>
      <c r="M634" s="60">
        <v>1391.66</v>
      </c>
      <c r="N634" s="43">
        <v>45298</v>
      </c>
      <c r="O634" s="18" t="str">
        <f>TEXT(Table1[[#This Row],[Order_Date]],"mmm")</f>
        <v>Jan</v>
      </c>
      <c r="P634" s="18">
        <f t="shared" si="18"/>
        <v>2024</v>
      </c>
      <c r="Q634" s="45">
        <v>45300</v>
      </c>
      <c r="R634" s="19">
        <f>'Cleaned Data'!$Q634-'Cleaned Data'!$N634</f>
        <v>2</v>
      </c>
      <c r="S634" s="19" t="str">
        <f t="shared" si="19"/>
        <v>Winter</v>
      </c>
    </row>
    <row r="635" spans="1:19" x14ac:dyDescent="0.3">
      <c r="A635" s="11" t="s">
        <v>812</v>
      </c>
      <c r="B635" s="11" t="s">
        <v>29</v>
      </c>
      <c r="C635" s="3" t="s">
        <v>35</v>
      </c>
      <c r="D635" s="3" t="s">
        <v>48</v>
      </c>
      <c r="E635" s="3" t="s">
        <v>58</v>
      </c>
      <c r="F635" s="3" t="s">
        <v>62</v>
      </c>
      <c r="G635" s="3" t="s">
        <v>66</v>
      </c>
      <c r="H635" s="37">
        <v>17923.62</v>
      </c>
      <c r="I635" s="12">
        <v>0</v>
      </c>
      <c r="J635" s="37">
        <v>17923.62</v>
      </c>
      <c r="K635" s="3">
        <v>5</v>
      </c>
      <c r="L635" s="61">
        <f>Table1[[#This Row],[Final_Unit_Price]]*Table1[[#This Row],[Quantity]]</f>
        <v>89618.099999999991</v>
      </c>
      <c r="M635" s="59">
        <v>22404.53</v>
      </c>
      <c r="N635" s="42">
        <v>45484</v>
      </c>
      <c r="O635" s="20" t="str">
        <f>TEXT(Table1[[#This Row],[Order_Date]],"mmm")</f>
        <v>Jul</v>
      </c>
      <c r="P635" s="20">
        <f t="shared" si="18"/>
        <v>2024</v>
      </c>
      <c r="Q635" s="46">
        <v>45491</v>
      </c>
      <c r="R635" s="20">
        <f>'Cleaned Data'!$Q635-'Cleaned Data'!$N635</f>
        <v>7</v>
      </c>
      <c r="S635" s="19" t="str">
        <f t="shared" si="19"/>
        <v>Monsoon</v>
      </c>
    </row>
    <row r="636" spans="1:19" x14ac:dyDescent="0.3">
      <c r="A636" s="13" t="s">
        <v>813</v>
      </c>
      <c r="B636" s="13" t="s">
        <v>30</v>
      </c>
      <c r="C636" s="5" t="s">
        <v>33</v>
      </c>
      <c r="D636" s="5" t="s">
        <v>57</v>
      </c>
      <c r="E636" s="5" t="s">
        <v>60</v>
      </c>
      <c r="F636" s="5" t="s">
        <v>62</v>
      </c>
      <c r="G636" s="5" t="s">
        <v>67</v>
      </c>
      <c r="H636" s="38">
        <v>12893.77</v>
      </c>
      <c r="I636" s="14">
        <v>0.3</v>
      </c>
      <c r="J636" s="38">
        <v>9025.6389999999992</v>
      </c>
      <c r="K636" s="5">
        <v>1</v>
      </c>
      <c r="L636" s="62">
        <f>Table1[[#This Row],[Final_Unit_Price]]*Table1[[#This Row],[Quantity]]</f>
        <v>9025.6389999999992</v>
      </c>
      <c r="M636" s="60">
        <v>1353.85</v>
      </c>
      <c r="N636" s="43">
        <v>45725</v>
      </c>
      <c r="O636" s="18" t="str">
        <f>TEXT(Table1[[#This Row],[Order_Date]],"mmm")</f>
        <v>Mar</v>
      </c>
      <c r="P636" s="18">
        <f t="shared" si="18"/>
        <v>2025</v>
      </c>
      <c r="Q636" s="45">
        <v>45730</v>
      </c>
      <c r="R636" s="19">
        <f>'Cleaned Data'!$Q636-'Cleaned Data'!$N636</f>
        <v>5</v>
      </c>
      <c r="S636" s="19" t="str">
        <f t="shared" si="19"/>
        <v>Summer</v>
      </c>
    </row>
    <row r="637" spans="1:19" x14ac:dyDescent="0.3">
      <c r="A637" s="11" t="s">
        <v>814</v>
      </c>
      <c r="B637" s="11" t="s">
        <v>24</v>
      </c>
      <c r="C637" s="3" t="s">
        <v>32</v>
      </c>
      <c r="D637" s="3" t="s">
        <v>54</v>
      </c>
      <c r="E637" s="3" t="s">
        <v>60</v>
      </c>
      <c r="F637" s="3" t="s">
        <v>64</v>
      </c>
      <c r="G637" s="3" t="s">
        <v>74</v>
      </c>
      <c r="H637" s="37">
        <v>21923.39</v>
      </c>
      <c r="I637" s="12">
        <v>0.2</v>
      </c>
      <c r="J637" s="37">
        <v>17538.712</v>
      </c>
      <c r="K637" s="3">
        <v>3</v>
      </c>
      <c r="L637" s="61">
        <f>Table1[[#This Row],[Final_Unit_Price]]*Table1[[#This Row],[Quantity]]</f>
        <v>52616.135999999999</v>
      </c>
      <c r="M637" s="59">
        <v>7892.42</v>
      </c>
      <c r="N637" s="42">
        <v>45657</v>
      </c>
      <c r="O637" s="20" t="str">
        <f>TEXT(Table1[[#This Row],[Order_Date]],"mmm")</f>
        <v>Dec</v>
      </c>
      <c r="P637" s="20">
        <f t="shared" si="18"/>
        <v>2024</v>
      </c>
      <c r="Q637" s="46">
        <v>45659</v>
      </c>
      <c r="R637" s="20">
        <f>'Cleaned Data'!$Q637-'Cleaned Data'!$N637</f>
        <v>2</v>
      </c>
      <c r="S637" s="19" t="str">
        <f t="shared" si="19"/>
        <v>Winter</v>
      </c>
    </row>
    <row r="638" spans="1:19" x14ac:dyDescent="0.3">
      <c r="A638" s="13" t="s">
        <v>815</v>
      </c>
      <c r="B638" s="13" t="s">
        <v>21</v>
      </c>
      <c r="C638" s="5" t="s">
        <v>34</v>
      </c>
      <c r="D638" s="5" t="s">
        <v>51</v>
      </c>
      <c r="E638" s="5" t="s">
        <v>59</v>
      </c>
      <c r="F638" s="5" t="s">
        <v>62</v>
      </c>
      <c r="G638" s="5" t="s">
        <v>69</v>
      </c>
      <c r="H638" s="38">
        <v>3826.68</v>
      </c>
      <c r="I638" s="14">
        <v>0.25</v>
      </c>
      <c r="J638" s="38">
        <v>2870.01</v>
      </c>
      <c r="K638" s="5">
        <v>8</v>
      </c>
      <c r="L638" s="62">
        <f>Table1[[#This Row],[Final_Unit_Price]]*Table1[[#This Row],[Quantity]]</f>
        <v>22960.080000000002</v>
      </c>
      <c r="M638" s="60">
        <v>1004.5</v>
      </c>
      <c r="N638" s="43">
        <v>45619</v>
      </c>
      <c r="O638" s="18" t="str">
        <f>TEXT(Table1[[#This Row],[Order_Date]],"mmm")</f>
        <v>Nov</v>
      </c>
      <c r="P638" s="18">
        <f t="shared" si="18"/>
        <v>2024</v>
      </c>
      <c r="Q638" s="45">
        <v>45629</v>
      </c>
      <c r="R638" s="19">
        <f>'Cleaned Data'!$Q638-'Cleaned Data'!$N638</f>
        <v>10</v>
      </c>
      <c r="S638" s="19" t="str">
        <f t="shared" si="19"/>
        <v>Winter</v>
      </c>
    </row>
    <row r="639" spans="1:19" x14ac:dyDescent="0.3">
      <c r="A639" s="11" t="s">
        <v>816</v>
      </c>
      <c r="B639" s="11" t="s">
        <v>26</v>
      </c>
      <c r="C639" s="3" t="s">
        <v>32</v>
      </c>
      <c r="D639" s="3" t="s">
        <v>37</v>
      </c>
      <c r="E639" s="3" t="s">
        <v>59</v>
      </c>
      <c r="F639" s="3" t="s">
        <v>61</v>
      </c>
      <c r="G639" s="3" t="s">
        <v>71</v>
      </c>
      <c r="H639" s="37">
        <v>42744.52</v>
      </c>
      <c r="I639" s="12">
        <v>0</v>
      </c>
      <c r="J639" s="37">
        <v>42744.52</v>
      </c>
      <c r="K639" s="3">
        <v>5</v>
      </c>
      <c r="L639" s="61">
        <f>Table1[[#This Row],[Final_Unit_Price]]*Table1[[#This Row],[Quantity]]</f>
        <v>213722.59999999998</v>
      </c>
      <c r="M639" s="59">
        <v>74802.91</v>
      </c>
      <c r="N639" s="42">
        <v>45729</v>
      </c>
      <c r="O639" s="20" t="str">
        <f>TEXT(Table1[[#This Row],[Order_Date]],"mmm")</f>
        <v>Mar</v>
      </c>
      <c r="P639" s="20">
        <f t="shared" si="18"/>
        <v>2025</v>
      </c>
      <c r="Q639" s="46">
        <v>45733</v>
      </c>
      <c r="R639" s="20">
        <f>'Cleaned Data'!$Q639-'Cleaned Data'!$N639</f>
        <v>4</v>
      </c>
      <c r="S639" s="19" t="str">
        <f t="shared" si="19"/>
        <v>Summer</v>
      </c>
    </row>
    <row r="640" spans="1:19" x14ac:dyDescent="0.3">
      <c r="A640" s="13" t="s">
        <v>817</v>
      </c>
      <c r="B640" s="13" t="s">
        <v>30</v>
      </c>
      <c r="C640" s="5" t="s">
        <v>33</v>
      </c>
      <c r="D640" s="5" t="s">
        <v>56</v>
      </c>
      <c r="E640" s="5" t="s">
        <v>60</v>
      </c>
      <c r="F640" s="5" t="s">
        <v>61</v>
      </c>
      <c r="G640" s="5" t="s">
        <v>65</v>
      </c>
      <c r="H640" s="38">
        <v>12624.98</v>
      </c>
      <c r="I640" s="14">
        <v>0.1</v>
      </c>
      <c r="J640" s="38">
        <v>11362.482</v>
      </c>
      <c r="K640" s="5">
        <v>5</v>
      </c>
      <c r="L640" s="62">
        <f>Table1[[#This Row],[Final_Unit_Price]]*Table1[[#This Row],[Quantity]]</f>
        <v>56812.41</v>
      </c>
      <c r="M640" s="60">
        <v>8521.86</v>
      </c>
      <c r="N640" s="43">
        <v>45761</v>
      </c>
      <c r="O640" s="18" t="str">
        <f>TEXT(Table1[[#This Row],[Order_Date]],"mmm")</f>
        <v>Apr</v>
      </c>
      <c r="P640" s="18">
        <f t="shared" si="18"/>
        <v>2025</v>
      </c>
      <c r="Q640" s="45">
        <v>45763</v>
      </c>
      <c r="R640" s="19">
        <f>'Cleaned Data'!$Q640-'Cleaned Data'!$N640</f>
        <v>2</v>
      </c>
      <c r="S640" s="19" t="str">
        <f t="shared" si="19"/>
        <v>Summer</v>
      </c>
    </row>
    <row r="641" spans="1:19" x14ac:dyDescent="0.3">
      <c r="A641" s="11" t="s">
        <v>818</v>
      </c>
      <c r="B641" s="11" t="s">
        <v>23</v>
      </c>
      <c r="C641" s="3" t="s">
        <v>35</v>
      </c>
      <c r="D641" s="3" t="s">
        <v>38</v>
      </c>
      <c r="E641" s="3" t="s">
        <v>59</v>
      </c>
      <c r="F641" s="3" t="s">
        <v>61</v>
      </c>
      <c r="G641" s="3" t="s">
        <v>70</v>
      </c>
      <c r="H641" s="37">
        <v>30279.69</v>
      </c>
      <c r="I641" s="12">
        <v>0.2</v>
      </c>
      <c r="J641" s="37">
        <v>24223.752</v>
      </c>
      <c r="K641" s="3">
        <v>2</v>
      </c>
      <c r="L641" s="61">
        <f>Table1[[#This Row],[Final_Unit_Price]]*Table1[[#This Row],[Quantity]]</f>
        <v>48447.504000000001</v>
      </c>
      <c r="M641" s="59">
        <v>16956.62</v>
      </c>
      <c r="N641" s="42">
        <v>45462</v>
      </c>
      <c r="O641" s="20" t="str">
        <f>TEXT(Table1[[#This Row],[Order_Date]],"mmm")</f>
        <v>Jun</v>
      </c>
      <c r="P641" s="20">
        <f t="shared" si="18"/>
        <v>2024</v>
      </c>
      <c r="Q641" s="46">
        <v>45469</v>
      </c>
      <c r="R641" s="20">
        <f>'Cleaned Data'!$Q641-'Cleaned Data'!$N641</f>
        <v>7</v>
      </c>
      <c r="S641" s="19" t="str">
        <f t="shared" si="19"/>
        <v>Monsoon</v>
      </c>
    </row>
    <row r="642" spans="1:19" x14ac:dyDescent="0.3">
      <c r="A642" s="13" t="s">
        <v>819</v>
      </c>
      <c r="B642" s="13" t="s">
        <v>22</v>
      </c>
      <c r="C642" s="5" t="s">
        <v>31</v>
      </c>
      <c r="D642" s="5" t="s">
        <v>47</v>
      </c>
      <c r="E642" s="5" t="s">
        <v>59</v>
      </c>
      <c r="F642" s="5" t="s">
        <v>62</v>
      </c>
      <c r="G642" s="5" t="s">
        <v>67</v>
      </c>
      <c r="H642" s="38">
        <v>4231.91</v>
      </c>
      <c r="I642" s="14">
        <v>0.2</v>
      </c>
      <c r="J642" s="38">
        <v>3385.5279999999998</v>
      </c>
      <c r="K642" s="5">
        <v>5</v>
      </c>
      <c r="L642" s="62">
        <f>Table1[[#This Row],[Final_Unit_Price]]*Table1[[#This Row],[Quantity]]</f>
        <v>16927.64</v>
      </c>
      <c r="M642" s="60">
        <v>5924.67</v>
      </c>
      <c r="N642" s="43">
        <v>45818</v>
      </c>
      <c r="O642" s="18" t="str">
        <f>TEXT(Table1[[#This Row],[Order_Date]],"mmm")</f>
        <v>Jun</v>
      </c>
      <c r="P642" s="18">
        <f t="shared" si="18"/>
        <v>2025</v>
      </c>
      <c r="Q642" s="45">
        <v>45824</v>
      </c>
      <c r="R642" s="19">
        <f>'Cleaned Data'!$Q642-'Cleaned Data'!$N642</f>
        <v>6</v>
      </c>
      <c r="S642" s="19" t="str">
        <f t="shared" si="19"/>
        <v>Monsoon</v>
      </c>
    </row>
    <row r="643" spans="1:19" x14ac:dyDescent="0.3">
      <c r="A643" s="11" t="s">
        <v>820</v>
      </c>
      <c r="B643" s="11" t="s">
        <v>28</v>
      </c>
      <c r="C643" s="3" t="s">
        <v>34</v>
      </c>
      <c r="D643" s="3" t="s">
        <v>45</v>
      </c>
      <c r="E643" s="3" t="s">
        <v>59</v>
      </c>
      <c r="F643" s="3" t="s">
        <v>63</v>
      </c>
      <c r="G643" s="3" t="s">
        <v>75</v>
      </c>
      <c r="H643" s="37">
        <v>1659.99</v>
      </c>
      <c r="I643" s="12">
        <v>0.05</v>
      </c>
      <c r="J643" s="37">
        <v>1576.9905000000001</v>
      </c>
      <c r="K643" s="3">
        <v>2</v>
      </c>
      <c r="L643" s="61">
        <f>Table1[[#This Row],[Final_Unit_Price]]*Table1[[#This Row],[Quantity]]</f>
        <v>3153.9810000000002</v>
      </c>
      <c r="M643" s="59">
        <v>1103.8900000000001</v>
      </c>
      <c r="N643" s="42">
        <v>45413</v>
      </c>
      <c r="O643" s="20" t="str">
        <f>TEXT(Table1[[#This Row],[Order_Date]],"mmm")</f>
        <v>May</v>
      </c>
      <c r="P643" s="20">
        <f t="shared" ref="P643:P706" si="20">YEAR(N643)</f>
        <v>2024</v>
      </c>
      <c r="Q643" s="46">
        <v>45423</v>
      </c>
      <c r="R643" s="20">
        <f>'Cleaned Data'!$Q643-'Cleaned Data'!$N643</f>
        <v>10</v>
      </c>
      <c r="S643" s="19" t="str">
        <f t="shared" ref="S643:S706" si="21">IF(OR(O643="Feb",O643="Mar",O643="Apr",O643="May"),"Summer",
   IF(OR(O643="Jun",O643="Jul",O643="Aug",O643="Sep"),"Monsoon",
   IF(OR(O643="Oct",O643="Nov",O643="Dec",O643= "Jan"),"Winter","Invalid")))</f>
        <v>Summer</v>
      </c>
    </row>
    <row r="644" spans="1:19" x14ac:dyDescent="0.3">
      <c r="A644" s="13" t="s">
        <v>821</v>
      </c>
      <c r="B644" s="13" t="s">
        <v>21</v>
      </c>
      <c r="C644" s="5" t="s">
        <v>34</v>
      </c>
      <c r="D644" s="5" t="s">
        <v>49</v>
      </c>
      <c r="E644" s="5" t="s">
        <v>59</v>
      </c>
      <c r="F644" s="5" t="s">
        <v>64</v>
      </c>
      <c r="G644" s="5" t="s">
        <v>76</v>
      </c>
      <c r="H644" s="38">
        <v>3709.9</v>
      </c>
      <c r="I644" s="14">
        <v>0.1</v>
      </c>
      <c r="J644" s="38">
        <v>3338.91</v>
      </c>
      <c r="K644" s="5">
        <v>2</v>
      </c>
      <c r="L644" s="62">
        <f>Table1[[#This Row],[Final_Unit_Price]]*Table1[[#This Row],[Quantity]]</f>
        <v>6677.82</v>
      </c>
      <c r="M644" s="60">
        <v>2337.2399999999998</v>
      </c>
      <c r="N644" s="43">
        <v>45521</v>
      </c>
      <c r="O644" s="18" t="str">
        <f>TEXT(Table1[[#This Row],[Order_Date]],"mmm")</f>
        <v>Aug</v>
      </c>
      <c r="P644" s="18">
        <f t="shared" si="20"/>
        <v>2024</v>
      </c>
      <c r="Q644" s="45">
        <v>45523</v>
      </c>
      <c r="R644" s="19">
        <f>'Cleaned Data'!$Q644-'Cleaned Data'!$N644</f>
        <v>2</v>
      </c>
      <c r="S644" s="19" t="str">
        <f t="shared" si="21"/>
        <v>Monsoon</v>
      </c>
    </row>
    <row r="645" spans="1:19" x14ac:dyDescent="0.3">
      <c r="A645" s="11" t="s">
        <v>822</v>
      </c>
      <c r="B645" s="11" t="s">
        <v>27</v>
      </c>
      <c r="C645" s="3" t="s">
        <v>35</v>
      </c>
      <c r="D645" s="3" t="s">
        <v>38</v>
      </c>
      <c r="E645" s="3" t="s">
        <v>59</v>
      </c>
      <c r="F645" s="3" t="s">
        <v>64</v>
      </c>
      <c r="G645" s="3" t="s">
        <v>72</v>
      </c>
      <c r="H645" s="37">
        <v>10798</v>
      </c>
      <c r="I645" s="12">
        <v>0.2</v>
      </c>
      <c r="J645" s="37">
        <v>8638.4</v>
      </c>
      <c r="K645" s="3">
        <v>2</v>
      </c>
      <c r="L645" s="61">
        <f>Table1[[#This Row],[Final_Unit_Price]]*Table1[[#This Row],[Quantity]]</f>
        <v>17276.8</v>
      </c>
      <c r="M645" s="59">
        <v>6046.88</v>
      </c>
      <c r="N645" s="42">
        <v>45446</v>
      </c>
      <c r="O645" s="20" t="str">
        <f>TEXT(Table1[[#This Row],[Order_Date]],"mmm")</f>
        <v>Jun</v>
      </c>
      <c r="P645" s="20">
        <f t="shared" si="20"/>
        <v>2024</v>
      </c>
      <c r="Q645" s="46">
        <v>45449</v>
      </c>
      <c r="R645" s="20">
        <f>'Cleaned Data'!$Q645-'Cleaned Data'!$N645</f>
        <v>3</v>
      </c>
      <c r="S645" s="19" t="str">
        <f t="shared" si="21"/>
        <v>Monsoon</v>
      </c>
    </row>
    <row r="646" spans="1:19" x14ac:dyDescent="0.3">
      <c r="A646" s="13" t="s">
        <v>823</v>
      </c>
      <c r="B646" s="13" t="s">
        <v>29</v>
      </c>
      <c r="C646" s="5" t="s">
        <v>35</v>
      </c>
      <c r="D646" s="5" t="s">
        <v>48</v>
      </c>
      <c r="E646" s="5" t="s">
        <v>58</v>
      </c>
      <c r="F646" s="5" t="s">
        <v>63</v>
      </c>
      <c r="G646" s="5" t="s">
        <v>75</v>
      </c>
      <c r="H646" s="38">
        <v>16581.64</v>
      </c>
      <c r="I646" s="14">
        <v>0</v>
      </c>
      <c r="J646" s="38">
        <v>16581.64</v>
      </c>
      <c r="K646" s="5">
        <v>2</v>
      </c>
      <c r="L646" s="62">
        <f>Table1[[#This Row],[Final_Unit_Price]]*Table1[[#This Row],[Quantity]]</f>
        <v>33163.279999999999</v>
      </c>
      <c r="M646" s="60">
        <v>8290.82</v>
      </c>
      <c r="N646" s="43">
        <v>45793</v>
      </c>
      <c r="O646" s="18" t="str">
        <f>TEXT(Table1[[#This Row],[Order_Date]],"mmm")</f>
        <v>May</v>
      </c>
      <c r="P646" s="18">
        <f t="shared" si="20"/>
        <v>2025</v>
      </c>
      <c r="Q646" s="45">
        <v>45801</v>
      </c>
      <c r="R646" s="19">
        <f>'Cleaned Data'!$Q646-'Cleaned Data'!$N646</f>
        <v>8</v>
      </c>
      <c r="S646" s="19" t="str">
        <f t="shared" si="21"/>
        <v>Summer</v>
      </c>
    </row>
    <row r="647" spans="1:19" x14ac:dyDescent="0.3">
      <c r="A647" s="11" t="s">
        <v>824</v>
      </c>
      <c r="B647" s="11" t="s">
        <v>20</v>
      </c>
      <c r="C647" s="3" t="s">
        <v>32</v>
      </c>
      <c r="D647" s="3" t="s">
        <v>54</v>
      </c>
      <c r="E647" s="3" t="s">
        <v>60</v>
      </c>
      <c r="F647" s="3" t="s">
        <v>62</v>
      </c>
      <c r="G647" s="3" t="s">
        <v>66</v>
      </c>
      <c r="H647" s="37">
        <v>25732.240000000002</v>
      </c>
      <c r="I647" s="12">
        <v>0.2</v>
      </c>
      <c r="J647" s="37">
        <v>20585.792000000001</v>
      </c>
      <c r="K647" s="3">
        <v>3</v>
      </c>
      <c r="L647" s="61">
        <f>Table1[[#This Row],[Final_Unit_Price]]*Table1[[#This Row],[Quantity]]</f>
        <v>61757.376000000004</v>
      </c>
      <c r="M647" s="59">
        <v>9263.61</v>
      </c>
      <c r="N647" s="42">
        <v>45586</v>
      </c>
      <c r="O647" s="20" t="str">
        <f>TEXT(Table1[[#This Row],[Order_Date]],"mmm")</f>
        <v>Oct</v>
      </c>
      <c r="P647" s="20">
        <f t="shared" si="20"/>
        <v>2024</v>
      </c>
      <c r="Q647" s="46">
        <v>45589</v>
      </c>
      <c r="R647" s="20">
        <f>'Cleaned Data'!$Q647-'Cleaned Data'!$N647</f>
        <v>3</v>
      </c>
      <c r="S647" s="19" t="str">
        <f t="shared" si="21"/>
        <v>Winter</v>
      </c>
    </row>
    <row r="648" spans="1:19" x14ac:dyDescent="0.3">
      <c r="A648" s="13" t="s">
        <v>825</v>
      </c>
      <c r="B648" s="13" t="s">
        <v>20</v>
      </c>
      <c r="C648" s="5" t="s">
        <v>32</v>
      </c>
      <c r="D648" s="5" t="s">
        <v>37</v>
      </c>
      <c r="E648" s="5" t="s">
        <v>59</v>
      </c>
      <c r="F648" s="5" t="s">
        <v>61</v>
      </c>
      <c r="G648" s="5" t="s">
        <v>71</v>
      </c>
      <c r="H648" s="38">
        <v>33718.18</v>
      </c>
      <c r="I648" s="14">
        <v>0.15</v>
      </c>
      <c r="J648" s="38">
        <v>28660.453000000001</v>
      </c>
      <c r="K648" s="5">
        <v>3</v>
      </c>
      <c r="L648" s="62">
        <f>Table1[[#This Row],[Final_Unit_Price]]*Table1[[#This Row],[Quantity]]</f>
        <v>85981.358999999997</v>
      </c>
      <c r="M648" s="60">
        <v>30093.48</v>
      </c>
      <c r="N648" s="43">
        <v>45533</v>
      </c>
      <c r="O648" s="18" t="str">
        <f>TEXT(Table1[[#This Row],[Order_Date]],"mmm")</f>
        <v>Aug</v>
      </c>
      <c r="P648" s="18">
        <f t="shared" si="20"/>
        <v>2024</v>
      </c>
      <c r="Q648" s="45">
        <v>45543</v>
      </c>
      <c r="R648" s="19">
        <f>'Cleaned Data'!$Q648-'Cleaned Data'!$N648</f>
        <v>10</v>
      </c>
      <c r="S648" s="19" t="str">
        <f t="shared" si="21"/>
        <v>Monsoon</v>
      </c>
    </row>
    <row r="649" spans="1:19" x14ac:dyDescent="0.3">
      <c r="A649" s="11" t="s">
        <v>826</v>
      </c>
      <c r="B649" s="11" t="s">
        <v>24</v>
      </c>
      <c r="C649" s="3" t="s">
        <v>32</v>
      </c>
      <c r="D649" s="3" t="s">
        <v>54</v>
      </c>
      <c r="E649" s="3" t="s">
        <v>60</v>
      </c>
      <c r="F649" s="3" t="s">
        <v>61</v>
      </c>
      <c r="G649" s="3" t="s">
        <v>71</v>
      </c>
      <c r="H649" s="37">
        <v>20277.25</v>
      </c>
      <c r="I649" s="12">
        <v>0.3</v>
      </c>
      <c r="J649" s="37">
        <v>14194.075000000001</v>
      </c>
      <c r="K649" s="3">
        <v>1</v>
      </c>
      <c r="L649" s="61">
        <f>Table1[[#This Row],[Final_Unit_Price]]*Table1[[#This Row],[Quantity]]</f>
        <v>14194.075000000001</v>
      </c>
      <c r="M649" s="59">
        <v>2129.11</v>
      </c>
      <c r="N649" s="42">
        <v>45483</v>
      </c>
      <c r="O649" s="20" t="str">
        <f>TEXT(Table1[[#This Row],[Order_Date]],"mmm")</f>
        <v>Jul</v>
      </c>
      <c r="P649" s="20">
        <f t="shared" si="20"/>
        <v>2024</v>
      </c>
      <c r="Q649" s="46">
        <v>45485</v>
      </c>
      <c r="R649" s="20">
        <f>'Cleaned Data'!$Q649-'Cleaned Data'!$N649</f>
        <v>2</v>
      </c>
      <c r="S649" s="19" t="str">
        <f t="shared" si="21"/>
        <v>Monsoon</v>
      </c>
    </row>
    <row r="650" spans="1:19" x14ac:dyDescent="0.3">
      <c r="A650" s="13" t="s">
        <v>827</v>
      </c>
      <c r="B650" s="13" t="s">
        <v>30</v>
      </c>
      <c r="C650" s="5" t="s">
        <v>33</v>
      </c>
      <c r="D650" s="5" t="s">
        <v>38</v>
      </c>
      <c r="E650" s="5" t="s">
        <v>59</v>
      </c>
      <c r="F650" s="5" t="s">
        <v>64</v>
      </c>
      <c r="G650" s="5" t="s">
        <v>76</v>
      </c>
      <c r="H650" s="38">
        <v>19766.05</v>
      </c>
      <c r="I650" s="14">
        <v>0</v>
      </c>
      <c r="J650" s="38">
        <v>19766.05</v>
      </c>
      <c r="K650" s="5">
        <v>1</v>
      </c>
      <c r="L650" s="62">
        <f>Table1[[#This Row],[Final_Unit_Price]]*Table1[[#This Row],[Quantity]]</f>
        <v>19766.05</v>
      </c>
      <c r="M650" s="60">
        <v>6918.12</v>
      </c>
      <c r="N650" s="43">
        <v>45431</v>
      </c>
      <c r="O650" s="18" t="str">
        <f>TEXT(Table1[[#This Row],[Order_Date]],"mmm")</f>
        <v>May</v>
      </c>
      <c r="P650" s="18">
        <f t="shared" si="20"/>
        <v>2024</v>
      </c>
      <c r="Q650" s="45">
        <v>45434</v>
      </c>
      <c r="R650" s="19">
        <f>'Cleaned Data'!$Q650-'Cleaned Data'!$N650</f>
        <v>3</v>
      </c>
      <c r="S650" s="19" t="str">
        <f t="shared" si="21"/>
        <v>Summer</v>
      </c>
    </row>
    <row r="651" spans="1:19" x14ac:dyDescent="0.3">
      <c r="A651" s="11" t="s">
        <v>828</v>
      </c>
      <c r="B651" s="11" t="s">
        <v>28</v>
      </c>
      <c r="C651" s="3" t="s">
        <v>34</v>
      </c>
      <c r="D651" s="3" t="s">
        <v>49</v>
      </c>
      <c r="E651" s="3" t="s">
        <v>59</v>
      </c>
      <c r="F651" s="3" t="s">
        <v>61</v>
      </c>
      <c r="G651" s="3" t="s">
        <v>71</v>
      </c>
      <c r="H651" s="37">
        <v>1831.6</v>
      </c>
      <c r="I651" s="12">
        <v>0.05</v>
      </c>
      <c r="J651" s="37">
        <v>1740.02</v>
      </c>
      <c r="K651" s="3">
        <v>1</v>
      </c>
      <c r="L651" s="61">
        <f>Table1[[#This Row],[Final_Unit_Price]]*Table1[[#This Row],[Quantity]]</f>
        <v>1740.02</v>
      </c>
      <c r="M651" s="59">
        <v>609.01</v>
      </c>
      <c r="N651" s="42">
        <v>45713</v>
      </c>
      <c r="O651" s="20" t="str">
        <f>TEXT(Table1[[#This Row],[Order_Date]],"mmm")</f>
        <v>Feb</v>
      </c>
      <c r="P651" s="20">
        <f t="shared" si="20"/>
        <v>2025</v>
      </c>
      <c r="Q651" s="46">
        <v>45715</v>
      </c>
      <c r="R651" s="20">
        <f>'Cleaned Data'!$Q651-'Cleaned Data'!$N651</f>
        <v>2</v>
      </c>
      <c r="S651" s="19" t="str">
        <f t="shared" si="21"/>
        <v>Summer</v>
      </c>
    </row>
    <row r="652" spans="1:19" x14ac:dyDescent="0.3">
      <c r="A652" s="13" t="s">
        <v>829</v>
      </c>
      <c r="B652" s="13" t="s">
        <v>17</v>
      </c>
      <c r="C652" s="5" t="s">
        <v>32</v>
      </c>
      <c r="D652" s="5" t="s">
        <v>37</v>
      </c>
      <c r="E652" s="5" t="s">
        <v>59</v>
      </c>
      <c r="F652" s="5" t="s">
        <v>62</v>
      </c>
      <c r="G652" s="5" t="s">
        <v>69</v>
      </c>
      <c r="H652" s="38">
        <v>10256.59</v>
      </c>
      <c r="I652" s="14">
        <v>0.2</v>
      </c>
      <c r="J652" s="38">
        <v>8205.2720000000008</v>
      </c>
      <c r="K652" s="5">
        <v>1</v>
      </c>
      <c r="L652" s="62">
        <f>Table1[[#This Row],[Final_Unit_Price]]*Table1[[#This Row],[Quantity]]</f>
        <v>8205.2720000000008</v>
      </c>
      <c r="M652" s="60">
        <v>2871.84</v>
      </c>
      <c r="N652" s="43">
        <v>45607</v>
      </c>
      <c r="O652" s="18" t="str">
        <f>TEXT(Table1[[#This Row],[Order_Date]],"mmm")</f>
        <v>Nov</v>
      </c>
      <c r="P652" s="18">
        <f t="shared" si="20"/>
        <v>2024</v>
      </c>
      <c r="Q652" s="45">
        <v>45612</v>
      </c>
      <c r="R652" s="19">
        <f>'Cleaned Data'!$Q652-'Cleaned Data'!$N652</f>
        <v>5</v>
      </c>
      <c r="S652" s="19" t="str">
        <f t="shared" si="21"/>
        <v>Winter</v>
      </c>
    </row>
    <row r="653" spans="1:19" x14ac:dyDescent="0.3">
      <c r="A653" s="11" t="s">
        <v>830</v>
      </c>
      <c r="B653" s="11" t="s">
        <v>22</v>
      </c>
      <c r="C653" s="3" t="s">
        <v>31</v>
      </c>
      <c r="D653" s="3" t="s">
        <v>42</v>
      </c>
      <c r="E653" s="3" t="s">
        <v>60</v>
      </c>
      <c r="F653" s="3" t="s">
        <v>62</v>
      </c>
      <c r="G653" s="3" t="s">
        <v>69</v>
      </c>
      <c r="H653" s="37">
        <v>3024.07</v>
      </c>
      <c r="I653" s="12">
        <v>0.05</v>
      </c>
      <c r="J653" s="37">
        <v>2872.8665000000001</v>
      </c>
      <c r="K653" s="3">
        <v>2</v>
      </c>
      <c r="L653" s="61">
        <f>Table1[[#This Row],[Final_Unit_Price]]*Table1[[#This Row],[Quantity]]</f>
        <v>5745.7330000000002</v>
      </c>
      <c r="M653" s="59">
        <v>861.86</v>
      </c>
      <c r="N653" s="42">
        <v>45457</v>
      </c>
      <c r="O653" s="20" t="str">
        <f>TEXT(Table1[[#This Row],[Order_Date]],"mmm")</f>
        <v>Jun</v>
      </c>
      <c r="P653" s="20">
        <f t="shared" si="20"/>
        <v>2024</v>
      </c>
      <c r="Q653" s="46">
        <v>45464</v>
      </c>
      <c r="R653" s="20">
        <f>'Cleaned Data'!$Q653-'Cleaned Data'!$N653</f>
        <v>7</v>
      </c>
      <c r="S653" s="19" t="str">
        <f t="shared" si="21"/>
        <v>Monsoon</v>
      </c>
    </row>
    <row r="654" spans="1:19" x14ac:dyDescent="0.3">
      <c r="A654" s="13" t="s">
        <v>831</v>
      </c>
      <c r="B654" s="13" t="s">
        <v>27</v>
      </c>
      <c r="C654" s="5" t="s">
        <v>35</v>
      </c>
      <c r="D654" s="5" t="s">
        <v>44</v>
      </c>
      <c r="E654" s="5" t="s">
        <v>60</v>
      </c>
      <c r="F654" s="5" t="s">
        <v>64</v>
      </c>
      <c r="G654" s="5" t="s">
        <v>72</v>
      </c>
      <c r="H654" s="38">
        <v>7268.7</v>
      </c>
      <c r="I654" s="14">
        <v>0.2</v>
      </c>
      <c r="J654" s="38">
        <v>5814.96</v>
      </c>
      <c r="K654" s="5">
        <v>1</v>
      </c>
      <c r="L654" s="62">
        <f>Table1[[#This Row],[Final_Unit_Price]]*Table1[[#This Row],[Quantity]]</f>
        <v>5814.96</v>
      </c>
      <c r="M654" s="60">
        <v>872.24</v>
      </c>
      <c r="N654" s="43">
        <v>45332</v>
      </c>
      <c r="O654" s="18" t="str">
        <f>TEXT(Table1[[#This Row],[Order_Date]],"mmm")</f>
        <v>Feb</v>
      </c>
      <c r="P654" s="18">
        <f t="shared" si="20"/>
        <v>2024</v>
      </c>
      <c r="Q654" s="45">
        <v>45335</v>
      </c>
      <c r="R654" s="19">
        <f>'Cleaned Data'!$Q654-'Cleaned Data'!$N654</f>
        <v>3</v>
      </c>
      <c r="S654" s="19" t="str">
        <f t="shared" si="21"/>
        <v>Summer</v>
      </c>
    </row>
    <row r="655" spans="1:19" x14ac:dyDescent="0.3">
      <c r="A655" s="11" t="s">
        <v>832</v>
      </c>
      <c r="B655" s="11" t="s">
        <v>26</v>
      </c>
      <c r="C655" s="3" t="s">
        <v>32</v>
      </c>
      <c r="D655" s="3" t="s">
        <v>43</v>
      </c>
      <c r="E655" s="3" t="s">
        <v>58</v>
      </c>
      <c r="F655" s="3" t="s">
        <v>61</v>
      </c>
      <c r="G655" s="3" t="s">
        <v>70</v>
      </c>
      <c r="H655" s="37">
        <v>34279.96</v>
      </c>
      <c r="I655" s="12">
        <v>0.2</v>
      </c>
      <c r="J655" s="37">
        <v>27423.968000000001</v>
      </c>
      <c r="K655" s="3">
        <v>3</v>
      </c>
      <c r="L655" s="61">
        <f>Table1[[#This Row],[Final_Unit_Price]]*Table1[[#This Row],[Quantity]]</f>
        <v>82271.90400000001</v>
      </c>
      <c r="M655" s="59">
        <v>20567.97</v>
      </c>
      <c r="N655" s="42">
        <v>45716</v>
      </c>
      <c r="O655" s="20" t="str">
        <f>TEXT(Table1[[#This Row],[Order_Date]],"mmm")</f>
        <v>Feb</v>
      </c>
      <c r="P655" s="20">
        <f t="shared" si="20"/>
        <v>2025</v>
      </c>
      <c r="Q655" s="46">
        <v>45725</v>
      </c>
      <c r="R655" s="20">
        <f>'Cleaned Data'!$Q655-'Cleaned Data'!$N655</f>
        <v>9</v>
      </c>
      <c r="S655" s="19" t="str">
        <f t="shared" si="21"/>
        <v>Summer</v>
      </c>
    </row>
    <row r="656" spans="1:19" x14ac:dyDescent="0.3">
      <c r="A656" s="13" t="s">
        <v>833</v>
      </c>
      <c r="B656" s="13" t="s">
        <v>17</v>
      </c>
      <c r="C656" s="5" t="s">
        <v>32</v>
      </c>
      <c r="D656" s="5" t="s">
        <v>54</v>
      </c>
      <c r="E656" s="5" t="s">
        <v>60</v>
      </c>
      <c r="F656" s="5" t="s">
        <v>61</v>
      </c>
      <c r="G656" s="5" t="s">
        <v>70</v>
      </c>
      <c r="H656" s="38">
        <v>6988.32</v>
      </c>
      <c r="I656" s="14">
        <v>0.05</v>
      </c>
      <c r="J656" s="38">
        <v>6638.9040000000005</v>
      </c>
      <c r="K656" s="5">
        <v>5</v>
      </c>
      <c r="L656" s="62">
        <f>Table1[[#This Row],[Final_Unit_Price]]*Table1[[#This Row],[Quantity]]</f>
        <v>33194.520000000004</v>
      </c>
      <c r="M656" s="60">
        <v>4979.18</v>
      </c>
      <c r="N656" s="43">
        <v>45811</v>
      </c>
      <c r="O656" s="18" t="str">
        <f>TEXT(Table1[[#This Row],[Order_Date]],"mmm")</f>
        <v>Jun</v>
      </c>
      <c r="P656" s="18">
        <f t="shared" si="20"/>
        <v>2025</v>
      </c>
      <c r="Q656" s="45">
        <v>45815</v>
      </c>
      <c r="R656" s="19">
        <f>'Cleaned Data'!$Q656-'Cleaned Data'!$N656</f>
        <v>4</v>
      </c>
      <c r="S656" s="19" t="str">
        <f t="shared" si="21"/>
        <v>Monsoon</v>
      </c>
    </row>
    <row r="657" spans="1:19" x14ac:dyDescent="0.3">
      <c r="A657" s="11" t="s">
        <v>834</v>
      </c>
      <c r="B657" s="11" t="s">
        <v>19</v>
      </c>
      <c r="C657" s="3" t="s">
        <v>33</v>
      </c>
      <c r="D657" s="3" t="s">
        <v>38</v>
      </c>
      <c r="E657" s="3" t="s">
        <v>59</v>
      </c>
      <c r="F657" s="3" t="s">
        <v>62</v>
      </c>
      <c r="G657" s="3" t="s">
        <v>67</v>
      </c>
      <c r="H657" s="37">
        <v>2460.91</v>
      </c>
      <c r="I657" s="12">
        <v>0.1</v>
      </c>
      <c r="J657" s="37">
        <v>2214.819</v>
      </c>
      <c r="K657" s="3">
        <v>1</v>
      </c>
      <c r="L657" s="61">
        <f>Table1[[#This Row],[Final_Unit_Price]]*Table1[[#This Row],[Quantity]]</f>
        <v>2214.819</v>
      </c>
      <c r="M657" s="59">
        <v>775.19</v>
      </c>
      <c r="N657" s="42">
        <v>45674</v>
      </c>
      <c r="O657" s="20" t="str">
        <f>TEXT(Table1[[#This Row],[Order_Date]],"mmm")</f>
        <v>Jan</v>
      </c>
      <c r="P657" s="20">
        <f t="shared" si="20"/>
        <v>2025</v>
      </c>
      <c r="Q657" s="46">
        <v>45681</v>
      </c>
      <c r="R657" s="20">
        <f>'Cleaned Data'!$Q657-'Cleaned Data'!$N657</f>
        <v>7</v>
      </c>
      <c r="S657" s="19" t="str">
        <f t="shared" si="21"/>
        <v>Winter</v>
      </c>
    </row>
    <row r="658" spans="1:19" x14ac:dyDescent="0.3">
      <c r="A658" s="13" t="s">
        <v>835</v>
      </c>
      <c r="B658" s="13" t="s">
        <v>28</v>
      </c>
      <c r="C658" s="5" t="s">
        <v>34</v>
      </c>
      <c r="D658" s="5" t="s">
        <v>51</v>
      </c>
      <c r="E658" s="5" t="s">
        <v>59</v>
      </c>
      <c r="F658" s="5" t="s">
        <v>63</v>
      </c>
      <c r="G658" s="5" t="s">
        <v>75</v>
      </c>
      <c r="H658" s="38">
        <v>1772.54</v>
      </c>
      <c r="I658" s="14">
        <v>0.2</v>
      </c>
      <c r="J658" s="38">
        <v>1418.0319999999999</v>
      </c>
      <c r="K658" s="5">
        <v>4</v>
      </c>
      <c r="L658" s="62">
        <f>Table1[[#This Row],[Final_Unit_Price]]*Table1[[#This Row],[Quantity]]</f>
        <v>5672.1279999999997</v>
      </c>
      <c r="M658" s="60">
        <v>1985.25</v>
      </c>
      <c r="N658" s="43">
        <v>45523</v>
      </c>
      <c r="O658" s="18" t="str">
        <f>TEXT(Table1[[#This Row],[Order_Date]],"mmm")</f>
        <v>Aug</v>
      </c>
      <c r="P658" s="18">
        <f t="shared" si="20"/>
        <v>2024</v>
      </c>
      <c r="Q658" s="45">
        <v>45530</v>
      </c>
      <c r="R658" s="19">
        <f>'Cleaned Data'!$Q658-'Cleaned Data'!$N658</f>
        <v>7</v>
      </c>
      <c r="S658" s="19" t="str">
        <f t="shared" si="21"/>
        <v>Monsoon</v>
      </c>
    </row>
    <row r="659" spans="1:19" x14ac:dyDescent="0.3">
      <c r="A659" s="11" t="s">
        <v>836</v>
      </c>
      <c r="B659" s="11" t="s">
        <v>28</v>
      </c>
      <c r="C659" s="3" t="s">
        <v>34</v>
      </c>
      <c r="D659" s="3" t="s">
        <v>51</v>
      </c>
      <c r="E659" s="3" t="s">
        <v>59</v>
      </c>
      <c r="F659" s="3" t="s">
        <v>62</v>
      </c>
      <c r="G659" s="3" t="s">
        <v>69</v>
      </c>
      <c r="H659" s="37">
        <v>1875.01</v>
      </c>
      <c r="I659" s="12">
        <v>0.3</v>
      </c>
      <c r="J659" s="37">
        <v>1312.5070000000001</v>
      </c>
      <c r="K659" s="3">
        <v>6</v>
      </c>
      <c r="L659" s="61">
        <f>Table1[[#This Row],[Final_Unit_Price]]*Table1[[#This Row],[Quantity]]</f>
        <v>7875.0420000000004</v>
      </c>
      <c r="M659" s="59">
        <v>459.38</v>
      </c>
      <c r="N659" s="42">
        <v>45645</v>
      </c>
      <c r="O659" s="20" t="str">
        <f>TEXT(Table1[[#This Row],[Order_Date]],"mmm")</f>
        <v>Dec</v>
      </c>
      <c r="P659" s="20">
        <f t="shared" si="20"/>
        <v>2024</v>
      </c>
      <c r="Q659" s="46">
        <v>45650</v>
      </c>
      <c r="R659" s="20">
        <f>'Cleaned Data'!$Q659-'Cleaned Data'!$N659</f>
        <v>5</v>
      </c>
      <c r="S659" s="19" t="str">
        <f t="shared" si="21"/>
        <v>Winter</v>
      </c>
    </row>
    <row r="660" spans="1:19" x14ac:dyDescent="0.3">
      <c r="A660" s="13" t="s">
        <v>837</v>
      </c>
      <c r="B660" s="13" t="s">
        <v>29</v>
      </c>
      <c r="C660" s="5" t="s">
        <v>35</v>
      </c>
      <c r="D660" s="5" t="s">
        <v>48</v>
      </c>
      <c r="E660" s="5" t="s">
        <v>58</v>
      </c>
      <c r="F660" s="5" t="s">
        <v>63</v>
      </c>
      <c r="G660" s="5" t="s">
        <v>68</v>
      </c>
      <c r="H660" s="38">
        <v>17168.05</v>
      </c>
      <c r="I660" s="14">
        <v>0.05</v>
      </c>
      <c r="J660" s="38">
        <v>16309.647499999999</v>
      </c>
      <c r="K660" s="5">
        <v>3</v>
      </c>
      <c r="L660" s="62">
        <f>Table1[[#This Row],[Final_Unit_Price]]*Table1[[#This Row],[Quantity]]</f>
        <v>48928.942499999997</v>
      </c>
      <c r="M660" s="60">
        <v>12232.24</v>
      </c>
      <c r="N660" s="43">
        <v>45684</v>
      </c>
      <c r="O660" s="18" t="str">
        <f>TEXT(Table1[[#This Row],[Order_Date]],"mmm")</f>
        <v>Jan</v>
      </c>
      <c r="P660" s="18">
        <f t="shared" si="20"/>
        <v>2025</v>
      </c>
      <c r="Q660" s="45">
        <v>45688</v>
      </c>
      <c r="R660" s="19">
        <f>'Cleaned Data'!$Q660-'Cleaned Data'!$N660</f>
        <v>4</v>
      </c>
      <c r="S660" s="19" t="str">
        <f t="shared" si="21"/>
        <v>Winter</v>
      </c>
    </row>
    <row r="661" spans="1:19" x14ac:dyDescent="0.3">
      <c r="A661" s="11" t="s">
        <v>838</v>
      </c>
      <c r="B661" s="11" t="s">
        <v>23</v>
      </c>
      <c r="C661" s="3" t="s">
        <v>35</v>
      </c>
      <c r="D661" s="3" t="s">
        <v>44</v>
      </c>
      <c r="E661" s="3" t="s">
        <v>60</v>
      </c>
      <c r="F661" s="3" t="s">
        <v>61</v>
      </c>
      <c r="G661" s="3" t="s">
        <v>70</v>
      </c>
      <c r="H661" s="37">
        <v>21549.52</v>
      </c>
      <c r="I661" s="12">
        <v>0.3</v>
      </c>
      <c r="J661" s="37">
        <v>15084.664000000001</v>
      </c>
      <c r="K661" s="3">
        <v>2</v>
      </c>
      <c r="L661" s="61">
        <f>Table1[[#This Row],[Final_Unit_Price]]*Table1[[#This Row],[Quantity]]</f>
        <v>30169.328000000001</v>
      </c>
      <c r="M661" s="59">
        <v>4525.3999999999996</v>
      </c>
      <c r="N661" s="42">
        <v>45454</v>
      </c>
      <c r="O661" s="20" t="str">
        <f>TEXT(Table1[[#This Row],[Order_Date]],"mmm")</f>
        <v>Jun</v>
      </c>
      <c r="P661" s="20">
        <f t="shared" si="20"/>
        <v>2024</v>
      </c>
      <c r="Q661" s="46">
        <v>45459</v>
      </c>
      <c r="R661" s="20">
        <f>'Cleaned Data'!$Q661-'Cleaned Data'!$N661</f>
        <v>5</v>
      </c>
      <c r="S661" s="19" t="str">
        <f t="shared" si="21"/>
        <v>Monsoon</v>
      </c>
    </row>
    <row r="662" spans="1:19" x14ac:dyDescent="0.3">
      <c r="A662" s="13" t="s">
        <v>839</v>
      </c>
      <c r="B662" s="13" t="s">
        <v>29</v>
      </c>
      <c r="C662" s="5" t="s">
        <v>35</v>
      </c>
      <c r="D662" s="5" t="s">
        <v>48</v>
      </c>
      <c r="E662" s="5" t="s">
        <v>58</v>
      </c>
      <c r="F662" s="5" t="s">
        <v>61</v>
      </c>
      <c r="G662" s="5" t="s">
        <v>71</v>
      </c>
      <c r="H662" s="38">
        <v>17104.27</v>
      </c>
      <c r="I662" s="14">
        <v>0.2</v>
      </c>
      <c r="J662" s="38">
        <v>13683.415999999999</v>
      </c>
      <c r="K662" s="5">
        <v>4</v>
      </c>
      <c r="L662" s="62">
        <f>Table1[[#This Row],[Final_Unit_Price]]*Table1[[#This Row],[Quantity]]</f>
        <v>54733.663999999997</v>
      </c>
      <c r="M662" s="60">
        <v>13683.42</v>
      </c>
      <c r="N662" s="43">
        <v>45847</v>
      </c>
      <c r="O662" s="18" t="str">
        <f>TEXT(Table1[[#This Row],[Order_Date]],"mmm")</f>
        <v>Jul</v>
      </c>
      <c r="P662" s="18">
        <f t="shared" si="20"/>
        <v>2025</v>
      </c>
      <c r="Q662" s="45">
        <v>45854</v>
      </c>
      <c r="R662" s="19">
        <f>'Cleaned Data'!$Q662-'Cleaned Data'!$N662</f>
        <v>7</v>
      </c>
      <c r="S662" s="19" t="str">
        <f t="shared" si="21"/>
        <v>Monsoon</v>
      </c>
    </row>
    <row r="663" spans="1:19" x14ac:dyDescent="0.3">
      <c r="A663" s="11" t="s">
        <v>840</v>
      </c>
      <c r="B663" s="11" t="s">
        <v>27</v>
      </c>
      <c r="C663" s="3" t="s">
        <v>35</v>
      </c>
      <c r="D663" s="3" t="s">
        <v>38</v>
      </c>
      <c r="E663" s="3" t="s">
        <v>59</v>
      </c>
      <c r="F663" s="3" t="s">
        <v>63</v>
      </c>
      <c r="G663" s="3" t="s">
        <v>73</v>
      </c>
      <c r="H663" s="37">
        <v>8720.5400000000009</v>
      </c>
      <c r="I663" s="12">
        <v>0.25</v>
      </c>
      <c r="J663" s="37">
        <v>6540.4050000000007</v>
      </c>
      <c r="K663" s="3">
        <v>3</v>
      </c>
      <c r="L663" s="61">
        <f>Table1[[#This Row],[Final_Unit_Price]]*Table1[[#This Row],[Quantity]]</f>
        <v>19621.215000000004</v>
      </c>
      <c r="M663" s="59">
        <v>6867.43</v>
      </c>
      <c r="N663" s="42">
        <v>45661</v>
      </c>
      <c r="O663" s="20" t="str">
        <f>TEXT(Table1[[#This Row],[Order_Date]],"mmm")</f>
        <v>Jan</v>
      </c>
      <c r="P663" s="20">
        <f t="shared" si="20"/>
        <v>2025</v>
      </c>
      <c r="Q663" s="46">
        <v>45666</v>
      </c>
      <c r="R663" s="20">
        <f>'Cleaned Data'!$Q663-'Cleaned Data'!$N663</f>
        <v>5</v>
      </c>
      <c r="S663" s="19" t="str">
        <f t="shared" si="21"/>
        <v>Winter</v>
      </c>
    </row>
    <row r="664" spans="1:19" x14ac:dyDescent="0.3">
      <c r="A664" s="13" t="s">
        <v>841</v>
      </c>
      <c r="B664" s="13" t="s">
        <v>30</v>
      </c>
      <c r="C664" s="5" t="s">
        <v>33</v>
      </c>
      <c r="D664" s="5" t="s">
        <v>38</v>
      </c>
      <c r="E664" s="5" t="s">
        <v>59</v>
      </c>
      <c r="F664" s="5" t="s">
        <v>61</v>
      </c>
      <c r="G664" s="5" t="s">
        <v>71</v>
      </c>
      <c r="H664" s="38">
        <v>16989.16</v>
      </c>
      <c r="I664" s="14">
        <v>0.3</v>
      </c>
      <c r="J664" s="38">
        <v>11892.412</v>
      </c>
      <c r="K664" s="5">
        <v>3</v>
      </c>
      <c r="L664" s="62">
        <f>Table1[[#This Row],[Final_Unit_Price]]*Table1[[#This Row],[Quantity]]</f>
        <v>35677.236000000004</v>
      </c>
      <c r="M664" s="60">
        <v>12487.03</v>
      </c>
      <c r="N664" s="43">
        <v>45314</v>
      </c>
      <c r="O664" s="18" t="str">
        <f>TEXT(Table1[[#This Row],[Order_Date]],"mmm")</f>
        <v>Jan</v>
      </c>
      <c r="P664" s="18">
        <f t="shared" si="20"/>
        <v>2024</v>
      </c>
      <c r="Q664" s="45">
        <v>45324</v>
      </c>
      <c r="R664" s="19">
        <f>'Cleaned Data'!$Q664-'Cleaned Data'!$N664</f>
        <v>10</v>
      </c>
      <c r="S664" s="19" t="str">
        <f t="shared" si="21"/>
        <v>Winter</v>
      </c>
    </row>
    <row r="665" spans="1:19" x14ac:dyDescent="0.3">
      <c r="A665" s="11" t="s">
        <v>842</v>
      </c>
      <c r="B665" s="11" t="s">
        <v>21</v>
      </c>
      <c r="C665" s="3" t="s">
        <v>34</v>
      </c>
      <c r="D665" s="3" t="s">
        <v>49</v>
      </c>
      <c r="E665" s="3" t="s">
        <v>59</v>
      </c>
      <c r="F665" s="3" t="s">
        <v>62</v>
      </c>
      <c r="G665" s="3" t="s">
        <v>69</v>
      </c>
      <c r="H665" s="37">
        <v>3826.4</v>
      </c>
      <c r="I665" s="12">
        <v>0</v>
      </c>
      <c r="J665" s="37">
        <v>3826.4</v>
      </c>
      <c r="K665" s="3">
        <v>1</v>
      </c>
      <c r="L665" s="61">
        <f>Table1[[#This Row],[Final_Unit_Price]]*Table1[[#This Row],[Quantity]]</f>
        <v>3826.4</v>
      </c>
      <c r="M665" s="59">
        <v>1339.24</v>
      </c>
      <c r="N665" s="42">
        <v>45793</v>
      </c>
      <c r="O665" s="20" t="str">
        <f>TEXT(Table1[[#This Row],[Order_Date]],"mmm")</f>
        <v>May</v>
      </c>
      <c r="P665" s="20">
        <f t="shared" si="20"/>
        <v>2025</v>
      </c>
      <c r="Q665" s="46">
        <v>45801</v>
      </c>
      <c r="R665" s="20">
        <f>'Cleaned Data'!$Q665-'Cleaned Data'!$N665</f>
        <v>8</v>
      </c>
      <c r="S665" s="19" t="str">
        <f t="shared" si="21"/>
        <v>Summer</v>
      </c>
    </row>
    <row r="666" spans="1:19" x14ac:dyDescent="0.3">
      <c r="A666" s="13" t="s">
        <v>843</v>
      </c>
      <c r="B666" s="13" t="s">
        <v>22</v>
      </c>
      <c r="C666" s="5" t="s">
        <v>31</v>
      </c>
      <c r="D666" s="5" t="s">
        <v>36</v>
      </c>
      <c r="E666" s="5" t="s">
        <v>58</v>
      </c>
      <c r="F666" s="5" t="s">
        <v>61</v>
      </c>
      <c r="G666" s="5" t="s">
        <v>70</v>
      </c>
      <c r="H666" s="38">
        <v>3306.26</v>
      </c>
      <c r="I666" s="14">
        <v>0</v>
      </c>
      <c r="J666" s="38">
        <v>3306.26</v>
      </c>
      <c r="K666" s="5">
        <v>5</v>
      </c>
      <c r="L666" s="62">
        <f>Table1[[#This Row],[Final_Unit_Price]]*Table1[[#This Row],[Quantity]]</f>
        <v>16531.300000000003</v>
      </c>
      <c r="M666" s="60">
        <v>4132.82</v>
      </c>
      <c r="N666" s="43">
        <v>45833</v>
      </c>
      <c r="O666" s="18" t="str">
        <f>TEXT(Table1[[#This Row],[Order_Date]],"mmm")</f>
        <v>Jun</v>
      </c>
      <c r="P666" s="18">
        <f t="shared" si="20"/>
        <v>2025</v>
      </c>
      <c r="Q666" s="45">
        <v>45838</v>
      </c>
      <c r="R666" s="19">
        <f>'Cleaned Data'!$Q666-'Cleaned Data'!$N666</f>
        <v>5</v>
      </c>
      <c r="S666" s="19" t="str">
        <f t="shared" si="21"/>
        <v>Monsoon</v>
      </c>
    </row>
    <row r="667" spans="1:19" x14ac:dyDescent="0.3">
      <c r="A667" s="11" t="s">
        <v>844</v>
      </c>
      <c r="B667" s="11" t="s">
        <v>25</v>
      </c>
      <c r="C667" s="3" t="s">
        <v>34</v>
      </c>
      <c r="D667" s="3" t="s">
        <v>45</v>
      </c>
      <c r="E667" s="3" t="s">
        <v>59</v>
      </c>
      <c r="F667" s="3" t="s">
        <v>63</v>
      </c>
      <c r="G667" s="3" t="s">
        <v>73</v>
      </c>
      <c r="H667" s="37">
        <v>879.44</v>
      </c>
      <c r="I667" s="12">
        <v>0</v>
      </c>
      <c r="J667" s="37">
        <v>879.44</v>
      </c>
      <c r="K667" s="3">
        <v>3</v>
      </c>
      <c r="L667" s="61">
        <f>Table1[[#This Row],[Final_Unit_Price]]*Table1[[#This Row],[Quantity]]</f>
        <v>2638.32</v>
      </c>
      <c r="M667" s="59">
        <v>923.41</v>
      </c>
      <c r="N667" s="42">
        <v>45420</v>
      </c>
      <c r="O667" s="20" t="str">
        <f>TEXT(Table1[[#This Row],[Order_Date]],"mmm")</f>
        <v>May</v>
      </c>
      <c r="P667" s="20">
        <f t="shared" si="20"/>
        <v>2024</v>
      </c>
      <c r="Q667" s="46">
        <v>45424</v>
      </c>
      <c r="R667" s="20">
        <f>'Cleaned Data'!$Q667-'Cleaned Data'!$N667</f>
        <v>4</v>
      </c>
      <c r="S667" s="19" t="str">
        <f t="shared" si="21"/>
        <v>Summer</v>
      </c>
    </row>
    <row r="668" spans="1:19" x14ac:dyDescent="0.3">
      <c r="A668" s="13" t="s">
        <v>845</v>
      </c>
      <c r="B668" s="13" t="s">
        <v>17</v>
      </c>
      <c r="C668" s="5" t="s">
        <v>32</v>
      </c>
      <c r="D668" s="5" t="s">
        <v>37</v>
      </c>
      <c r="E668" s="5" t="s">
        <v>59</v>
      </c>
      <c r="F668" s="5" t="s">
        <v>64</v>
      </c>
      <c r="G668" s="5" t="s">
        <v>76</v>
      </c>
      <c r="H668" s="38">
        <v>10536.13</v>
      </c>
      <c r="I668" s="14">
        <v>0.3</v>
      </c>
      <c r="J668" s="38">
        <v>7375.2909999999993</v>
      </c>
      <c r="K668" s="5">
        <v>5</v>
      </c>
      <c r="L668" s="62">
        <f>Table1[[#This Row],[Final_Unit_Price]]*Table1[[#This Row],[Quantity]]</f>
        <v>36876.454999999994</v>
      </c>
      <c r="M668" s="60">
        <v>12906.76</v>
      </c>
      <c r="N668" s="43">
        <v>45350</v>
      </c>
      <c r="O668" s="18" t="str">
        <f>TEXT(Table1[[#This Row],[Order_Date]],"mmm")</f>
        <v>Feb</v>
      </c>
      <c r="P668" s="18">
        <f t="shared" si="20"/>
        <v>2024</v>
      </c>
      <c r="Q668" s="45">
        <v>45360</v>
      </c>
      <c r="R668" s="19">
        <f>'Cleaned Data'!$Q668-'Cleaned Data'!$N668</f>
        <v>10</v>
      </c>
      <c r="S668" s="19" t="str">
        <f t="shared" si="21"/>
        <v>Summer</v>
      </c>
    </row>
    <row r="669" spans="1:19" x14ac:dyDescent="0.3">
      <c r="A669" s="11" t="s">
        <v>846</v>
      </c>
      <c r="B669" s="11" t="s">
        <v>21</v>
      </c>
      <c r="C669" s="3" t="s">
        <v>34</v>
      </c>
      <c r="D669" s="3" t="s">
        <v>52</v>
      </c>
      <c r="E669" s="3" t="s">
        <v>60</v>
      </c>
      <c r="F669" s="3" t="s">
        <v>61</v>
      </c>
      <c r="G669" s="3" t="s">
        <v>71</v>
      </c>
      <c r="H669" s="37">
        <v>2575.9499999999998</v>
      </c>
      <c r="I669" s="12">
        <v>0.05</v>
      </c>
      <c r="J669" s="37">
        <v>2447.1525000000001</v>
      </c>
      <c r="K669" s="3">
        <v>5</v>
      </c>
      <c r="L669" s="61">
        <f>Table1[[#This Row],[Final_Unit_Price]]*Table1[[#This Row],[Quantity]]</f>
        <v>12235.762500000001</v>
      </c>
      <c r="M669" s="59">
        <v>1835.36</v>
      </c>
      <c r="N669" s="42">
        <v>45302</v>
      </c>
      <c r="O669" s="20" t="str">
        <f>TEXT(Table1[[#This Row],[Order_Date]],"mmm")</f>
        <v>Jan</v>
      </c>
      <c r="P669" s="20">
        <f t="shared" si="20"/>
        <v>2024</v>
      </c>
      <c r="Q669" s="46">
        <v>45309</v>
      </c>
      <c r="R669" s="20">
        <f>'Cleaned Data'!$Q669-'Cleaned Data'!$N669</f>
        <v>7</v>
      </c>
      <c r="S669" s="19" t="str">
        <f t="shared" si="21"/>
        <v>Winter</v>
      </c>
    </row>
    <row r="670" spans="1:19" x14ac:dyDescent="0.3">
      <c r="A670" s="13" t="s">
        <v>847</v>
      </c>
      <c r="B670" s="13" t="s">
        <v>19</v>
      </c>
      <c r="C670" s="5" t="s">
        <v>33</v>
      </c>
      <c r="D670" s="5" t="s">
        <v>38</v>
      </c>
      <c r="E670" s="5" t="s">
        <v>59</v>
      </c>
      <c r="F670" s="5" t="s">
        <v>63</v>
      </c>
      <c r="G670" s="5" t="s">
        <v>75</v>
      </c>
      <c r="H670" s="38">
        <v>2276</v>
      </c>
      <c r="I670" s="14">
        <v>0.2</v>
      </c>
      <c r="J670" s="38">
        <v>1820.8</v>
      </c>
      <c r="K670" s="5">
        <v>5</v>
      </c>
      <c r="L670" s="62">
        <f>Table1[[#This Row],[Final_Unit_Price]]*Table1[[#This Row],[Quantity]]</f>
        <v>9104</v>
      </c>
      <c r="M670" s="60">
        <v>3186.4</v>
      </c>
      <c r="N670" s="43">
        <v>45632</v>
      </c>
      <c r="O670" s="18" t="str">
        <f>TEXT(Table1[[#This Row],[Order_Date]],"mmm")</f>
        <v>Dec</v>
      </c>
      <c r="P670" s="18">
        <f t="shared" si="20"/>
        <v>2024</v>
      </c>
      <c r="Q670" s="45">
        <v>45635</v>
      </c>
      <c r="R670" s="19">
        <f>'Cleaned Data'!$Q670-'Cleaned Data'!$N670</f>
        <v>3</v>
      </c>
      <c r="S670" s="19" t="str">
        <f t="shared" si="21"/>
        <v>Winter</v>
      </c>
    </row>
    <row r="671" spans="1:19" x14ac:dyDescent="0.3">
      <c r="A671" s="11" t="s">
        <v>848</v>
      </c>
      <c r="B671" s="11" t="s">
        <v>18</v>
      </c>
      <c r="C671" s="3" t="s">
        <v>33</v>
      </c>
      <c r="D671" s="3" t="s">
        <v>50</v>
      </c>
      <c r="E671" s="3" t="s">
        <v>59</v>
      </c>
      <c r="F671" s="3" t="s">
        <v>62</v>
      </c>
      <c r="G671" s="3" t="s">
        <v>69</v>
      </c>
      <c r="H671" s="37">
        <v>63264.76</v>
      </c>
      <c r="I671" s="12">
        <v>0</v>
      </c>
      <c r="J671" s="37">
        <v>63264.76</v>
      </c>
      <c r="K671" s="3">
        <v>4</v>
      </c>
      <c r="L671" s="61">
        <f>Table1[[#This Row],[Final_Unit_Price]]*Table1[[#This Row],[Quantity]]</f>
        <v>253059.04</v>
      </c>
      <c r="M671" s="59">
        <v>88570.66</v>
      </c>
      <c r="N671" s="42">
        <v>45790</v>
      </c>
      <c r="O671" s="20" t="str">
        <f>TEXT(Table1[[#This Row],[Order_Date]],"mmm")</f>
        <v>May</v>
      </c>
      <c r="P671" s="20">
        <f t="shared" si="20"/>
        <v>2025</v>
      </c>
      <c r="Q671" s="46">
        <v>45793</v>
      </c>
      <c r="R671" s="20">
        <f>'Cleaned Data'!$Q671-'Cleaned Data'!$N671</f>
        <v>3</v>
      </c>
      <c r="S671" s="19" t="str">
        <f t="shared" si="21"/>
        <v>Summer</v>
      </c>
    </row>
    <row r="672" spans="1:19" x14ac:dyDescent="0.3">
      <c r="A672" s="13" t="s">
        <v>849</v>
      </c>
      <c r="B672" s="13" t="s">
        <v>22</v>
      </c>
      <c r="C672" s="5" t="s">
        <v>31</v>
      </c>
      <c r="D672" s="5" t="s">
        <v>36</v>
      </c>
      <c r="E672" s="5" t="s">
        <v>58</v>
      </c>
      <c r="F672" s="5" t="s">
        <v>62</v>
      </c>
      <c r="G672" s="5" t="s">
        <v>69</v>
      </c>
      <c r="H672" s="38">
        <v>3807.07</v>
      </c>
      <c r="I672" s="14">
        <v>0.3</v>
      </c>
      <c r="J672" s="38">
        <v>2664.9490000000001</v>
      </c>
      <c r="K672" s="5">
        <v>4</v>
      </c>
      <c r="L672" s="62">
        <f>Table1[[#This Row],[Final_Unit_Price]]*Table1[[#This Row],[Quantity]]</f>
        <v>10659.796</v>
      </c>
      <c r="M672" s="60">
        <v>2664.95</v>
      </c>
      <c r="N672" s="43">
        <v>45663</v>
      </c>
      <c r="O672" s="18" t="str">
        <f>TEXT(Table1[[#This Row],[Order_Date]],"mmm")</f>
        <v>Jan</v>
      </c>
      <c r="P672" s="18">
        <f t="shared" si="20"/>
        <v>2025</v>
      </c>
      <c r="Q672" s="45">
        <v>45671</v>
      </c>
      <c r="R672" s="19">
        <f>'Cleaned Data'!$Q672-'Cleaned Data'!$N672</f>
        <v>8</v>
      </c>
      <c r="S672" s="19" t="str">
        <f t="shared" si="21"/>
        <v>Winter</v>
      </c>
    </row>
    <row r="673" spans="1:19" x14ac:dyDescent="0.3">
      <c r="A673" s="11" t="s">
        <v>850</v>
      </c>
      <c r="B673" s="11" t="s">
        <v>30</v>
      </c>
      <c r="C673" s="3" t="s">
        <v>33</v>
      </c>
      <c r="D673" s="3" t="s">
        <v>50</v>
      </c>
      <c r="E673" s="3" t="s">
        <v>59</v>
      </c>
      <c r="F673" s="3" t="s">
        <v>62</v>
      </c>
      <c r="G673" s="3" t="s">
        <v>66</v>
      </c>
      <c r="H673" s="37">
        <v>19265.060000000001</v>
      </c>
      <c r="I673" s="12">
        <v>0.3</v>
      </c>
      <c r="J673" s="37">
        <v>13485.541999999999</v>
      </c>
      <c r="K673" s="3">
        <v>3</v>
      </c>
      <c r="L673" s="61">
        <f>Table1[[#This Row],[Final_Unit_Price]]*Table1[[#This Row],[Quantity]]</f>
        <v>40456.625999999997</v>
      </c>
      <c r="M673" s="59">
        <v>14159.82</v>
      </c>
      <c r="N673" s="42">
        <v>45639</v>
      </c>
      <c r="O673" s="20" t="str">
        <f>TEXT(Table1[[#This Row],[Order_Date]],"mmm")</f>
        <v>Dec</v>
      </c>
      <c r="P673" s="20">
        <f t="shared" si="20"/>
        <v>2024</v>
      </c>
      <c r="Q673" s="46">
        <v>45648</v>
      </c>
      <c r="R673" s="20">
        <f>'Cleaned Data'!$Q673-'Cleaned Data'!$N673</f>
        <v>9</v>
      </c>
      <c r="S673" s="19" t="str">
        <f t="shared" si="21"/>
        <v>Winter</v>
      </c>
    </row>
    <row r="674" spans="1:19" x14ac:dyDescent="0.3">
      <c r="A674" s="13" t="s">
        <v>851</v>
      </c>
      <c r="B674" s="13" t="s">
        <v>28</v>
      </c>
      <c r="C674" s="5" t="s">
        <v>34</v>
      </c>
      <c r="D674" s="5" t="s">
        <v>51</v>
      </c>
      <c r="E674" s="5" t="s">
        <v>59</v>
      </c>
      <c r="F674" s="5" t="s">
        <v>64</v>
      </c>
      <c r="G674" s="5" t="s">
        <v>72</v>
      </c>
      <c r="H674" s="38">
        <v>2000.83</v>
      </c>
      <c r="I674" s="14">
        <v>0.1</v>
      </c>
      <c r="J674" s="38">
        <v>1800.7470000000001</v>
      </c>
      <c r="K674" s="5">
        <v>5</v>
      </c>
      <c r="L674" s="62">
        <f>Table1[[#This Row],[Final_Unit_Price]]*Table1[[#This Row],[Quantity]]</f>
        <v>9003.7350000000006</v>
      </c>
      <c r="M674" s="60">
        <v>3151.31</v>
      </c>
      <c r="N674" s="43">
        <v>45563</v>
      </c>
      <c r="O674" s="18" t="str">
        <f>TEXT(Table1[[#This Row],[Order_Date]],"mmm")</f>
        <v>Sep</v>
      </c>
      <c r="P674" s="18">
        <f t="shared" si="20"/>
        <v>2024</v>
      </c>
      <c r="Q674" s="45">
        <v>45570</v>
      </c>
      <c r="R674" s="19">
        <f>'Cleaned Data'!$Q674-'Cleaned Data'!$N674</f>
        <v>7</v>
      </c>
      <c r="S674" s="19" t="str">
        <f t="shared" si="21"/>
        <v>Monsoon</v>
      </c>
    </row>
    <row r="675" spans="1:19" x14ac:dyDescent="0.3">
      <c r="A675" s="11" t="s">
        <v>852</v>
      </c>
      <c r="B675" s="11" t="s">
        <v>18</v>
      </c>
      <c r="C675" s="3" t="s">
        <v>33</v>
      </c>
      <c r="D675" s="3" t="s">
        <v>50</v>
      </c>
      <c r="E675" s="3" t="s">
        <v>59</v>
      </c>
      <c r="F675" s="3" t="s">
        <v>62</v>
      </c>
      <c r="G675" s="3" t="s">
        <v>66</v>
      </c>
      <c r="H675" s="37">
        <v>62414.02</v>
      </c>
      <c r="I675" s="12">
        <v>0.2</v>
      </c>
      <c r="J675" s="37">
        <v>49931.216</v>
      </c>
      <c r="K675" s="3">
        <v>3</v>
      </c>
      <c r="L675" s="61">
        <f>Table1[[#This Row],[Final_Unit_Price]]*Table1[[#This Row],[Quantity]]</f>
        <v>149793.64799999999</v>
      </c>
      <c r="M675" s="59">
        <v>52427.78</v>
      </c>
      <c r="N675" s="42">
        <v>45597</v>
      </c>
      <c r="O675" s="20" t="str">
        <f>TEXT(Table1[[#This Row],[Order_Date]],"mmm")</f>
        <v>Nov</v>
      </c>
      <c r="P675" s="20">
        <f t="shared" si="20"/>
        <v>2024</v>
      </c>
      <c r="Q675" s="46">
        <v>45601</v>
      </c>
      <c r="R675" s="20">
        <f>'Cleaned Data'!$Q675-'Cleaned Data'!$N675</f>
        <v>4</v>
      </c>
      <c r="S675" s="19" t="str">
        <f t="shared" si="21"/>
        <v>Winter</v>
      </c>
    </row>
    <row r="676" spans="1:19" x14ac:dyDescent="0.3">
      <c r="A676" s="13" t="s">
        <v>853</v>
      </c>
      <c r="B676" s="13" t="s">
        <v>26</v>
      </c>
      <c r="C676" s="5" t="s">
        <v>32</v>
      </c>
      <c r="D676" s="5" t="s">
        <v>40</v>
      </c>
      <c r="E676" s="5" t="s">
        <v>59</v>
      </c>
      <c r="F676" s="5" t="s">
        <v>64</v>
      </c>
      <c r="G676" s="5" t="s">
        <v>74</v>
      </c>
      <c r="H676" s="38">
        <v>45996.82</v>
      </c>
      <c r="I676" s="14">
        <v>0</v>
      </c>
      <c r="J676" s="38">
        <v>45996.82</v>
      </c>
      <c r="K676" s="5">
        <v>5</v>
      </c>
      <c r="L676" s="62">
        <f>Table1[[#This Row],[Final_Unit_Price]]*Table1[[#This Row],[Quantity]]</f>
        <v>229984.1</v>
      </c>
      <c r="M676" s="60">
        <v>80494.429999999993</v>
      </c>
      <c r="N676" s="43">
        <v>45614</v>
      </c>
      <c r="O676" s="18" t="str">
        <f>TEXT(Table1[[#This Row],[Order_Date]],"mmm")</f>
        <v>Nov</v>
      </c>
      <c r="P676" s="18">
        <f t="shared" si="20"/>
        <v>2024</v>
      </c>
      <c r="Q676" s="45">
        <v>45618</v>
      </c>
      <c r="R676" s="19">
        <f>'Cleaned Data'!$Q676-'Cleaned Data'!$N676</f>
        <v>4</v>
      </c>
      <c r="S676" s="19" t="str">
        <f t="shared" si="21"/>
        <v>Winter</v>
      </c>
    </row>
    <row r="677" spans="1:19" x14ac:dyDescent="0.3">
      <c r="A677" s="11" t="s">
        <v>854</v>
      </c>
      <c r="B677" s="11" t="s">
        <v>16</v>
      </c>
      <c r="C677" s="3" t="s">
        <v>31</v>
      </c>
      <c r="D677" s="3" t="s">
        <v>42</v>
      </c>
      <c r="E677" s="3" t="s">
        <v>60</v>
      </c>
      <c r="F677" s="3" t="s">
        <v>64</v>
      </c>
      <c r="G677" s="3" t="s">
        <v>72</v>
      </c>
      <c r="H677" s="37">
        <v>2340.79</v>
      </c>
      <c r="I677" s="12">
        <v>0.1</v>
      </c>
      <c r="J677" s="37">
        <v>2106.7109999999998</v>
      </c>
      <c r="K677" s="3">
        <v>1</v>
      </c>
      <c r="L677" s="61">
        <f>Table1[[#This Row],[Final_Unit_Price]]*Table1[[#This Row],[Quantity]]</f>
        <v>2106.7109999999998</v>
      </c>
      <c r="M677" s="59">
        <v>316.01</v>
      </c>
      <c r="N677" s="42">
        <v>45677</v>
      </c>
      <c r="O677" s="20" t="str">
        <f>TEXT(Table1[[#This Row],[Order_Date]],"mmm")</f>
        <v>Jan</v>
      </c>
      <c r="P677" s="20">
        <f t="shared" si="20"/>
        <v>2025</v>
      </c>
      <c r="Q677" s="46">
        <v>45679</v>
      </c>
      <c r="R677" s="20">
        <f>'Cleaned Data'!$Q677-'Cleaned Data'!$N677</f>
        <v>2</v>
      </c>
      <c r="S677" s="19" t="str">
        <f t="shared" si="21"/>
        <v>Winter</v>
      </c>
    </row>
    <row r="678" spans="1:19" x14ac:dyDescent="0.3">
      <c r="A678" s="13" t="s">
        <v>855</v>
      </c>
      <c r="B678" s="13" t="s">
        <v>19</v>
      </c>
      <c r="C678" s="5" t="s">
        <v>33</v>
      </c>
      <c r="D678" s="5" t="s">
        <v>39</v>
      </c>
      <c r="E678" s="5" t="s">
        <v>58</v>
      </c>
      <c r="F678" s="5" t="s">
        <v>64</v>
      </c>
      <c r="G678" s="5" t="s">
        <v>76</v>
      </c>
      <c r="H678" s="38">
        <v>2158.9899999999998</v>
      </c>
      <c r="I678" s="14">
        <v>0.05</v>
      </c>
      <c r="J678" s="38">
        <v>2051.0405000000001</v>
      </c>
      <c r="K678" s="5">
        <v>3</v>
      </c>
      <c r="L678" s="62">
        <f>Table1[[#This Row],[Final_Unit_Price]]*Table1[[#This Row],[Quantity]]</f>
        <v>6153.1215000000002</v>
      </c>
      <c r="M678" s="60">
        <v>1538.28</v>
      </c>
      <c r="N678" s="43">
        <v>45642</v>
      </c>
      <c r="O678" s="18" t="str">
        <f>TEXT(Table1[[#This Row],[Order_Date]],"mmm")</f>
        <v>Dec</v>
      </c>
      <c r="P678" s="18">
        <f t="shared" si="20"/>
        <v>2024</v>
      </c>
      <c r="Q678" s="45">
        <v>45651</v>
      </c>
      <c r="R678" s="19">
        <f>'Cleaned Data'!$Q678-'Cleaned Data'!$N678</f>
        <v>9</v>
      </c>
      <c r="S678" s="19" t="str">
        <f t="shared" si="21"/>
        <v>Winter</v>
      </c>
    </row>
    <row r="679" spans="1:19" x14ac:dyDescent="0.3">
      <c r="A679" s="11" t="s">
        <v>856</v>
      </c>
      <c r="B679" s="11" t="s">
        <v>25</v>
      </c>
      <c r="C679" s="3" t="s">
        <v>34</v>
      </c>
      <c r="D679" s="3" t="s">
        <v>41</v>
      </c>
      <c r="E679" s="3" t="s">
        <v>60</v>
      </c>
      <c r="F679" s="3" t="s">
        <v>62</v>
      </c>
      <c r="G679" s="3" t="s">
        <v>66</v>
      </c>
      <c r="H679" s="37">
        <v>718.64</v>
      </c>
      <c r="I679" s="12">
        <v>0</v>
      </c>
      <c r="J679" s="37">
        <v>718.64</v>
      </c>
      <c r="K679" s="3">
        <v>8</v>
      </c>
      <c r="L679" s="61">
        <f>Table1[[#This Row],[Final_Unit_Price]]*Table1[[#This Row],[Quantity]]</f>
        <v>5749.12</v>
      </c>
      <c r="M679" s="59">
        <v>431.18</v>
      </c>
      <c r="N679" s="42">
        <v>45617</v>
      </c>
      <c r="O679" s="20" t="str">
        <f>TEXT(Table1[[#This Row],[Order_Date]],"mmm")</f>
        <v>Nov</v>
      </c>
      <c r="P679" s="20">
        <f t="shared" si="20"/>
        <v>2024</v>
      </c>
      <c r="Q679" s="46">
        <v>45621</v>
      </c>
      <c r="R679" s="20">
        <f>'Cleaned Data'!$Q679-'Cleaned Data'!$N679</f>
        <v>4</v>
      </c>
      <c r="S679" s="19" t="str">
        <f t="shared" si="21"/>
        <v>Winter</v>
      </c>
    </row>
    <row r="680" spans="1:19" x14ac:dyDescent="0.3">
      <c r="A680" s="13" t="s">
        <v>857</v>
      </c>
      <c r="B680" s="13" t="s">
        <v>29</v>
      </c>
      <c r="C680" s="5" t="s">
        <v>35</v>
      </c>
      <c r="D680" s="5" t="s">
        <v>38</v>
      </c>
      <c r="E680" s="5" t="s">
        <v>59</v>
      </c>
      <c r="F680" s="5" t="s">
        <v>62</v>
      </c>
      <c r="G680" s="5" t="s">
        <v>67</v>
      </c>
      <c r="H680" s="38">
        <v>21590.03</v>
      </c>
      <c r="I680" s="14">
        <v>0.15</v>
      </c>
      <c r="J680" s="38">
        <v>18351.5255</v>
      </c>
      <c r="K680" s="5">
        <v>4</v>
      </c>
      <c r="L680" s="62">
        <f>Table1[[#This Row],[Final_Unit_Price]]*Table1[[#This Row],[Quantity]]</f>
        <v>73406.101999999999</v>
      </c>
      <c r="M680" s="60">
        <v>25692.14</v>
      </c>
      <c r="N680" s="43">
        <v>45812</v>
      </c>
      <c r="O680" s="18" t="str">
        <f>TEXT(Table1[[#This Row],[Order_Date]],"mmm")</f>
        <v>Jun</v>
      </c>
      <c r="P680" s="18">
        <f t="shared" si="20"/>
        <v>2025</v>
      </c>
      <c r="Q680" s="45">
        <v>45820</v>
      </c>
      <c r="R680" s="19">
        <f>'Cleaned Data'!$Q680-'Cleaned Data'!$N680</f>
        <v>8</v>
      </c>
      <c r="S680" s="19" t="str">
        <f t="shared" si="21"/>
        <v>Monsoon</v>
      </c>
    </row>
    <row r="681" spans="1:19" x14ac:dyDescent="0.3">
      <c r="A681" s="11" t="s">
        <v>858</v>
      </c>
      <c r="B681" s="11" t="s">
        <v>22</v>
      </c>
      <c r="C681" s="3" t="s">
        <v>31</v>
      </c>
      <c r="D681" s="3" t="s">
        <v>42</v>
      </c>
      <c r="E681" s="3" t="s">
        <v>60</v>
      </c>
      <c r="F681" s="3" t="s">
        <v>61</v>
      </c>
      <c r="G681" s="3" t="s">
        <v>70</v>
      </c>
      <c r="H681" s="37">
        <v>2834.68</v>
      </c>
      <c r="I681" s="12">
        <v>0.15</v>
      </c>
      <c r="J681" s="37">
        <v>2409.4780000000001</v>
      </c>
      <c r="K681" s="3">
        <v>5</v>
      </c>
      <c r="L681" s="61">
        <f>Table1[[#This Row],[Final_Unit_Price]]*Table1[[#This Row],[Quantity]]</f>
        <v>12047.39</v>
      </c>
      <c r="M681" s="59">
        <v>1807.11</v>
      </c>
      <c r="N681" s="42">
        <v>45312</v>
      </c>
      <c r="O681" s="20" t="str">
        <f>TEXT(Table1[[#This Row],[Order_Date]],"mmm")</f>
        <v>Jan</v>
      </c>
      <c r="P681" s="20">
        <f t="shared" si="20"/>
        <v>2024</v>
      </c>
      <c r="Q681" s="46">
        <v>45316</v>
      </c>
      <c r="R681" s="20">
        <f>'Cleaned Data'!$Q681-'Cleaned Data'!$N681</f>
        <v>4</v>
      </c>
      <c r="S681" s="19" t="str">
        <f t="shared" si="21"/>
        <v>Winter</v>
      </c>
    </row>
    <row r="682" spans="1:19" x14ac:dyDescent="0.3">
      <c r="A682" s="13" t="s">
        <v>859</v>
      </c>
      <c r="B682" s="13" t="s">
        <v>26</v>
      </c>
      <c r="C682" s="5" t="s">
        <v>32</v>
      </c>
      <c r="D682" s="5" t="s">
        <v>43</v>
      </c>
      <c r="E682" s="5" t="s">
        <v>58</v>
      </c>
      <c r="F682" s="5" t="s">
        <v>62</v>
      </c>
      <c r="G682" s="5" t="s">
        <v>67</v>
      </c>
      <c r="H682" s="38">
        <v>36198.18</v>
      </c>
      <c r="I682" s="14">
        <v>0.25</v>
      </c>
      <c r="J682" s="38">
        <v>27148.634999999998</v>
      </c>
      <c r="K682" s="5">
        <v>5</v>
      </c>
      <c r="L682" s="62">
        <f>Table1[[#This Row],[Final_Unit_Price]]*Table1[[#This Row],[Quantity]]</f>
        <v>135743.17499999999</v>
      </c>
      <c r="M682" s="60">
        <v>33935.79</v>
      </c>
      <c r="N682" s="43">
        <v>45546</v>
      </c>
      <c r="O682" s="18" t="str">
        <f>TEXT(Table1[[#This Row],[Order_Date]],"mmm")</f>
        <v>Sep</v>
      </c>
      <c r="P682" s="18">
        <f t="shared" si="20"/>
        <v>2024</v>
      </c>
      <c r="Q682" s="45">
        <v>45552</v>
      </c>
      <c r="R682" s="19">
        <f>'Cleaned Data'!$Q682-'Cleaned Data'!$N682</f>
        <v>6</v>
      </c>
      <c r="S682" s="19" t="str">
        <f t="shared" si="21"/>
        <v>Monsoon</v>
      </c>
    </row>
    <row r="683" spans="1:19" x14ac:dyDescent="0.3">
      <c r="A683" s="11" t="s">
        <v>860</v>
      </c>
      <c r="B683" s="11" t="s">
        <v>30</v>
      </c>
      <c r="C683" s="3" t="s">
        <v>33</v>
      </c>
      <c r="D683" s="3" t="s">
        <v>57</v>
      </c>
      <c r="E683" s="3" t="s">
        <v>60</v>
      </c>
      <c r="F683" s="3" t="s">
        <v>63</v>
      </c>
      <c r="G683" s="3" t="s">
        <v>75</v>
      </c>
      <c r="H683" s="37">
        <v>12431.49</v>
      </c>
      <c r="I683" s="12">
        <v>0.05</v>
      </c>
      <c r="J683" s="37">
        <v>11809.915499999999</v>
      </c>
      <c r="K683" s="3">
        <v>1</v>
      </c>
      <c r="L683" s="61">
        <f>Table1[[#This Row],[Final_Unit_Price]]*Table1[[#This Row],[Quantity]]</f>
        <v>11809.915499999999</v>
      </c>
      <c r="M683" s="59">
        <v>1771.49</v>
      </c>
      <c r="N683" s="42">
        <v>45420</v>
      </c>
      <c r="O683" s="20" t="str">
        <f>TEXT(Table1[[#This Row],[Order_Date]],"mmm")</f>
        <v>May</v>
      </c>
      <c r="P683" s="20">
        <f t="shared" si="20"/>
        <v>2024</v>
      </c>
      <c r="Q683" s="46">
        <v>45430</v>
      </c>
      <c r="R683" s="20">
        <f>'Cleaned Data'!$Q683-'Cleaned Data'!$N683</f>
        <v>10</v>
      </c>
      <c r="S683" s="19" t="str">
        <f t="shared" si="21"/>
        <v>Summer</v>
      </c>
    </row>
    <row r="684" spans="1:19" x14ac:dyDescent="0.3">
      <c r="A684" s="13" t="s">
        <v>861</v>
      </c>
      <c r="B684" s="13" t="s">
        <v>29</v>
      </c>
      <c r="C684" s="5" t="s">
        <v>35</v>
      </c>
      <c r="D684" s="5" t="s">
        <v>38</v>
      </c>
      <c r="E684" s="5" t="s">
        <v>59</v>
      </c>
      <c r="F684" s="5" t="s">
        <v>62</v>
      </c>
      <c r="G684" s="5" t="s">
        <v>69</v>
      </c>
      <c r="H684" s="38">
        <v>23367.54</v>
      </c>
      <c r="I684" s="14">
        <v>0.25</v>
      </c>
      <c r="J684" s="38">
        <v>17525.654999999999</v>
      </c>
      <c r="K684" s="5">
        <v>2</v>
      </c>
      <c r="L684" s="62">
        <f>Table1[[#This Row],[Final_Unit_Price]]*Table1[[#This Row],[Quantity]]</f>
        <v>35051.31</v>
      </c>
      <c r="M684" s="60">
        <v>12267.96</v>
      </c>
      <c r="N684" s="43">
        <v>45468</v>
      </c>
      <c r="O684" s="18" t="str">
        <f>TEXT(Table1[[#This Row],[Order_Date]],"mmm")</f>
        <v>Jun</v>
      </c>
      <c r="P684" s="18">
        <f t="shared" si="20"/>
        <v>2024</v>
      </c>
      <c r="Q684" s="45">
        <v>45475</v>
      </c>
      <c r="R684" s="19">
        <f>'Cleaned Data'!$Q684-'Cleaned Data'!$N684</f>
        <v>7</v>
      </c>
      <c r="S684" s="19" t="str">
        <f t="shared" si="21"/>
        <v>Monsoon</v>
      </c>
    </row>
    <row r="685" spans="1:19" x14ac:dyDescent="0.3">
      <c r="A685" s="11" t="s">
        <v>862</v>
      </c>
      <c r="B685" s="11" t="s">
        <v>28</v>
      </c>
      <c r="C685" s="3" t="s">
        <v>34</v>
      </c>
      <c r="D685" s="3" t="s">
        <v>55</v>
      </c>
      <c r="E685" s="3" t="s">
        <v>58</v>
      </c>
      <c r="F685" s="3" t="s">
        <v>61</v>
      </c>
      <c r="G685" s="3" t="s">
        <v>70</v>
      </c>
      <c r="H685" s="37">
        <v>1498.45</v>
      </c>
      <c r="I685" s="12">
        <v>0.15</v>
      </c>
      <c r="J685" s="37">
        <v>1273.6824999999999</v>
      </c>
      <c r="K685" s="3">
        <v>2</v>
      </c>
      <c r="L685" s="61">
        <f>Table1[[#This Row],[Final_Unit_Price]]*Table1[[#This Row],[Quantity]]</f>
        <v>2547.3649999999998</v>
      </c>
      <c r="M685" s="59">
        <v>636.84</v>
      </c>
      <c r="N685" s="42">
        <v>45520</v>
      </c>
      <c r="O685" s="20" t="str">
        <f>TEXT(Table1[[#This Row],[Order_Date]],"mmm")</f>
        <v>Aug</v>
      </c>
      <c r="P685" s="20">
        <f t="shared" si="20"/>
        <v>2024</v>
      </c>
      <c r="Q685" s="46">
        <v>45529</v>
      </c>
      <c r="R685" s="20">
        <f>'Cleaned Data'!$Q685-'Cleaned Data'!$N685</f>
        <v>9</v>
      </c>
      <c r="S685" s="19" t="str">
        <f t="shared" si="21"/>
        <v>Monsoon</v>
      </c>
    </row>
    <row r="686" spans="1:19" x14ac:dyDescent="0.3">
      <c r="A686" s="13" t="s">
        <v>863</v>
      </c>
      <c r="B686" s="13" t="s">
        <v>18</v>
      </c>
      <c r="C686" s="5" t="s">
        <v>33</v>
      </c>
      <c r="D686" s="5" t="s">
        <v>50</v>
      </c>
      <c r="E686" s="5" t="s">
        <v>59</v>
      </c>
      <c r="F686" s="5" t="s">
        <v>61</v>
      </c>
      <c r="G686" s="5" t="s">
        <v>71</v>
      </c>
      <c r="H686" s="38">
        <v>58318.57</v>
      </c>
      <c r="I686" s="14">
        <v>0</v>
      </c>
      <c r="J686" s="38">
        <v>58318.57</v>
      </c>
      <c r="K686" s="5">
        <v>5</v>
      </c>
      <c r="L686" s="62">
        <f>Table1[[#This Row],[Final_Unit_Price]]*Table1[[#This Row],[Quantity]]</f>
        <v>291592.84999999998</v>
      </c>
      <c r="M686" s="60">
        <v>102057.5</v>
      </c>
      <c r="N686" s="43">
        <v>45569</v>
      </c>
      <c r="O686" s="18" t="str">
        <f>TEXT(Table1[[#This Row],[Order_Date]],"mmm")</f>
        <v>Oct</v>
      </c>
      <c r="P686" s="18">
        <f t="shared" si="20"/>
        <v>2024</v>
      </c>
      <c r="Q686" s="45">
        <v>45578</v>
      </c>
      <c r="R686" s="19">
        <f>'Cleaned Data'!$Q686-'Cleaned Data'!$N686</f>
        <v>9</v>
      </c>
      <c r="S686" s="19" t="str">
        <f t="shared" si="21"/>
        <v>Winter</v>
      </c>
    </row>
    <row r="687" spans="1:19" x14ac:dyDescent="0.3">
      <c r="A687" s="11" t="s">
        <v>864</v>
      </c>
      <c r="B687" s="11" t="s">
        <v>22</v>
      </c>
      <c r="C687" s="3" t="s">
        <v>31</v>
      </c>
      <c r="D687" s="3" t="s">
        <v>36</v>
      </c>
      <c r="E687" s="3" t="s">
        <v>58</v>
      </c>
      <c r="F687" s="3" t="s">
        <v>63</v>
      </c>
      <c r="G687" s="3" t="s">
        <v>73</v>
      </c>
      <c r="H687" s="37">
        <v>3172.92</v>
      </c>
      <c r="I687" s="12">
        <v>0.2</v>
      </c>
      <c r="J687" s="37">
        <v>2538.3359999999998</v>
      </c>
      <c r="K687" s="3">
        <v>2</v>
      </c>
      <c r="L687" s="61">
        <f>Table1[[#This Row],[Final_Unit_Price]]*Table1[[#This Row],[Quantity]]</f>
        <v>5076.6719999999996</v>
      </c>
      <c r="M687" s="59">
        <v>1269.17</v>
      </c>
      <c r="N687" s="42">
        <v>45771</v>
      </c>
      <c r="O687" s="20" t="str">
        <f>TEXT(Table1[[#This Row],[Order_Date]],"mmm")</f>
        <v>Apr</v>
      </c>
      <c r="P687" s="20">
        <f t="shared" si="20"/>
        <v>2025</v>
      </c>
      <c r="Q687" s="46">
        <v>45776</v>
      </c>
      <c r="R687" s="20">
        <f>'Cleaned Data'!$Q687-'Cleaned Data'!$N687</f>
        <v>5</v>
      </c>
      <c r="S687" s="19" t="str">
        <f t="shared" si="21"/>
        <v>Summer</v>
      </c>
    </row>
    <row r="688" spans="1:19" x14ac:dyDescent="0.3">
      <c r="A688" s="13" t="s">
        <v>865</v>
      </c>
      <c r="B688" s="13" t="s">
        <v>27</v>
      </c>
      <c r="C688" s="5" t="s">
        <v>35</v>
      </c>
      <c r="D688" s="5" t="s">
        <v>38</v>
      </c>
      <c r="E688" s="5" t="s">
        <v>59</v>
      </c>
      <c r="F688" s="5" t="s">
        <v>63</v>
      </c>
      <c r="G688" s="5" t="s">
        <v>68</v>
      </c>
      <c r="H688" s="38">
        <v>9305.23</v>
      </c>
      <c r="I688" s="14">
        <v>0.1</v>
      </c>
      <c r="J688" s="38">
        <v>8374.7070000000003</v>
      </c>
      <c r="K688" s="5">
        <v>4</v>
      </c>
      <c r="L688" s="62">
        <f>Table1[[#This Row],[Final_Unit_Price]]*Table1[[#This Row],[Quantity]]</f>
        <v>33498.828000000001</v>
      </c>
      <c r="M688" s="60">
        <v>11724.59</v>
      </c>
      <c r="N688" s="43">
        <v>45335</v>
      </c>
      <c r="O688" s="18" t="str">
        <f>TEXT(Table1[[#This Row],[Order_Date]],"mmm")</f>
        <v>Feb</v>
      </c>
      <c r="P688" s="18">
        <f t="shared" si="20"/>
        <v>2024</v>
      </c>
      <c r="Q688" s="45">
        <v>45339</v>
      </c>
      <c r="R688" s="19">
        <f>'Cleaned Data'!$Q688-'Cleaned Data'!$N688</f>
        <v>4</v>
      </c>
      <c r="S688" s="19" t="str">
        <f t="shared" si="21"/>
        <v>Summer</v>
      </c>
    </row>
    <row r="689" spans="1:19" x14ac:dyDescent="0.3">
      <c r="A689" s="11" t="s">
        <v>866</v>
      </c>
      <c r="B689" s="11" t="s">
        <v>22</v>
      </c>
      <c r="C689" s="3" t="s">
        <v>31</v>
      </c>
      <c r="D689" s="3" t="s">
        <v>36</v>
      </c>
      <c r="E689" s="3" t="s">
        <v>58</v>
      </c>
      <c r="F689" s="3" t="s">
        <v>63</v>
      </c>
      <c r="G689" s="3" t="s">
        <v>68</v>
      </c>
      <c r="H689" s="37">
        <v>3319.23</v>
      </c>
      <c r="I689" s="12">
        <v>0.15</v>
      </c>
      <c r="J689" s="37">
        <v>2821.3454999999999</v>
      </c>
      <c r="K689" s="3">
        <v>3</v>
      </c>
      <c r="L689" s="61">
        <f>Table1[[#This Row],[Final_Unit_Price]]*Table1[[#This Row],[Quantity]]</f>
        <v>8464.0365000000002</v>
      </c>
      <c r="M689" s="59">
        <v>2116.0100000000002</v>
      </c>
      <c r="N689" s="42">
        <v>45523</v>
      </c>
      <c r="O689" s="20" t="str">
        <f>TEXT(Table1[[#This Row],[Order_Date]],"mmm")</f>
        <v>Aug</v>
      </c>
      <c r="P689" s="20">
        <f t="shared" si="20"/>
        <v>2024</v>
      </c>
      <c r="Q689" s="46">
        <v>45528</v>
      </c>
      <c r="R689" s="20">
        <f>'Cleaned Data'!$Q689-'Cleaned Data'!$N689</f>
        <v>5</v>
      </c>
      <c r="S689" s="19" t="str">
        <f t="shared" si="21"/>
        <v>Monsoon</v>
      </c>
    </row>
    <row r="690" spans="1:19" x14ac:dyDescent="0.3">
      <c r="A690" s="13" t="s">
        <v>867</v>
      </c>
      <c r="B690" s="13" t="s">
        <v>18</v>
      </c>
      <c r="C690" s="5" t="s">
        <v>33</v>
      </c>
      <c r="D690" s="5" t="s">
        <v>39</v>
      </c>
      <c r="E690" s="5" t="s">
        <v>58</v>
      </c>
      <c r="F690" s="5" t="s">
        <v>61</v>
      </c>
      <c r="G690" s="5" t="s">
        <v>70</v>
      </c>
      <c r="H690" s="38">
        <v>48287.32</v>
      </c>
      <c r="I690" s="14">
        <v>0.25</v>
      </c>
      <c r="J690" s="38">
        <v>36215.49</v>
      </c>
      <c r="K690" s="5">
        <v>4</v>
      </c>
      <c r="L690" s="62">
        <f>Table1[[#This Row],[Final_Unit_Price]]*Table1[[#This Row],[Quantity]]</f>
        <v>144861.96</v>
      </c>
      <c r="M690" s="60">
        <v>36215.49</v>
      </c>
      <c r="N690" s="43">
        <v>45337</v>
      </c>
      <c r="O690" s="18" t="str">
        <f>TEXT(Table1[[#This Row],[Order_Date]],"mmm")</f>
        <v>Feb</v>
      </c>
      <c r="P690" s="18">
        <f t="shared" si="20"/>
        <v>2024</v>
      </c>
      <c r="Q690" s="45">
        <v>45344</v>
      </c>
      <c r="R690" s="19">
        <f>'Cleaned Data'!$Q690-'Cleaned Data'!$N690</f>
        <v>7</v>
      </c>
      <c r="S690" s="19" t="str">
        <f t="shared" si="21"/>
        <v>Summer</v>
      </c>
    </row>
    <row r="691" spans="1:19" x14ac:dyDescent="0.3">
      <c r="A691" s="11" t="s">
        <v>868</v>
      </c>
      <c r="B691" s="11" t="s">
        <v>21</v>
      </c>
      <c r="C691" s="3" t="s">
        <v>34</v>
      </c>
      <c r="D691" s="3" t="s">
        <v>55</v>
      </c>
      <c r="E691" s="3" t="s">
        <v>58</v>
      </c>
      <c r="F691" s="3" t="s">
        <v>63</v>
      </c>
      <c r="G691" s="3" t="s">
        <v>68</v>
      </c>
      <c r="H691" s="37">
        <v>2990.52</v>
      </c>
      <c r="I691" s="12">
        <v>0.1</v>
      </c>
      <c r="J691" s="37">
        <v>2691.4679999999998</v>
      </c>
      <c r="K691" s="3">
        <v>9</v>
      </c>
      <c r="L691" s="61">
        <f>Table1[[#This Row],[Final_Unit_Price]]*Table1[[#This Row],[Quantity]]</f>
        <v>24223.212</v>
      </c>
      <c r="M691" s="59">
        <v>3364.34</v>
      </c>
      <c r="N691" s="42">
        <v>45615</v>
      </c>
      <c r="O691" s="20" t="str">
        <f>TEXT(Table1[[#This Row],[Order_Date]],"mmm")</f>
        <v>Nov</v>
      </c>
      <c r="P691" s="20">
        <f t="shared" si="20"/>
        <v>2024</v>
      </c>
      <c r="Q691" s="46">
        <v>45622</v>
      </c>
      <c r="R691" s="20">
        <f>'Cleaned Data'!$Q691-'Cleaned Data'!$N691</f>
        <v>7</v>
      </c>
      <c r="S691" s="19" t="str">
        <f t="shared" si="21"/>
        <v>Winter</v>
      </c>
    </row>
    <row r="692" spans="1:19" x14ac:dyDescent="0.3">
      <c r="A692" s="13" t="s">
        <v>869</v>
      </c>
      <c r="B692" s="13" t="s">
        <v>26</v>
      </c>
      <c r="C692" s="5" t="s">
        <v>32</v>
      </c>
      <c r="D692" s="5" t="s">
        <v>54</v>
      </c>
      <c r="E692" s="5" t="s">
        <v>60</v>
      </c>
      <c r="F692" s="5" t="s">
        <v>64</v>
      </c>
      <c r="G692" s="5" t="s">
        <v>76</v>
      </c>
      <c r="H692" s="38">
        <v>31028.54</v>
      </c>
      <c r="I692" s="14">
        <v>0.25</v>
      </c>
      <c r="J692" s="38">
        <v>23271.404999999999</v>
      </c>
      <c r="K692" s="5">
        <v>3</v>
      </c>
      <c r="L692" s="62">
        <f>Table1[[#This Row],[Final_Unit_Price]]*Table1[[#This Row],[Quantity]]</f>
        <v>69814.214999999997</v>
      </c>
      <c r="M692" s="60">
        <v>10472.129999999999</v>
      </c>
      <c r="N692" s="43">
        <v>45357</v>
      </c>
      <c r="O692" s="18" t="str">
        <f>TEXT(Table1[[#This Row],[Order_Date]],"mmm")</f>
        <v>Mar</v>
      </c>
      <c r="P692" s="18">
        <f t="shared" si="20"/>
        <v>2024</v>
      </c>
      <c r="Q692" s="45">
        <v>45361</v>
      </c>
      <c r="R692" s="19">
        <f>'Cleaned Data'!$Q692-'Cleaned Data'!$N692</f>
        <v>4</v>
      </c>
      <c r="S692" s="19" t="str">
        <f t="shared" si="21"/>
        <v>Summer</v>
      </c>
    </row>
    <row r="693" spans="1:19" x14ac:dyDescent="0.3">
      <c r="A693" s="11" t="s">
        <v>870</v>
      </c>
      <c r="B693" s="11" t="s">
        <v>28</v>
      </c>
      <c r="C693" s="3" t="s">
        <v>34</v>
      </c>
      <c r="D693" s="3" t="s">
        <v>51</v>
      </c>
      <c r="E693" s="3" t="s">
        <v>59</v>
      </c>
      <c r="F693" s="3" t="s">
        <v>62</v>
      </c>
      <c r="G693" s="3" t="s">
        <v>69</v>
      </c>
      <c r="H693" s="37">
        <v>1872.02</v>
      </c>
      <c r="I693" s="12">
        <v>0.05</v>
      </c>
      <c r="J693" s="37">
        <v>1778.4190000000001</v>
      </c>
      <c r="K693" s="3">
        <v>8</v>
      </c>
      <c r="L693" s="61">
        <f>Table1[[#This Row],[Final_Unit_Price]]*Table1[[#This Row],[Quantity]]</f>
        <v>14227.352000000001</v>
      </c>
      <c r="M693" s="59">
        <v>622.45000000000005</v>
      </c>
      <c r="N693" s="42">
        <v>45585</v>
      </c>
      <c r="O693" s="20" t="str">
        <f>TEXT(Table1[[#This Row],[Order_Date]],"mmm")</f>
        <v>Oct</v>
      </c>
      <c r="P693" s="20">
        <f t="shared" si="20"/>
        <v>2024</v>
      </c>
      <c r="Q693" s="46">
        <v>45590</v>
      </c>
      <c r="R693" s="20">
        <f>'Cleaned Data'!$Q693-'Cleaned Data'!$N693</f>
        <v>5</v>
      </c>
      <c r="S693" s="19" t="str">
        <f t="shared" si="21"/>
        <v>Winter</v>
      </c>
    </row>
    <row r="694" spans="1:19" x14ac:dyDescent="0.3">
      <c r="A694" s="13" t="s">
        <v>871</v>
      </c>
      <c r="B694" s="13" t="s">
        <v>30</v>
      </c>
      <c r="C694" s="5" t="s">
        <v>33</v>
      </c>
      <c r="D694" s="5" t="s">
        <v>39</v>
      </c>
      <c r="E694" s="5" t="s">
        <v>58</v>
      </c>
      <c r="F694" s="5" t="s">
        <v>63</v>
      </c>
      <c r="G694" s="5" t="s">
        <v>73</v>
      </c>
      <c r="H694" s="38">
        <v>13954.31</v>
      </c>
      <c r="I694" s="14">
        <v>0</v>
      </c>
      <c r="J694" s="38">
        <v>13954.31</v>
      </c>
      <c r="K694" s="5">
        <v>3</v>
      </c>
      <c r="L694" s="62">
        <f>Table1[[#This Row],[Final_Unit_Price]]*Table1[[#This Row],[Quantity]]</f>
        <v>41862.93</v>
      </c>
      <c r="M694" s="60">
        <v>10465.73</v>
      </c>
      <c r="N694" s="43">
        <v>45639</v>
      </c>
      <c r="O694" s="18" t="str">
        <f>TEXT(Table1[[#This Row],[Order_Date]],"mmm")</f>
        <v>Dec</v>
      </c>
      <c r="P694" s="18">
        <f t="shared" si="20"/>
        <v>2024</v>
      </c>
      <c r="Q694" s="45">
        <v>45649</v>
      </c>
      <c r="R694" s="19">
        <f>'Cleaned Data'!$Q694-'Cleaned Data'!$N694</f>
        <v>10</v>
      </c>
      <c r="S694" s="19" t="str">
        <f t="shared" si="21"/>
        <v>Winter</v>
      </c>
    </row>
    <row r="695" spans="1:19" x14ac:dyDescent="0.3">
      <c r="A695" s="11" t="s">
        <v>872</v>
      </c>
      <c r="B695" s="11" t="s">
        <v>24</v>
      </c>
      <c r="C695" s="3" t="s">
        <v>32</v>
      </c>
      <c r="D695" s="3" t="s">
        <v>40</v>
      </c>
      <c r="E695" s="3" t="s">
        <v>59</v>
      </c>
      <c r="F695" s="3" t="s">
        <v>63</v>
      </c>
      <c r="G695" s="3" t="s">
        <v>75</v>
      </c>
      <c r="H695" s="37">
        <v>29530.27</v>
      </c>
      <c r="I695" s="12">
        <v>0.1</v>
      </c>
      <c r="J695" s="37">
        <v>26577.242999999999</v>
      </c>
      <c r="K695" s="3">
        <v>5</v>
      </c>
      <c r="L695" s="61">
        <f>Table1[[#This Row],[Final_Unit_Price]]*Table1[[#This Row],[Quantity]]</f>
        <v>132886.215</v>
      </c>
      <c r="M695" s="59">
        <v>46510.18</v>
      </c>
      <c r="N695" s="42">
        <v>45782</v>
      </c>
      <c r="O695" s="20" t="str">
        <f>TEXT(Table1[[#This Row],[Order_Date]],"mmm")</f>
        <v>May</v>
      </c>
      <c r="P695" s="20">
        <f t="shared" si="20"/>
        <v>2025</v>
      </c>
      <c r="Q695" s="46">
        <v>45786</v>
      </c>
      <c r="R695" s="20">
        <f>'Cleaned Data'!$Q695-'Cleaned Data'!$N695</f>
        <v>4</v>
      </c>
      <c r="S695" s="19" t="str">
        <f t="shared" si="21"/>
        <v>Summer</v>
      </c>
    </row>
    <row r="696" spans="1:19" x14ac:dyDescent="0.3">
      <c r="A696" s="13" t="s">
        <v>873</v>
      </c>
      <c r="B696" s="13" t="s">
        <v>22</v>
      </c>
      <c r="C696" s="5" t="s">
        <v>31</v>
      </c>
      <c r="D696" s="5" t="s">
        <v>47</v>
      </c>
      <c r="E696" s="5" t="s">
        <v>59</v>
      </c>
      <c r="F696" s="5" t="s">
        <v>64</v>
      </c>
      <c r="G696" s="5" t="s">
        <v>76</v>
      </c>
      <c r="H696" s="38">
        <v>4429.3599999999997</v>
      </c>
      <c r="I696" s="14">
        <v>0.05</v>
      </c>
      <c r="J696" s="38">
        <v>4207.8919999999998</v>
      </c>
      <c r="K696" s="5">
        <v>4</v>
      </c>
      <c r="L696" s="62">
        <f>Table1[[#This Row],[Final_Unit_Price]]*Table1[[#This Row],[Quantity]]</f>
        <v>16831.567999999999</v>
      </c>
      <c r="M696" s="60">
        <v>5891.05</v>
      </c>
      <c r="N696" s="43">
        <v>45803</v>
      </c>
      <c r="O696" s="18" t="str">
        <f>TEXT(Table1[[#This Row],[Order_Date]],"mmm")</f>
        <v>May</v>
      </c>
      <c r="P696" s="18">
        <f t="shared" si="20"/>
        <v>2025</v>
      </c>
      <c r="Q696" s="45">
        <v>45809</v>
      </c>
      <c r="R696" s="19">
        <f>'Cleaned Data'!$Q696-'Cleaned Data'!$N696</f>
        <v>6</v>
      </c>
      <c r="S696" s="19" t="str">
        <f t="shared" si="21"/>
        <v>Summer</v>
      </c>
    </row>
    <row r="697" spans="1:19" x14ac:dyDescent="0.3">
      <c r="A697" s="11" t="s">
        <v>874</v>
      </c>
      <c r="B697" s="11" t="s">
        <v>16</v>
      </c>
      <c r="C697" s="3" t="s">
        <v>31</v>
      </c>
      <c r="D697" s="3" t="s">
        <v>47</v>
      </c>
      <c r="E697" s="3" t="s">
        <v>59</v>
      </c>
      <c r="F697" s="3" t="s">
        <v>64</v>
      </c>
      <c r="G697" s="3" t="s">
        <v>72</v>
      </c>
      <c r="H697" s="37">
        <v>3156.14</v>
      </c>
      <c r="I697" s="12">
        <v>0.15</v>
      </c>
      <c r="J697" s="37">
        <v>2682.7190000000001</v>
      </c>
      <c r="K697" s="3">
        <v>5</v>
      </c>
      <c r="L697" s="61">
        <f>Table1[[#This Row],[Final_Unit_Price]]*Table1[[#This Row],[Quantity]]</f>
        <v>13413.595000000001</v>
      </c>
      <c r="M697" s="59">
        <v>2816.86</v>
      </c>
      <c r="N697" s="42">
        <v>45545</v>
      </c>
      <c r="O697" s="20" t="str">
        <f>TEXT(Table1[[#This Row],[Order_Date]],"mmm")</f>
        <v>Sep</v>
      </c>
      <c r="P697" s="20">
        <f t="shared" si="20"/>
        <v>2024</v>
      </c>
      <c r="Q697" s="46">
        <v>45547</v>
      </c>
      <c r="R697" s="20">
        <f>'Cleaned Data'!$Q697-'Cleaned Data'!$N697</f>
        <v>2</v>
      </c>
      <c r="S697" s="19" t="str">
        <f t="shared" si="21"/>
        <v>Monsoon</v>
      </c>
    </row>
    <row r="698" spans="1:19" x14ac:dyDescent="0.3">
      <c r="A698" s="13" t="s">
        <v>875</v>
      </c>
      <c r="B698" s="13" t="s">
        <v>26</v>
      </c>
      <c r="C698" s="5" t="s">
        <v>32</v>
      </c>
      <c r="D698" s="5" t="s">
        <v>37</v>
      </c>
      <c r="E698" s="5" t="s">
        <v>59</v>
      </c>
      <c r="F698" s="5" t="s">
        <v>64</v>
      </c>
      <c r="G698" s="5" t="s">
        <v>74</v>
      </c>
      <c r="H698" s="38">
        <v>46618.66</v>
      </c>
      <c r="I698" s="14">
        <v>0.2</v>
      </c>
      <c r="J698" s="38">
        <v>37294.928000000007</v>
      </c>
      <c r="K698" s="5">
        <v>2</v>
      </c>
      <c r="L698" s="62">
        <f>Table1[[#This Row],[Final_Unit_Price]]*Table1[[#This Row],[Quantity]]</f>
        <v>74589.856000000014</v>
      </c>
      <c r="M698" s="60">
        <v>26106.45</v>
      </c>
      <c r="N698" s="43">
        <v>45298</v>
      </c>
      <c r="O698" s="18" t="str">
        <f>TEXT(Table1[[#This Row],[Order_Date]],"mmm")</f>
        <v>Jan</v>
      </c>
      <c r="P698" s="18">
        <f t="shared" si="20"/>
        <v>2024</v>
      </c>
      <c r="Q698" s="45">
        <v>45306</v>
      </c>
      <c r="R698" s="19">
        <f>'Cleaned Data'!$Q698-'Cleaned Data'!$N698</f>
        <v>8</v>
      </c>
      <c r="S698" s="19" t="str">
        <f t="shared" si="21"/>
        <v>Winter</v>
      </c>
    </row>
    <row r="699" spans="1:19" x14ac:dyDescent="0.3">
      <c r="A699" s="11" t="s">
        <v>876</v>
      </c>
      <c r="B699" s="11" t="s">
        <v>16</v>
      </c>
      <c r="C699" s="3" t="s">
        <v>31</v>
      </c>
      <c r="D699" s="3" t="s">
        <v>42</v>
      </c>
      <c r="E699" s="3" t="s">
        <v>60</v>
      </c>
      <c r="F699" s="3" t="s">
        <v>63</v>
      </c>
      <c r="G699" s="3" t="s">
        <v>68</v>
      </c>
      <c r="H699" s="37">
        <v>2090.37</v>
      </c>
      <c r="I699" s="12">
        <v>0.05</v>
      </c>
      <c r="J699" s="37">
        <v>1985.8515</v>
      </c>
      <c r="K699" s="3">
        <v>8</v>
      </c>
      <c r="L699" s="61">
        <f>Table1[[#This Row],[Final_Unit_Price]]*Table1[[#This Row],[Quantity]]</f>
        <v>15886.812</v>
      </c>
      <c r="M699" s="59">
        <v>1191.51</v>
      </c>
      <c r="N699" s="42">
        <v>45464</v>
      </c>
      <c r="O699" s="20" t="str">
        <f>TEXT(Table1[[#This Row],[Order_Date]],"mmm")</f>
        <v>Jun</v>
      </c>
      <c r="P699" s="20">
        <f t="shared" si="20"/>
        <v>2024</v>
      </c>
      <c r="Q699" s="46">
        <v>45470</v>
      </c>
      <c r="R699" s="20">
        <f>'Cleaned Data'!$Q699-'Cleaned Data'!$N699</f>
        <v>6</v>
      </c>
      <c r="S699" s="19" t="str">
        <f t="shared" si="21"/>
        <v>Monsoon</v>
      </c>
    </row>
    <row r="700" spans="1:19" x14ac:dyDescent="0.3">
      <c r="A700" s="13" t="s">
        <v>877</v>
      </c>
      <c r="B700" s="13" t="s">
        <v>25</v>
      </c>
      <c r="C700" s="5" t="s">
        <v>34</v>
      </c>
      <c r="D700" s="5" t="s">
        <v>51</v>
      </c>
      <c r="E700" s="5" t="s">
        <v>59</v>
      </c>
      <c r="F700" s="5" t="s">
        <v>61</v>
      </c>
      <c r="G700" s="5" t="s">
        <v>70</v>
      </c>
      <c r="H700" s="38">
        <v>943.53</v>
      </c>
      <c r="I700" s="14">
        <v>0.05</v>
      </c>
      <c r="J700" s="38">
        <v>896.35349999999994</v>
      </c>
      <c r="K700" s="5">
        <v>2</v>
      </c>
      <c r="L700" s="62">
        <f>Table1[[#This Row],[Final_Unit_Price]]*Table1[[#This Row],[Quantity]]</f>
        <v>1792.7069999999999</v>
      </c>
      <c r="M700" s="60">
        <v>627.45000000000005</v>
      </c>
      <c r="N700" s="43">
        <v>45701</v>
      </c>
      <c r="O700" s="18" t="str">
        <f>TEXT(Table1[[#This Row],[Order_Date]],"mmm")</f>
        <v>Feb</v>
      </c>
      <c r="P700" s="18">
        <f t="shared" si="20"/>
        <v>2025</v>
      </c>
      <c r="Q700" s="45">
        <v>45711</v>
      </c>
      <c r="R700" s="19">
        <f>'Cleaned Data'!$Q700-'Cleaned Data'!$N700</f>
        <v>10</v>
      </c>
      <c r="S700" s="19" t="str">
        <f t="shared" si="21"/>
        <v>Summer</v>
      </c>
    </row>
    <row r="701" spans="1:19" x14ac:dyDescent="0.3">
      <c r="A701" s="11" t="s">
        <v>878</v>
      </c>
      <c r="B701" s="11" t="s">
        <v>27</v>
      </c>
      <c r="C701" s="3" t="s">
        <v>35</v>
      </c>
      <c r="D701" s="3" t="s">
        <v>48</v>
      </c>
      <c r="E701" s="3" t="s">
        <v>58</v>
      </c>
      <c r="F701" s="3" t="s">
        <v>61</v>
      </c>
      <c r="G701" s="3" t="s">
        <v>71</v>
      </c>
      <c r="H701" s="37">
        <v>8018.33</v>
      </c>
      <c r="I701" s="12">
        <v>0.05</v>
      </c>
      <c r="J701" s="37">
        <v>7617.4134999999997</v>
      </c>
      <c r="K701" s="3">
        <v>1</v>
      </c>
      <c r="L701" s="61">
        <f>Table1[[#This Row],[Final_Unit_Price]]*Table1[[#This Row],[Quantity]]</f>
        <v>7617.4134999999997</v>
      </c>
      <c r="M701" s="59">
        <v>1904.35</v>
      </c>
      <c r="N701" s="42">
        <v>45327</v>
      </c>
      <c r="O701" s="20" t="str">
        <f>TEXT(Table1[[#This Row],[Order_Date]],"mmm")</f>
        <v>Feb</v>
      </c>
      <c r="P701" s="20">
        <f t="shared" si="20"/>
        <v>2024</v>
      </c>
      <c r="Q701" s="46">
        <v>45331</v>
      </c>
      <c r="R701" s="20">
        <f>'Cleaned Data'!$Q701-'Cleaned Data'!$N701</f>
        <v>4</v>
      </c>
      <c r="S701" s="19" t="str">
        <f t="shared" si="21"/>
        <v>Summer</v>
      </c>
    </row>
    <row r="702" spans="1:19" x14ac:dyDescent="0.3">
      <c r="A702" s="13" t="s">
        <v>879</v>
      </c>
      <c r="B702" s="13" t="s">
        <v>29</v>
      </c>
      <c r="C702" s="5" t="s">
        <v>35</v>
      </c>
      <c r="D702" s="5" t="s">
        <v>48</v>
      </c>
      <c r="E702" s="5" t="s">
        <v>58</v>
      </c>
      <c r="F702" s="5" t="s">
        <v>63</v>
      </c>
      <c r="G702" s="5" t="s">
        <v>75</v>
      </c>
      <c r="H702" s="38">
        <v>17022.14</v>
      </c>
      <c r="I702" s="14">
        <v>0.25</v>
      </c>
      <c r="J702" s="38">
        <v>12766.605</v>
      </c>
      <c r="K702" s="5">
        <v>2</v>
      </c>
      <c r="L702" s="62">
        <f>Table1[[#This Row],[Final_Unit_Price]]*Table1[[#This Row],[Quantity]]</f>
        <v>25533.21</v>
      </c>
      <c r="M702" s="60">
        <v>6383.3</v>
      </c>
      <c r="N702" s="43">
        <v>45336</v>
      </c>
      <c r="O702" s="18" t="str">
        <f>TEXT(Table1[[#This Row],[Order_Date]],"mmm")</f>
        <v>Feb</v>
      </c>
      <c r="P702" s="18">
        <f t="shared" si="20"/>
        <v>2024</v>
      </c>
      <c r="Q702" s="45">
        <v>45340</v>
      </c>
      <c r="R702" s="19">
        <f>'Cleaned Data'!$Q702-'Cleaned Data'!$N702</f>
        <v>4</v>
      </c>
      <c r="S702" s="19" t="str">
        <f t="shared" si="21"/>
        <v>Summer</v>
      </c>
    </row>
    <row r="703" spans="1:19" x14ac:dyDescent="0.3">
      <c r="A703" s="11" t="s">
        <v>880</v>
      </c>
      <c r="B703" s="11" t="s">
        <v>20</v>
      </c>
      <c r="C703" s="3" t="s">
        <v>32</v>
      </c>
      <c r="D703" s="3" t="s">
        <v>54</v>
      </c>
      <c r="E703" s="3" t="s">
        <v>60</v>
      </c>
      <c r="F703" s="3" t="s">
        <v>62</v>
      </c>
      <c r="G703" s="3" t="s">
        <v>67</v>
      </c>
      <c r="H703" s="37">
        <v>27370.98</v>
      </c>
      <c r="I703" s="12">
        <v>0.05</v>
      </c>
      <c r="J703" s="37">
        <v>26002.431</v>
      </c>
      <c r="K703" s="3">
        <v>3</v>
      </c>
      <c r="L703" s="61">
        <f>Table1[[#This Row],[Final_Unit_Price]]*Table1[[#This Row],[Quantity]]</f>
        <v>78007.293000000005</v>
      </c>
      <c r="M703" s="59">
        <v>11701.09</v>
      </c>
      <c r="N703" s="42">
        <v>45640</v>
      </c>
      <c r="O703" s="20" t="str">
        <f>TEXT(Table1[[#This Row],[Order_Date]],"mmm")</f>
        <v>Dec</v>
      </c>
      <c r="P703" s="20">
        <f t="shared" si="20"/>
        <v>2024</v>
      </c>
      <c r="Q703" s="46">
        <v>45648</v>
      </c>
      <c r="R703" s="20">
        <f>'Cleaned Data'!$Q703-'Cleaned Data'!$N703</f>
        <v>8</v>
      </c>
      <c r="S703" s="19" t="str">
        <f t="shared" si="21"/>
        <v>Winter</v>
      </c>
    </row>
    <row r="704" spans="1:19" x14ac:dyDescent="0.3">
      <c r="A704" s="13" t="s">
        <v>881</v>
      </c>
      <c r="B704" s="13" t="s">
        <v>24</v>
      </c>
      <c r="C704" s="5" t="s">
        <v>32</v>
      </c>
      <c r="D704" s="5" t="s">
        <v>54</v>
      </c>
      <c r="E704" s="5" t="s">
        <v>60</v>
      </c>
      <c r="F704" s="5" t="s">
        <v>64</v>
      </c>
      <c r="G704" s="5" t="s">
        <v>72</v>
      </c>
      <c r="H704" s="38">
        <v>23069.06</v>
      </c>
      <c r="I704" s="14">
        <v>0.05</v>
      </c>
      <c r="J704" s="38">
        <v>21915.607</v>
      </c>
      <c r="K704" s="5">
        <v>4</v>
      </c>
      <c r="L704" s="62">
        <f>Table1[[#This Row],[Final_Unit_Price]]*Table1[[#This Row],[Quantity]]</f>
        <v>87662.428</v>
      </c>
      <c r="M704" s="60">
        <v>13149.36</v>
      </c>
      <c r="N704" s="43">
        <v>45624</v>
      </c>
      <c r="O704" s="18" t="str">
        <f>TEXT(Table1[[#This Row],[Order_Date]],"mmm")</f>
        <v>Nov</v>
      </c>
      <c r="P704" s="18">
        <f t="shared" si="20"/>
        <v>2024</v>
      </c>
      <c r="Q704" s="45">
        <v>45630</v>
      </c>
      <c r="R704" s="19">
        <f>'Cleaned Data'!$Q704-'Cleaned Data'!$N704</f>
        <v>6</v>
      </c>
      <c r="S704" s="19" t="str">
        <f t="shared" si="21"/>
        <v>Winter</v>
      </c>
    </row>
    <row r="705" spans="1:19" x14ac:dyDescent="0.3">
      <c r="A705" s="11" t="s">
        <v>882</v>
      </c>
      <c r="B705" s="11" t="s">
        <v>19</v>
      </c>
      <c r="C705" s="3" t="s">
        <v>33</v>
      </c>
      <c r="D705" s="3" t="s">
        <v>39</v>
      </c>
      <c r="E705" s="3" t="s">
        <v>58</v>
      </c>
      <c r="F705" s="3" t="s">
        <v>62</v>
      </c>
      <c r="G705" s="3" t="s">
        <v>69</v>
      </c>
      <c r="H705" s="37">
        <v>2006.33</v>
      </c>
      <c r="I705" s="12">
        <v>0.3</v>
      </c>
      <c r="J705" s="37">
        <v>1404.431</v>
      </c>
      <c r="K705" s="3">
        <v>2</v>
      </c>
      <c r="L705" s="61">
        <f>Table1[[#This Row],[Final_Unit_Price]]*Table1[[#This Row],[Quantity]]</f>
        <v>2808.8620000000001</v>
      </c>
      <c r="M705" s="59">
        <v>702.22</v>
      </c>
      <c r="N705" s="42">
        <v>45785</v>
      </c>
      <c r="O705" s="20" t="str">
        <f>TEXT(Table1[[#This Row],[Order_Date]],"mmm")</f>
        <v>May</v>
      </c>
      <c r="P705" s="20">
        <f t="shared" si="20"/>
        <v>2025</v>
      </c>
      <c r="Q705" s="46">
        <v>45793</v>
      </c>
      <c r="R705" s="20">
        <f>'Cleaned Data'!$Q705-'Cleaned Data'!$N705</f>
        <v>8</v>
      </c>
      <c r="S705" s="19" t="str">
        <f t="shared" si="21"/>
        <v>Summer</v>
      </c>
    </row>
    <row r="706" spans="1:19" x14ac:dyDescent="0.3">
      <c r="A706" s="13" t="s">
        <v>883</v>
      </c>
      <c r="B706" s="13" t="s">
        <v>23</v>
      </c>
      <c r="C706" s="5" t="s">
        <v>35</v>
      </c>
      <c r="D706" s="5" t="s">
        <v>46</v>
      </c>
      <c r="E706" s="5" t="s">
        <v>59</v>
      </c>
      <c r="F706" s="5" t="s">
        <v>61</v>
      </c>
      <c r="G706" s="5" t="s">
        <v>71</v>
      </c>
      <c r="H706" s="38">
        <v>28839.599999999999</v>
      </c>
      <c r="I706" s="14">
        <v>0.2</v>
      </c>
      <c r="J706" s="38">
        <v>23071.68</v>
      </c>
      <c r="K706" s="5">
        <v>5</v>
      </c>
      <c r="L706" s="62">
        <f>Table1[[#This Row],[Final_Unit_Price]]*Table1[[#This Row],[Quantity]]</f>
        <v>115358.39999999999</v>
      </c>
      <c r="M706" s="60">
        <v>40375.440000000002</v>
      </c>
      <c r="N706" s="43">
        <v>45473</v>
      </c>
      <c r="O706" s="18" t="str">
        <f>TEXT(Table1[[#This Row],[Order_Date]],"mmm")</f>
        <v>Jun</v>
      </c>
      <c r="P706" s="18">
        <f t="shared" si="20"/>
        <v>2024</v>
      </c>
      <c r="Q706" s="45">
        <v>45482</v>
      </c>
      <c r="R706" s="19">
        <f>'Cleaned Data'!$Q706-'Cleaned Data'!$N706</f>
        <v>9</v>
      </c>
      <c r="S706" s="19" t="str">
        <f t="shared" si="21"/>
        <v>Monsoon</v>
      </c>
    </row>
    <row r="707" spans="1:19" x14ac:dyDescent="0.3">
      <c r="A707" s="11" t="s">
        <v>884</v>
      </c>
      <c r="B707" s="11" t="s">
        <v>20</v>
      </c>
      <c r="C707" s="3" t="s">
        <v>32</v>
      </c>
      <c r="D707" s="3" t="s">
        <v>54</v>
      </c>
      <c r="E707" s="3" t="s">
        <v>60</v>
      </c>
      <c r="F707" s="3" t="s">
        <v>61</v>
      </c>
      <c r="G707" s="3" t="s">
        <v>71</v>
      </c>
      <c r="H707" s="37">
        <v>24141.19</v>
      </c>
      <c r="I707" s="12">
        <v>0.15</v>
      </c>
      <c r="J707" s="37">
        <v>20520.011500000001</v>
      </c>
      <c r="K707" s="3">
        <v>3</v>
      </c>
      <c r="L707" s="61">
        <f>Table1[[#This Row],[Final_Unit_Price]]*Table1[[#This Row],[Quantity]]</f>
        <v>61560.034500000002</v>
      </c>
      <c r="M707" s="59">
        <v>9234</v>
      </c>
      <c r="N707" s="42">
        <v>45716</v>
      </c>
      <c r="O707" s="20" t="str">
        <f>TEXT(Table1[[#This Row],[Order_Date]],"mmm")</f>
        <v>Feb</v>
      </c>
      <c r="P707" s="20">
        <f t="shared" ref="P707:P770" si="22">YEAR(N707)</f>
        <v>2025</v>
      </c>
      <c r="Q707" s="46">
        <v>45722</v>
      </c>
      <c r="R707" s="20">
        <f>'Cleaned Data'!$Q707-'Cleaned Data'!$N707</f>
        <v>6</v>
      </c>
      <c r="S707" s="19" t="str">
        <f t="shared" ref="S707:S770" si="23">IF(OR(O707="Feb",O707="Mar",O707="Apr",O707="May"),"Summer",
   IF(OR(O707="Jun",O707="Jul",O707="Aug",O707="Sep"),"Monsoon",
   IF(OR(O707="Oct",O707="Nov",O707="Dec",O707= "Jan"),"Winter","Invalid")))</f>
        <v>Summer</v>
      </c>
    </row>
    <row r="708" spans="1:19" x14ac:dyDescent="0.3">
      <c r="A708" s="13" t="s">
        <v>885</v>
      </c>
      <c r="B708" s="13" t="s">
        <v>22</v>
      </c>
      <c r="C708" s="5" t="s">
        <v>31</v>
      </c>
      <c r="D708" s="5" t="s">
        <v>42</v>
      </c>
      <c r="E708" s="5" t="s">
        <v>60</v>
      </c>
      <c r="F708" s="5" t="s">
        <v>62</v>
      </c>
      <c r="G708" s="5" t="s">
        <v>66</v>
      </c>
      <c r="H708" s="38">
        <v>3095.67</v>
      </c>
      <c r="I708" s="14">
        <v>0.1</v>
      </c>
      <c r="J708" s="38">
        <v>2786.1030000000001</v>
      </c>
      <c r="K708" s="5">
        <v>1</v>
      </c>
      <c r="L708" s="62">
        <f>Table1[[#This Row],[Final_Unit_Price]]*Table1[[#This Row],[Quantity]]</f>
        <v>2786.1030000000001</v>
      </c>
      <c r="M708" s="60">
        <v>417.91</v>
      </c>
      <c r="N708" s="43">
        <v>45519</v>
      </c>
      <c r="O708" s="18" t="str">
        <f>TEXT(Table1[[#This Row],[Order_Date]],"mmm")</f>
        <v>Aug</v>
      </c>
      <c r="P708" s="18">
        <f t="shared" si="22"/>
        <v>2024</v>
      </c>
      <c r="Q708" s="45">
        <v>45526</v>
      </c>
      <c r="R708" s="19">
        <f>'Cleaned Data'!$Q708-'Cleaned Data'!$N708</f>
        <v>7</v>
      </c>
      <c r="S708" s="19" t="str">
        <f t="shared" si="23"/>
        <v>Monsoon</v>
      </c>
    </row>
    <row r="709" spans="1:19" x14ac:dyDescent="0.3">
      <c r="A709" s="11" t="s">
        <v>886</v>
      </c>
      <c r="B709" s="11" t="s">
        <v>28</v>
      </c>
      <c r="C709" s="3" t="s">
        <v>34</v>
      </c>
      <c r="D709" s="3" t="s">
        <v>55</v>
      </c>
      <c r="E709" s="3" t="s">
        <v>58</v>
      </c>
      <c r="F709" s="3" t="s">
        <v>64</v>
      </c>
      <c r="G709" s="3" t="s">
        <v>76</v>
      </c>
      <c r="H709" s="37">
        <v>1587.92</v>
      </c>
      <c r="I709" s="12">
        <v>0.25</v>
      </c>
      <c r="J709" s="37">
        <v>1190.94</v>
      </c>
      <c r="K709" s="3">
        <v>4</v>
      </c>
      <c r="L709" s="61">
        <f>Table1[[#This Row],[Final_Unit_Price]]*Table1[[#This Row],[Quantity]]</f>
        <v>4763.76</v>
      </c>
      <c r="M709" s="59">
        <v>1190.94</v>
      </c>
      <c r="N709" s="42">
        <v>45695</v>
      </c>
      <c r="O709" s="20" t="str">
        <f>TEXT(Table1[[#This Row],[Order_Date]],"mmm")</f>
        <v>Feb</v>
      </c>
      <c r="P709" s="20">
        <f t="shared" si="22"/>
        <v>2025</v>
      </c>
      <c r="Q709" s="46">
        <v>45698</v>
      </c>
      <c r="R709" s="20">
        <f>'Cleaned Data'!$Q709-'Cleaned Data'!$N709</f>
        <v>3</v>
      </c>
      <c r="S709" s="19" t="str">
        <f t="shared" si="23"/>
        <v>Summer</v>
      </c>
    </row>
    <row r="710" spans="1:19" x14ac:dyDescent="0.3">
      <c r="A710" s="13" t="s">
        <v>887</v>
      </c>
      <c r="B710" s="13" t="s">
        <v>19</v>
      </c>
      <c r="C710" s="5" t="s">
        <v>33</v>
      </c>
      <c r="D710" s="5" t="s">
        <v>56</v>
      </c>
      <c r="E710" s="5" t="s">
        <v>60</v>
      </c>
      <c r="F710" s="5" t="s">
        <v>63</v>
      </c>
      <c r="G710" s="5" t="s">
        <v>73</v>
      </c>
      <c r="H710" s="38">
        <v>1587.89</v>
      </c>
      <c r="I710" s="14">
        <v>0.3</v>
      </c>
      <c r="J710" s="38">
        <v>1111.5229999999999</v>
      </c>
      <c r="K710" s="5">
        <v>4</v>
      </c>
      <c r="L710" s="62">
        <f>Table1[[#This Row],[Final_Unit_Price]]*Table1[[#This Row],[Quantity]]</f>
        <v>4446.0919999999996</v>
      </c>
      <c r="M710" s="60">
        <v>666.91</v>
      </c>
      <c r="N710" s="43">
        <v>45615</v>
      </c>
      <c r="O710" s="18" t="str">
        <f>TEXT(Table1[[#This Row],[Order_Date]],"mmm")</f>
        <v>Nov</v>
      </c>
      <c r="P710" s="18">
        <f t="shared" si="22"/>
        <v>2024</v>
      </c>
      <c r="Q710" s="45">
        <v>45623</v>
      </c>
      <c r="R710" s="19">
        <f>'Cleaned Data'!$Q710-'Cleaned Data'!$N710</f>
        <v>8</v>
      </c>
      <c r="S710" s="19" t="str">
        <f t="shared" si="23"/>
        <v>Winter</v>
      </c>
    </row>
    <row r="711" spans="1:19" x14ac:dyDescent="0.3">
      <c r="A711" s="11" t="s">
        <v>888</v>
      </c>
      <c r="B711" s="11" t="s">
        <v>16</v>
      </c>
      <c r="C711" s="3" t="s">
        <v>31</v>
      </c>
      <c r="D711" s="3" t="s">
        <v>36</v>
      </c>
      <c r="E711" s="3" t="s">
        <v>58</v>
      </c>
      <c r="F711" s="3" t="s">
        <v>62</v>
      </c>
      <c r="G711" s="3" t="s">
        <v>66</v>
      </c>
      <c r="H711" s="37">
        <v>2527.73</v>
      </c>
      <c r="I711" s="12">
        <v>0.3</v>
      </c>
      <c r="J711" s="37">
        <v>1769.4110000000001</v>
      </c>
      <c r="K711" s="3">
        <v>6</v>
      </c>
      <c r="L711" s="61">
        <f>Table1[[#This Row],[Final_Unit_Price]]*Table1[[#This Row],[Quantity]]</f>
        <v>10616.466</v>
      </c>
      <c r="M711" s="59">
        <v>884.71</v>
      </c>
      <c r="N711" s="42">
        <v>45489</v>
      </c>
      <c r="O711" s="20" t="str">
        <f>TEXT(Table1[[#This Row],[Order_Date]],"mmm")</f>
        <v>Jul</v>
      </c>
      <c r="P711" s="20">
        <f t="shared" si="22"/>
        <v>2024</v>
      </c>
      <c r="Q711" s="46">
        <v>45493</v>
      </c>
      <c r="R711" s="20">
        <f>'Cleaned Data'!$Q711-'Cleaned Data'!$N711</f>
        <v>4</v>
      </c>
      <c r="S711" s="19" t="str">
        <f t="shared" si="23"/>
        <v>Monsoon</v>
      </c>
    </row>
    <row r="712" spans="1:19" x14ac:dyDescent="0.3">
      <c r="A712" s="13" t="s">
        <v>889</v>
      </c>
      <c r="B712" s="13" t="s">
        <v>18</v>
      </c>
      <c r="C712" s="5" t="s">
        <v>33</v>
      </c>
      <c r="D712" s="5" t="s">
        <v>38</v>
      </c>
      <c r="E712" s="5" t="s">
        <v>59</v>
      </c>
      <c r="F712" s="5" t="s">
        <v>63</v>
      </c>
      <c r="G712" s="5" t="s">
        <v>75</v>
      </c>
      <c r="H712" s="38">
        <v>57212.49</v>
      </c>
      <c r="I712" s="14">
        <v>0.3</v>
      </c>
      <c r="J712" s="38">
        <v>40048.742999999988</v>
      </c>
      <c r="K712" s="5">
        <v>4</v>
      </c>
      <c r="L712" s="62">
        <f>Table1[[#This Row],[Final_Unit_Price]]*Table1[[#This Row],[Quantity]]</f>
        <v>160194.97199999995</v>
      </c>
      <c r="M712" s="60">
        <v>56068.24</v>
      </c>
      <c r="N712" s="43">
        <v>45845</v>
      </c>
      <c r="O712" s="18" t="str">
        <f>TEXT(Table1[[#This Row],[Order_Date]],"mmm")</f>
        <v>Jul</v>
      </c>
      <c r="P712" s="18">
        <f t="shared" si="22"/>
        <v>2025</v>
      </c>
      <c r="Q712" s="45">
        <v>45855</v>
      </c>
      <c r="R712" s="19">
        <f>'Cleaned Data'!$Q712-'Cleaned Data'!$N712</f>
        <v>10</v>
      </c>
      <c r="S712" s="19" t="str">
        <f t="shared" si="23"/>
        <v>Monsoon</v>
      </c>
    </row>
    <row r="713" spans="1:19" x14ac:dyDescent="0.3">
      <c r="A713" s="11" t="s">
        <v>890</v>
      </c>
      <c r="B713" s="11" t="s">
        <v>29</v>
      </c>
      <c r="C713" s="3" t="s">
        <v>35</v>
      </c>
      <c r="D713" s="3" t="s">
        <v>44</v>
      </c>
      <c r="E713" s="3" t="s">
        <v>60</v>
      </c>
      <c r="F713" s="3" t="s">
        <v>64</v>
      </c>
      <c r="G713" s="3" t="s">
        <v>76</v>
      </c>
      <c r="H713" s="37">
        <v>16059.24</v>
      </c>
      <c r="I713" s="12">
        <v>0.15</v>
      </c>
      <c r="J713" s="37">
        <v>13650.353999999999</v>
      </c>
      <c r="K713" s="3">
        <v>3</v>
      </c>
      <c r="L713" s="61">
        <f>Table1[[#This Row],[Final_Unit_Price]]*Table1[[#This Row],[Quantity]]</f>
        <v>40951.061999999998</v>
      </c>
      <c r="M713" s="59">
        <v>6142.66</v>
      </c>
      <c r="N713" s="42">
        <v>45770</v>
      </c>
      <c r="O713" s="20" t="str">
        <f>TEXT(Table1[[#This Row],[Order_Date]],"mmm")</f>
        <v>Apr</v>
      </c>
      <c r="P713" s="20">
        <f t="shared" si="22"/>
        <v>2025</v>
      </c>
      <c r="Q713" s="46">
        <v>45774</v>
      </c>
      <c r="R713" s="20">
        <f>'Cleaned Data'!$Q713-'Cleaned Data'!$N713</f>
        <v>4</v>
      </c>
      <c r="S713" s="19" t="str">
        <f t="shared" si="23"/>
        <v>Summer</v>
      </c>
    </row>
    <row r="714" spans="1:19" x14ac:dyDescent="0.3">
      <c r="A714" s="13" t="s">
        <v>891</v>
      </c>
      <c r="B714" s="13" t="s">
        <v>17</v>
      </c>
      <c r="C714" s="5" t="s">
        <v>32</v>
      </c>
      <c r="D714" s="5" t="s">
        <v>54</v>
      </c>
      <c r="E714" s="5" t="s">
        <v>60</v>
      </c>
      <c r="F714" s="5" t="s">
        <v>61</v>
      </c>
      <c r="G714" s="5" t="s">
        <v>70</v>
      </c>
      <c r="H714" s="38">
        <v>6846.34</v>
      </c>
      <c r="I714" s="14">
        <v>0.1</v>
      </c>
      <c r="J714" s="38">
        <v>6161.7060000000001</v>
      </c>
      <c r="K714" s="5">
        <v>2</v>
      </c>
      <c r="L714" s="62">
        <f>Table1[[#This Row],[Final_Unit_Price]]*Table1[[#This Row],[Quantity]]</f>
        <v>12323.412</v>
      </c>
      <c r="M714" s="60">
        <v>1848.51</v>
      </c>
      <c r="N714" s="43">
        <v>45541</v>
      </c>
      <c r="O714" s="18" t="str">
        <f>TEXT(Table1[[#This Row],[Order_Date]],"mmm")</f>
        <v>Sep</v>
      </c>
      <c r="P714" s="18">
        <f t="shared" si="22"/>
        <v>2024</v>
      </c>
      <c r="Q714" s="45">
        <v>45550</v>
      </c>
      <c r="R714" s="19">
        <f>'Cleaned Data'!$Q714-'Cleaned Data'!$N714</f>
        <v>9</v>
      </c>
      <c r="S714" s="19" t="str">
        <f t="shared" si="23"/>
        <v>Monsoon</v>
      </c>
    </row>
    <row r="715" spans="1:19" x14ac:dyDescent="0.3">
      <c r="A715" s="11" t="s">
        <v>892</v>
      </c>
      <c r="B715" s="11" t="s">
        <v>29</v>
      </c>
      <c r="C715" s="3" t="s">
        <v>35</v>
      </c>
      <c r="D715" s="3" t="s">
        <v>44</v>
      </c>
      <c r="E715" s="3" t="s">
        <v>60</v>
      </c>
      <c r="F715" s="3" t="s">
        <v>61</v>
      </c>
      <c r="G715" s="3" t="s">
        <v>65</v>
      </c>
      <c r="H715" s="37">
        <v>15617.21</v>
      </c>
      <c r="I715" s="12">
        <v>0.05</v>
      </c>
      <c r="J715" s="37">
        <v>14836.3495</v>
      </c>
      <c r="K715" s="3">
        <v>1</v>
      </c>
      <c r="L715" s="61">
        <f>Table1[[#This Row],[Final_Unit_Price]]*Table1[[#This Row],[Quantity]]</f>
        <v>14836.3495</v>
      </c>
      <c r="M715" s="59">
        <v>2225.4499999999998</v>
      </c>
      <c r="N715" s="42">
        <v>45621</v>
      </c>
      <c r="O715" s="20" t="str">
        <f>TEXT(Table1[[#This Row],[Order_Date]],"mmm")</f>
        <v>Nov</v>
      </c>
      <c r="P715" s="20">
        <f t="shared" si="22"/>
        <v>2024</v>
      </c>
      <c r="Q715" s="46">
        <v>45629</v>
      </c>
      <c r="R715" s="20">
        <f>'Cleaned Data'!$Q715-'Cleaned Data'!$N715</f>
        <v>8</v>
      </c>
      <c r="S715" s="19" t="str">
        <f t="shared" si="23"/>
        <v>Winter</v>
      </c>
    </row>
    <row r="716" spans="1:19" x14ac:dyDescent="0.3">
      <c r="A716" s="13" t="s">
        <v>893</v>
      </c>
      <c r="B716" s="13" t="s">
        <v>22</v>
      </c>
      <c r="C716" s="5" t="s">
        <v>31</v>
      </c>
      <c r="D716" s="5" t="s">
        <v>42</v>
      </c>
      <c r="E716" s="5" t="s">
        <v>60</v>
      </c>
      <c r="F716" s="5" t="s">
        <v>64</v>
      </c>
      <c r="G716" s="5" t="s">
        <v>74</v>
      </c>
      <c r="H716" s="38">
        <v>3316.45</v>
      </c>
      <c r="I716" s="14">
        <v>0.05</v>
      </c>
      <c r="J716" s="38">
        <v>3150.6275000000001</v>
      </c>
      <c r="K716" s="5">
        <v>5</v>
      </c>
      <c r="L716" s="62">
        <f>Table1[[#This Row],[Final_Unit_Price]]*Table1[[#This Row],[Quantity]]</f>
        <v>15753.137500000001</v>
      </c>
      <c r="M716" s="60">
        <v>2362.9699999999998</v>
      </c>
      <c r="N716" s="43">
        <v>45824</v>
      </c>
      <c r="O716" s="18" t="str">
        <f>TEXT(Table1[[#This Row],[Order_Date]],"mmm")</f>
        <v>Jun</v>
      </c>
      <c r="P716" s="18">
        <f t="shared" si="22"/>
        <v>2025</v>
      </c>
      <c r="Q716" s="45">
        <v>45831</v>
      </c>
      <c r="R716" s="19">
        <f>'Cleaned Data'!$Q716-'Cleaned Data'!$N716</f>
        <v>7</v>
      </c>
      <c r="S716" s="19" t="str">
        <f t="shared" si="23"/>
        <v>Monsoon</v>
      </c>
    </row>
    <row r="717" spans="1:19" x14ac:dyDescent="0.3">
      <c r="A717" s="11" t="s">
        <v>894</v>
      </c>
      <c r="B717" s="11" t="s">
        <v>19</v>
      </c>
      <c r="C717" s="3" t="s">
        <v>33</v>
      </c>
      <c r="D717" s="3" t="s">
        <v>53</v>
      </c>
      <c r="E717" s="3" t="s">
        <v>58</v>
      </c>
      <c r="F717" s="3" t="s">
        <v>64</v>
      </c>
      <c r="G717" s="3" t="s">
        <v>74</v>
      </c>
      <c r="H717" s="37">
        <v>2190.59</v>
      </c>
      <c r="I717" s="12">
        <v>0</v>
      </c>
      <c r="J717" s="37">
        <v>2190.59</v>
      </c>
      <c r="K717" s="3">
        <v>3</v>
      </c>
      <c r="L717" s="61">
        <f>Table1[[#This Row],[Final_Unit_Price]]*Table1[[#This Row],[Quantity]]</f>
        <v>6571.77</v>
      </c>
      <c r="M717" s="59">
        <v>1642.94</v>
      </c>
      <c r="N717" s="42">
        <v>45727</v>
      </c>
      <c r="O717" s="20" t="str">
        <f>TEXT(Table1[[#This Row],[Order_Date]],"mmm")</f>
        <v>Mar</v>
      </c>
      <c r="P717" s="20">
        <f t="shared" si="22"/>
        <v>2025</v>
      </c>
      <c r="Q717" s="46">
        <v>45729</v>
      </c>
      <c r="R717" s="20">
        <f>'Cleaned Data'!$Q717-'Cleaned Data'!$N717</f>
        <v>2</v>
      </c>
      <c r="S717" s="19" t="str">
        <f t="shared" si="23"/>
        <v>Summer</v>
      </c>
    </row>
    <row r="718" spans="1:19" x14ac:dyDescent="0.3">
      <c r="A718" s="13" t="s">
        <v>895</v>
      </c>
      <c r="B718" s="13" t="s">
        <v>17</v>
      </c>
      <c r="C718" s="5" t="s">
        <v>32</v>
      </c>
      <c r="D718" s="5" t="s">
        <v>43</v>
      </c>
      <c r="E718" s="5" t="s">
        <v>58</v>
      </c>
      <c r="F718" s="5" t="s">
        <v>61</v>
      </c>
      <c r="G718" s="5" t="s">
        <v>71</v>
      </c>
      <c r="H718" s="38">
        <v>7762.53</v>
      </c>
      <c r="I718" s="14">
        <v>0.15</v>
      </c>
      <c r="J718" s="38">
        <v>6598.1504999999997</v>
      </c>
      <c r="K718" s="5">
        <v>2</v>
      </c>
      <c r="L718" s="62">
        <f>Table1[[#This Row],[Final_Unit_Price]]*Table1[[#This Row],[Quantity]]</f>
        <v>13196.300999999999</v>
      </c>
      <c r="M718" s="60">
        <v>3299.07</v>
      </c>
      <c r="N718" s="43">
        <v>45573</v>
      </c>
      <c r="O718" s="18" t="str">
        <f>TEXT(Table1[[#This Row],[Order_Date]],"mmm")</f>
        <v>Oct</v>
      </c>
      <c r="P718" s="18">
        <f t="shared" si="22"/>
        <v>2024</v>
      </c>
      <c r="Q718" s="45">
        <v>45580</v>
      </c>
      <c r="R718" s="19">
        <f>'Cleaned Data'!$Q718-'Cleaned Data'!$N718</f>
        <v>7</v>
      </c>
      <c r="S718" s="19" t="str">
        <f t="shared" si="23"/>
        <v>Winter</v>
      </c>
    </row>
    <row r="719" spans="1:19" x14ac:dyDescent="0.3">
      <c r="A719" s="11" t="s">
        <v>896</v>
      </c>
      <c r="B719" s="11" t="s">
        <v>22</v>
      </c>
      <c r="C719" s="3" t="s">
        <v>31</v>
      </c>
      <c r="D719" s="3" t="s">
        <v>42</v>
      </c>
      <c r="E719" s="3" t="s">
        <v>60</v>
      </c>
      <c r="F719" s="3" t="s">
        <v>62</v>
      </c>
      <c r="G719" s="3" t="s">
        <v>67</v>
      </c>
      <c r="H719" s="37">
        <v>3052.84</v>
      </c>
      <c r="I719" s="12">
        <v>0.3</v>
      </c>
      <c r="J719" s="37">
        <v>2136.9879999999998</v>
      </c>
      <c r="K719" s="3">
        <v>3</v>
      </c>
      <c r="L719" s="61">
        <f>Table1[[#This Row],[Final_Unit_Price]]*Table1[[#This Row],[Quantity]]</f>
        <v>6410.9639999999999</v>
      </c>
      <c r="M719" s="59">
        <v>961.64</v>
      </c>
      <c r="N719" s="42">
        <v>45316</v>
      </c>
      <c r="O719" s="20" t="str">
        <f>TEXT(Table1[[#This Row],[Order_Date]],"mmm")</f>
        <v>Jan</v>
      </c>
      <c r="P719" s="20">
        <f t="shared" si="22"/>
        <v>2024</v>
      </c>
      <c r="Q719" s="46">
        <v>45319</v>
      </c>
      <c r="R719" s="20">
        <f>'Cleaned Data'!$Q719-'Cleaned Data'!$N719</f>
        <v>3</v>
      </c>
      <c r="S719" s="19" t="str">
        <f t="shared" si="23"/>
        <v>Winter</v>
      </c>
    </row>
    <row r="720" spans="1:19" x14ac:dyDescent="0.3">
      <c r="A720" s="13" t="s">
        <v>897</v>
      </c>
      <c r="B720" s="13" t="s">
        <v>27</v>
      </c>
      <c r="C720" s="5" t="s">
        <v>35</v>
      </c>
      <c r="D720" s="5" t="s">
        <v>46</v>
      </c>
      <c r="E720" s="5" t="s">
        <v>59</v>
      </c>
      <c r="F720" s="5" t="s">
        <v>64</v>
      </c>
      <c r="G720" s="5" t="s">
        <v>74</v>
      </c>
      <c r="H720" s="38">
        <v>10405.14</v>
      </c>
      <c r="I720" s="14">
        <v>0.2</v>
      </c>
      <c r="J720" s="38">
        <v>8324.1119999999992</v>
      </c>
      <c r="K720" s="5">
        <v>2</v>
      </c>
      <c r="L720" s="62">
        <f>Table1[[#This Row],[Final_Unit_Price]]*Table1[[#This Row],[Quantity]]</f>
        <v>16648.223999999998</v>
      </c>
      <c r="M720" s="60">
        <v>5826.88</v>
      </c>
      <c r="N720" s="43">
        <v>45817</v>
      </c>
      <c r="O720" s="18" t="str">
        <f>TEXT(Table1[[#This Row],[Order_Date]],"mmm")</f>
        <v>Jun</v>
      </c>
      <c r="P720" s="18">
        <f t="shared" si="22"/>
        <v>2025</v>
      </c>
      <c r="Q720" s="45">
        <v>45823</v>
      </c>
      <c r="R720" s="19">
        <f>'Cleaned Data'!$Q720-'Cleaned Data'!$N720</f>
        <v>6</v>
      </c>
      <c r="S720" s="19" t="str">
        <f t="shared" si="23"/>
        <v>Monsoon</v>
      </c>
    </row>
    <row r="721" spans="1:19" x14ac:dyDescent="0.3">
      <c r="A721" s="11" t="s">
        <v>898</v>
      </c>
      <c r="B721" s="11" t="s">
        <v>23</v>
      </c>
      <c r="C721" s="3" t="s">
        <v>35</v>
      </c>
      <c r="D721" s="3" t="s">
        <v>38</v>
      </c>
      <c r="E721" s="3" t="s">
        <v>59</v>
      </c>
      <c r="F721" s="3" t="s">
        <v>61</v>
      </c>
      <c r="G721" s="3" t="s">
        <v>65</v>
      </c>
      <c r="H721" s="37">
        <v>29605.91</v>
      </c>
      <c r="I721" s="12">
        <v>0.1</v>
      </c>
      <c r="J721" s="37">
        <v>26645.319</v>
      </c>
      <c r="K721" s="3">
        <v>3</v>
      </c>
      <c r="L721" s="61">
        <f>Table1[[#This Row],[Final_Unit_Price]]*Table1[[#This Row],[Quantity]]</f>
        <v>79935.956999999995</v>
      </c>
      <c r="M721" s="59">
        <v>27977.59</v>
      </c>
      <c r="N721" s="42">
        <v>45586</v>
      </c>
      <c r="O721" s="20" t="str">
        <f>TEXT(Table1[[#This Row],[Order_Date]],"mmm")</f>
        <v>Oct</v>
      </c>
      <c r="P721" s="20">
        <f t="shared" si="22"/>
        <v>2024</v>
      </c>
      <c r="Q721" s="46">
        <v>45595</v>
      </c>
      <c r="R721" s="20">
        <f>'Cleaned Data'!$Q721-'Cleaned Data'!$N721</f>
        <v>9</v>
      </c>
      <c r="S721" s="19" t="str">
        <f t="shared" si="23"/>
        <v>Winter</v>
      </c>
    </row>
    <row r="722" spans="1:19" x14ac:dyDescent="0.3">
      <c r="A722" s="13" t="s">
        <v>899</v>
      </c>
      <c r="B722" s="13" t="s">
        <v>27</v>
      </c>
      <c r="C722" s="5" t="s">
        <v>35</v>
      </c>
      <c r="D722" s="5" t="s">
        <v>44</v>
      </c>
      <c r="E722" s="5" t="s">
        <v>60</v>
      </c>
      <c r="F722" s="5" t="s">
        <v>61</v>
      </c>
      <c r="G722" s="5" t="s">
        <v>65</v>
      </c>
      <c r="H722" s="38">
        <v>6499.55</v>
      </c>
      <c r="I722" s="14">
        <v>0.1</v>
      </c>
      <c r="J722" s="38">
        <v>5849.5950000000003</v>
      </c>
      <c r="K722" s="5">
        <v>5</v>
      </c>
      <c r="L722" s="62">
        <f>Table1[[#This Row],[Final_Unit_Price]]*Table1[[#This Row],[Quantity]]</f>
        <v>29247.975000000002</v>
      </c>
      <c r="M722" s="60">
        <v>4387.2</v>
      </c>
      <c r="N722" s="43">
        <v>45749</v>
      </c>
      <c r="O722" s="18" t="str">
        <f>TEXT(Table1[[#This Row],[Order_Date]],"mmm")</f>
        <v>Apr</v>
      </c>
      <c r="P722" s="18">
        <f t="shared" si="22"/>
        <v>2025</v>
      </c>
      <c r="Q722" s="45">
        <v>45758</v>
      </c>
      <c r="R722" s="19">
        <f>'Cleaned Data'!$Q722-'Cleaned Data'!$N722</f>
        <v>9</v>
      </c>
      <c r="S722" s="19" t="str">
        <f t="shared" si="23"/>
        <v>Summer</v>
      </c>
    </row>
    <row r="723" spans="1:19" x14ac:dyDescent="0.3">
      <c r="A723" s="11" t="s">
        <v>900</v>
      </c>
      <c r="B723" s="11" t="s">
        <v>26</v>
      </c>
      <c r="C723" s="3" t="s">
        <v>32</v>
      </c>
      <c r="D723" s="3" t="s">
        <v>43</v>
      </c>
      <c r="E723" s="3" t="s">
        <v>58</v>
      </c>
      <c r="F723" s="3" t="s">
        <v>63</v>
      </c>
      <c r="G723" s="3" t="s">
        <v>68</v>
      </c>
      <c r="H723" s="37">
        <v>33092.76</v>
      </c>
      <c r="I723" s="12">
        <v>0.25</v>
      </c>
      <c r="J723" s="37">
        <v>24819.57</v>
      </c>
      <c r="K723" s="3">
        <v>4</v>
      </c>
      <c r="L723" s="61">
        <f>Table1[[#This Row],[Final_Unit_Price]]*Table1[[#This Row],[Quantity]]</f>
        <v>99278.28</v>
      </c>
      <c r="M723" s="59">
        <v>24819.57</v>
      </c>
      <c r="N723" s="42">
        <v>45303</v>
      </c>
      <c r="O723" s="20" t="str">
        <f>TEXT(Table1[[#This Row],[Order_Date]],"mmm")</f>
        <v>Jan</v>
      </c>
      <c r="P723" s="20">
        <f t="shared" si="22"/>
        <v>2024</v>
      </c>
      <c r="Q723" s="46">
        <v>45310</v>
      </c>
      <c r="R723" s="20">
        <f>'Cleaned Data'!$Q723-'Cleaned Data'!$N723</f>
        <v>7</v>
      </c>
      <c r="S723" s="19" t="str">
        <f t="shared" si="23"/>
        <v>Winter</v>
      </c>
    </row>
    <row r="724" spans="1:19" x14ac:dyDescent="0.3">
      <c r="A724" s="13" t="s">
        <v>901</v>
      </c>
      <c r="B724" s="13" t="s">
        <v>27</v>
      </c>
      <c r="C724" s="5" t="s">
        <v>35</v>
      </c>
      <c r="D724" s="5" t="s">
        <v>44</v>
      </c>
      <c r="E724" s="5" t="s">
        <v>60</v>
      </c>
      <c r="F724" s="5" t="s">
        <v>62</v>
      </c>
      <c r="G724" s="5" t="s">
        <v>66</v>
      </c>
      <c r="H724" s="38">
        <v>7149.2</v>
      </c>
      <c r="I724" s="14">
        <v>0.3</v>
      </c>
      <c r="J724" s="38">
        <v>5004.4399999999996</v>
      </c>
      <c r="K724" s="5">
        <v>1</v>
      </c>
      <c r="L724" s="62">
        <f>Table1[[#This Row],[Final_Unit_Price]]*Table1[[#This Row],[Quantity]]</f>
        <v>5004.4399999999996</v>
      </c>
      <c r="M724" s="60">
        <v>750.67</v>
      </c>
      <c r="N724" s="43">
        <v>45774</v>
      </c>
      <c r="O724" s="18" t="str">
        <f>TEXT(Table1[[#This Row],[Order_Date]],"mmm")</f>
        <v>Apr</v>
      </c>
      <c r="P724" s="18">
        <f t="shared" si="22"/>
        <v>2025</v>
      </c>
      <c r="Q724" s="45">
        <v>45784</v>
      </c>
      <c r="R724" s="19">
        <f>'Cleaned Data'!$Q724-'Cleaned Data'!$N724</f>
        <v>10</v>
      </c>
      <c r="S724" s="19" t="str">
        <f t="shared" si="23"/>
        <v>Summer</v>
      </c>
    </row>
    <row r="725" spans="1:19" x14ac:dyDescent="0.3">
      <c r="A725" s="11" t="s">
        <v>902</v>
      </c>
      <c r="B725" s="11" t="s">
        <v>19</v>
      </c>
      <c r="C725" s="3" t="s">
        <v>33</v>
      </c>
      <c r="D725" s="3" t="s">
        <v>53</v>
      </c>
      <c r="E725" s="3" t="s">
        <v>58</v>
      </c>
      <c r="F725" s="3" t="s">
        <v>61</v>
      </c>
      <c r="G725" s="3" t="s">
        <v>65</v>
      </c>
      <c r="H725" s="37">
        <v>1882.52</v>
      </c>
      <c r="I725" s="12">
        <v>0</v>
      </c>
      <c r="J725" s="37">
        <v>1882.52</v>
      </c>
      <c r="K725" s="3">
        <v>2</v>
      </c>
      <c r="L725" s="61">
        <f>Table1[[#This Row],[Final_Unit_Price]]*Table1[[#This Row],[Quantity]]</f>
        <v>3765.04</v>
      </c>
      <c r="M725" s="59">
        <v>941.26</v>
      </c>
      <c r="N725" s="42">
        <v>45620</v>
      </c>
      <c r="O725" s="20" t="str">
        <f>TEXT(Table1[[#This Row],[Order_Date]],"mmm")</f>
        <v>Nov</v>
      </c>
      <c r="P725" s="20">
        <f t="shared" si="22"/>
        <v>2024</v>
      </c>
      <c r="Q725" s="46">
        <v>45626</v>
      </c>
      <c r="R725" s="20">
        <f>'Cleaned Data'!$Q725-'Cleaned Data'!$N725</f>
        <v>6</v>
      </c>
      <c r="S725" s="19" t="str">
        <f t="shared" si="23"/>
        <v>Winter</v>
      </c>
    </row>
    <row r="726" spans="1:19" x14ac:dyDescent="0.3">
      <c r="A726" s="13" t="s">
        <v>903</v>
      </c>
      <c r="B726" s="13" t="s">
        <v>30</v>
      </c>
      <c r="C726" s="5" t="s">
        <v>33</v>
      </c>
      <c r="D726" s="5" t="s">
        <v>53</v>
      </c>
      <c r="E726" s="5" t="s">
        <v>58</v>
      </c>
      <c r="F726" s="5" t="s">
        <v>63</v>
      </c>
      <c r="G726" s="5" t="s">
        <v>73</v>
      </c>
      <c r="H726" s="38">
        <v>14413.12</v>
      </c>
      <c r="I726" s="14">
        <v>0.2</v>
      </c>
      <c r="J726" s="38">
        <v>11530.495999999999</v>
      </c>
      <c r="K726" s="5">
        <v>2</v>
      </c>
      <c r="L726" s="62">
        <f>Table1[[#This Row],[Final_Unit_Price]]*Table1[[#This Row],[Quantity]]</f>
        <v>23060.991999999998</v>
      </c>
      <c r="M726" s="60">
        <v>5765.25</v>
      </c>
      <c r="N726" s="43">
        <v>45633</v>
      </c>
      <c r="O726" s="18" t="str">
        <f>TEXT(Table1[[#This Row],[Order_Date]],"mmm")</f>
        <v>Dec</v>
      </c>
      <c r="P726" s="18">
        <f t="shared" si="22"/>
        <v>2024</v>
      </c>
      <c r="Q726" s="45">
        <v>45635</v>
      </c>
      <c r="R726" s="19">
        <f>'Cleaned Data'!$Q726-'Cleaned Data'!$N726</f>
        <v>2</v>
      </c>
      <c r="S726" s="19" t="str">
        <f t="shared" si="23"/>
        <v>Winter</v>
      </c>
    </row>
    <row r="727" spans="1:19" x14ac:dyDescent="0.3">
      <c r="A727" s="11" t="s">
        <v>904</v>
      </c>
      <c r="B727" s="11" t="s">
        <v>28</v>
      </c>
      <c r="C727" s="3" t="s">
        <v>34</v>
      </c>
      <c r="D727" s="3" t="s">
        <v>45</v>
      </c>
      <c r="E727" s="3" t="s">
        <v>59</v>
      </c>
      <c r="F727" s="3" t="s">
        <v>61</v>
      </c>
      <c r="G727" s="3" t="s">
        <v>71</v>
      </c>
      <c r="H727" s="37">
        <v>1692.53</v>
      </c>
      <c r="I727" s="12">
        <v>0.25</v>
      </c>
      <c r="J727" s="37">
        <v>1269.3975</v>
      </c>
      <c r="K727" s="3">
        <v>9</v>
      </c>
      <c r="L727" s="61">
        <f>Table1[[#This Row],[Final_Unit_Price]]*Table1[[#This Row],[Quantity]]</f>
        <v>11424.577499999999</v>
      </c>
      <c r="M727" s="59">
        <v>1777.16</v>
      </c>
      <c r="N727" s="42">
        <v>45648</v>
      </c>
      <c r="O727" s="20" t="str">
        <f>TEXT(Table1[[#This Row],[Order_Date]],"mmm")</f>
        <v>Dec</v>
      </c>
      <c r="P727" s="20">
        <f t="shared" si="22"/>
        <v>2024</v>
      </c>
      <c r="Q727" s="46">
        <v>45651</v>
      </c>
      <c r="R727" s="20">
        <f>'Cleaned Data'!$Q727-'Cleaned Data'!$N727</f>
        <v>3</v>
      </c>
      <c r="S727" s="19" t="str">
        <f t="shared" si="23"/>
        <v>Winter</v>
      </c>
    </row>
    <row r="728" spans="1:19" x14ac:dyDescent="0.3">
      <c r="A728" s="13" t="s">
        <v>905</v>
      </c>
      <c r="B728" s="13" t="s">
        <v>25</v>
      </c>
      <c r="C728" s="5" t="s">
        <v>34</v>
      </c>
      <c r="D728" s="5" t="s">
        <v>41</v>
      </c>
      <c r="E728" s="5" t="s">
        <v>60</v>
      </c>
      <c r="F728" s="5" t="s">
        <v>63</v>
      </c>
      <c r="G728" s="5" t="s">
        <v>68</v>
      </c>
      <c r="H728" s="38">
        <v>654.01</v>
      </c>
      <c r="I728" s="14">
        <v>0.1</v>
      </c>
      <c r="J728" s="38">
        <v>588.60900000000004</v>
      </c>
      <c r="K728" s="5">
        <v>4</v>
      </c>
      <c r="L728" s="62">
        <f>Table1[[#This Row],[Final_Unit_Price]]*Table1[[#This Row],[Quantity]]</f>
        <v>2354.4360000000001</v>
      </c>
      <c r="M728" s="60">
        <v>353.17</v>
      </c>
      <c r="N728" s="43">
        <v>45834</v>
      </c>
      <c r="O728" s="18" t="str">
        <f>TEXT(Table1[[#This Row],[Order_Date]],"mmm")</f>
        <v>Jun</v>
      </c>
      <c r="P728" s="18">
        <f t="shared" si="22"/>
        <v>2025</v>
      </c>
      <c r="Q728" s="45">
        <v>45842</v>
      </c>
      <c r="R728" s="19">
        <f>'Cleaned Data'!$Q728-'Cleaned Data'!$N728</f>
        <v>8</v>
      </c>
      <c r="S728" s="19" t="str">
        <f t="shared" si="23"/>
        <v>Monsoon</v>
      </c>
    </row>
    <row r="729" spans="1:19" x14ac:dyDescent="0.3">
      <c r="A729" s="11" t="s">
        <v>906</v>
      </c>
      <c r="B729" s="11" t="s">
        <v>28</v>
      </c>
      <c r="C729" s="3" t="s">
        <v>34</v>
      </c>
      <c r="D729" s="3" t="s">
        <v>52</v>
      </c>
      <c r="E729" s="3" t="s">
        <v>60</v>
      </c>
      <c r="F729" s="3" t="s">
        <v>62</v>
      </c>
      <c r="G729" s="3" t="s">
        <v>66</v>
      </c>
      <c r="H729" s="37">
        <v>1359.73</v>
      </c>
      <c r="I729" s="12">
        <v>0.05</v>
      </c>
      <c r="J729" s="37">
        <v>1291.7435</v>
      </c>
      <c r="K729" s="3">
        <v>5</v>
      </c>
      <c r="L729" s="61">
        <f>Table1[[#This Row],[Final_Unit_Price]]*Table1[[#This Row],[Quantity]]</f>
        <v>6458.7175000000007</v>
      </c>
      <c r="M729" s="59">
        <v>968.81</v>
      </c>
      <c r="N729" s="42">
        <v>45843</v>
      </c>
      <c r="O729" s="20" t="str">
        <f>TEXT(Table1[[#This Row],[Order_Date]],"mmm")</f>
        <v>Jul</v>
      </c>
      <c r="P729" s="20">
        <f t="shared" si="22"/>
        <v>2025</v>
      </c>
      <c r="Q729" s="46">
        <v>45849</v>
      </c>
      <c r="R729" s="20">
        <f>'Cleaned Data'!$Q729-'Cleaned Data'!$N729</f>
        <v>6</v>
      </c>
      <c r="S729" s="19" t="str">
        <f t="shared" si="23"/>
        <v>Monsoon</v>
      </c>
    </row>
    <row r="730" spans="1:19" x14ac:dyDescent="0.3">
      <c r="A730" s="13" t="s">
        <v>907</v>
      </c>
      <c r="B730" s="13" t="s">
        <v>17</v>
      </c>
      <c r="C730" s="5" t="s">
        <v>32</v>
      </c>
      <c r="D730" s="5" t="s">
        <v>40</v>
      </c>
      <c r="E730" s="5" t="s">
        <v>59</v>
      </c>
      <c r="F730" s="5" t="s">
        <v>64</v>
      </c>
      <c r="G730" s="5" t="s">
        <v>76</v>
      </c>
      <c r="H730" s="38">
        <v>10144.43</v>
      </c>
      <c r="I730" s="14">
        <v>0.05</v>
      </c>
      <c r="J730" s="38">
        <v>9637.2085000000006</v>
      </c>
      <c r="K730" s="5">
        <v>1</v>
      </c>
      <c r="L730" s="62">
        <f>Table1[[#This Row],[Final_Unit_Price]]*Table1[[#This Row],[Quantity]]</f>
        <v>9637.2085000000006</v>
      </c>
      <c r="M730" s="60">
        <v>3373.02</v>
      </c>
      <c r="N730" s="43">
        <v>45488</v>
      </c>
      <c r="O730" s="18" t="str">
        <f>TEXT(Table1[[#This Row],[Order_Date]],"mmm")</f>
        <v>Jul</v>
      </c>
      <c r="P730" s="18">
        <f t="shared" si="22"/>
        <v>2024</v>
      </c>
      <c r="Q730" s="45">
        <v>45494</v>
      </c>
      <c r="R730" s="19">
        <f>'Cleaned Data'!$Q730-'Cleaned Data'!$N730</f>
        <v>6</v>
      </c>
      <c r="S730" s="19" t="str">
        <f t="shared" si="23"/>
        <v>Monsoon</v>
      </c>
    </row>
    <row r="731" spans="1:19" x14ac:dyDescent="0.3">
      <c r="A731" s="11" t="s">
        <v>908</v>
      </c>
      <c r="B731" s="11" t="s">
        <v>24</v>
      </c>
      <c r="C731" s="3" t="s">
        <v>32</v>
      </c>
      <c r="D731" s="3" t="s">
        <v>40</v>
      </c>
      <c r="E731" s="3" t="s">
        <v>59</v>
      </c>
      <c r="F731" s="3" t="s">
        <v>63</v>
      </c>
      <c r="G731" s="3" t="s">
        <v>75</v>
      </c>
      <c r="H731" s="37">
        <v>27533.55</v>
      </c>
      <c r="I731" s="12">
        <v>0.3</v>
      </c>
      <c r="J731" s="37">
        <v>19273.485000000001</v>
      </c>
      <c r="K731" s="3">
        <v>4</v>
      </c>
      <c r="L731" s="61">
        <f>Table1[[#This Row],[Final_Unit_Price]]*Table1[[#This Row],[Quantity]]</f>
        <v>77093.94</v>
      </c>
      <c r="M731" s="59">
        <v>26982.880000000001</v>
      </c>
      <c r="N731" s="42">
        <v>45622</v>
      </c>
      <c r="O731" s="20" t="str">
        <f>TEXT(Table1[[#This Row],[Order_Date]],"mmm")</f>
        <v>Nov</v>
      </c>
      <c r="P731" s="20">
        <f t="shared" si="22"/>
        <v>2024</v>
      </c>
      <c r="Q731" s="46">
        <v>45625</v>
      </c>
      <c r="R731" s="20">
        <f>'Cleaned Data'!$Q731-'Cleaned Data'!$N731</f>
        <v>3</v>
      </c>
      <c r="S731" s="19" t="str">
        <f t="shared" si="23"/>
        <v>Winter</v>
      </c>
    </row>
    <row r="732" spans="1:19" x14ac:dyDescent="0.3">
      <c r="A732" s="13" t="s">
        <v>909</v>
      </c>
      <c r="B732" s="13" t="s">
        <v>25</v>
      </c>
      <c r="C732" s="5" t="s">
        <v>34</v>
      </c>
      <c r="D732" s="5" t="s">
        <v>45</v>
      </c>
      <c r="E732" s="5" t="s">
        <v>59</v>
      </c>
      <c r="F732" s="5" t="s">
        <v>62</v>
      </c>
      <c r="G732" s="5" t="s">
        <v>69</v>
      </c>
      <c r="H732" s="38">
        <v>1006.65</v>
      </c>
      <c r="I732" s="14">
        <v>0</v>
      </c>
      <c r="J732" s="38">
        <v>1006.65</v>
      </c>
      <c r="K732" s="5">
        <v>4</v>
      </c>
      <c r="L732" s="62">
        <f>Table1[[#This Row],[Final_Unit_Price]]*Table1[[#This Row],[Quantity]]</f>
        <v>4026.6</v>
      </c>
      <c r="M732" s="60">
        <v>1409.31</v>
      </c>
      <c r="N732" s="43">
        <v>45430</v>
      </c>
      <c r="O732" s="18" t="str">
        <f>TEXT(Table1[[#This Row],[Order_Date]],"mmm")</f>
        <v>May</v>
      </c>
      <c r="P732" s="18">
        <f t="shared" si="22"/>
        <v>2024</v>
      </c>
      <c r="Q732" s="45">
        <v>45440</v>
      </c>
      <c r="R732" s="19">
        <f>'Cleaned Data'!$Q732-'Cleaned Data'!$N732</f>
        <v>10</v>
      </c>
      <c r="S732" s="19" t="str">
        <f t="shared" si="23"/>
        <v>Summer</v>
      </c>
    </row>
    <row r="733" spans="1:19" x14ac:dyDescent="0.3">
      <c r="A733" s="11" t="s">
        <v>910</v>
      </c>
      <c r="B733" s="11" t="s">
        <v>26</v>
      </c>
      <c r="C733" s="3" t="s">
        <v>32</v>
      </c>
      <c r="D733" s="3" t="s">
        <v>40</v>
      </c>
      <c r="E733" s="3" t="s">
        <v>59</v>
      </c>
      <c r="F733" s="3" t="s">
        <v>62</v>
      </c>
      <c r="G733" s="3" t="s">
        <v>69</v>
      </c>
      <c r="H733" s="37">
        <v>45441.95</v>
      </c>
      <c r="I733" s="12">
        <v>0.05</v>
      </c>
      <c r="J733" s="37">
        <v>43169.852499999994</v>
      </c>
      <c r="K733" s="3">
        <v>1</v>
      </c>
      <c r="L733" s="61">
        <f>Table1[[#This Row],[Final_Unit_Price]]*Table1[[#This Row],[Quantity]]</f>
        <v>43169.852499999994</v>
      </c>
      <c r="M733" s="59">
        <v>15109.45</v>
      </c>
      <c r="N733" s="42">
        <v>45339</v>
      </c>
      <c r="O733" s="20" t="str">
        <f>TEXT(Table1[[#This Row],[Order_Date]],"mmm")</f>
        <v>Feb</v>
      </c>
      <c r="P733" s="20">
        <f t="shared" si="22"/>
        <v>2024</v>
      </c>
      <c r="Q733" s="46">
        <v>45342</v>
      </c>
      <c r="R733" s="20">
        <f>'Cleaned Data'!$Q733-'Cleaned Data'!$N733</f>
        <v>3</v>
      </c>
      <c r="S733" s="19" t="str">
        <f t="shared" si="23"/>
        <v>Summer</v>
      </c>
    </row>
    <row r="734" spans="1:19" x14ac:dyDescent="0.3">
      <c r="A734" s="13" t="s">
        <v>911</v>
      </c>
      <c r="B734" s="13" t="s">
        <v>25</v>
      </c>
      <c r="C734" s="5" t="s">
        <v>34</v>
      </c>
      <c r="D734" s="5" t="s">
        <v>45</v>
      </c>
      <c r="E734" s="5" t="s">
        <v>59</v>
      </c>
      <c r="F734" s="5" t="s">
        <v>64</v>
      </c>
      <c r="G734" s="5" t="s">
        <v>74</v>
      </c>
      <c r="H734" s="38">
        <v>1044.8</v>
      </c>
      <c r="I734" s="14">
        <v>0.25</v>
      </c>
      <c r="J734" s="38">
        <v>783.59999999999991</v>
      </c>
      <c r="K734" s="5">
        <v>8</v>
      </c>
      <c r="L734" s="62">
        <f>Table1[[#This Row],[Final_Unit_Price]]*Table1[[#This Row],[Quantity]]</f>
        <v>6268.7999999999993</v>
      </c>
      <c r="M734" s="60">
        <v>274.26</v>
      </c>
      <c r="N734" s="43">
        <v>45588</v>
      </c>
      <c r="O734" s="18" t="str">
        <f>TEXT(Table1[[#This Row],[Order_Date]],"mmm")</f>
        <v>Oct</v>
      </c>
      <c r="P734" s="18">
        <f t="shared" si="22"/>
        <v>2024</v>
      </c>
      <c r="Q734" s="45">
        <v>45590</v>
      </c>
      <c r="R734" s="19">
        <f>'Cleaned Data'!$Q734-'Cleaned Data'!$N734</f>
        <v>2</v>
      </c>
      <c r="S734" s="19" t="str">
        <f t="shared" si="23"/>
        <v>Winter</v>
      </c>
    </row>
    <row r="735" spans="1:19" x14ac:dyDescent="0.3">
      <c r="A735" s="11" t="s">
        <v>912</v>
      </c>
      <c r="B735" s="11" t="s">
        <v>19</v>
      </c>
      <c r="C735" s="3" t="s">
        <v>33</v>
      </c>
      <c r="D735" s="3" t="s">
        <v>53</v>
      </c>
      <c r="E735" s="3" t="s">
        <v>58</v>
      </c>
      <c r="F735" s="3" t="s">
        <v>64</v>
      </c>
      <c r="G735" s="3" t="s">
        <v>72</v>
      </c>
      <c r="H735" s="37">
        <v>2222.69</v>
      </c>
      <c r="I735" s="12">
        <v>0.25</v>
      </c>
      <c r="J735" s="37">
        <v>1667.0174999999999</v>
      </c>
      <c r="K735" s="3">
        <v>1</v>
      </c>
      <c r="L735" s="61">
        <f>Table1[[#This Row],[Final_Unit_Price]]*Table1[[#This Row],[Quantity]]</f>
        <v>1667.0174999999999</v>
      </c>
      <c r="M735" s="59">
        <v>416.75</v>
      </c>
      <c r="N735" s="42">
        <v>45388</v>
      </c>
      <c r="O735" s="20" t="str">
        <f>TEXT(Table1[[#This Row],[Order_Date]],"mmm")</f>
        <v>Apr</v>
      </c>
      <c r="P735" s="20">
        <f t="shared" si="22"/>
        <v>2024</v>
      </c>
      <c r="Q735" s="46">
        <v>45390</v>
      </c>
      <c r="R735" s="20">
        <f>'Cleaned Data'!$Q735-'Cleaned Data'!$N735</f>
        <v>2</v>
      </c>
      <c r="S735" s="19" t="str">
        <f t="shared" si="23"/>
        <v>Summer</v>
      </c>
    </row>
    <row r="736" spans="1:19" x14ac:dyDescent="0.3">
      <c r="A736" s="13" t="s">
        <v>913</v>
      </c>
      <c r="B736" s="13" t="s">
        <v>21</v>
      </c>
      <c r="C736" s="5" t="s">
        <v>34</v>
      </c>
      <c r="D736" s="5" t="s">
        <v>51</v>
      </c>
      <c r="E736" s="5" t="s">
        <v>59</v>
      </c>
      <c r="F736" s="5" t="s">
        <v>64</v>
      </c>
      <c r="G736" s="5" t="s">
        <v>72</v>
      </c>
      <c r="H736" s="38">
        <v>3960.84</v>
      </c>
      <c r="I736" s="14">
        <v>0.25</v>
      </c>
      <c r="J736" s="38">
        <v>2970.63</v>
      </c>
      <c r="K736" s="5">
        <v>5</v>
      </c>
      <c r="L736" s="62">
        <f>Table1[[#This Row],[Final_Unit_Price]]*Table1[[#This Row],[Quantity]]</f>
        <v>14853.150000000001</v>
      </c>
      <c r="M736" s="60">
        <v>5198.6000000000004</v>
      </c>
      <c r="N736" s="43">
        <v>45848</v>
      </c>
      <c r="O736" s="18" t="str">
        <f>TEXT(Table1[[#This Row],[Order_Date]],"mmm")</f>
        <v>Jul</v>
      </c>
      <c r="P736" s="18">
        <f t="shared" si="22"/>
        <v>2025</v>
      </c>
      <c r="Q736" s="45">
        <v>45852</v>
      </c>
      <c r="R736" s="19">
        <f>'Cleaned Data'!$Q736-'Cleaned Data'!$N736</f>
        <v>4</v>
      </c>
      <c r="S736" s="19" t="str">
        <f t="shared" si="23"/>
        <v>Monsoon</v>
      </c>
    </row>
    <row r="737" spans="1:19" x14ac:dyDescent="0.3">
      <c r="A737" s="11" t="s">
        <v>914</v>
      </c>
      <c r="B737" s="11" t="s">
        <v>28</v>
      </c>
      <c r="C737" s="3" t="s">
        <v>34</v>
      </c>
      <c r="D737" s="3" t="s">
        <v>51</v>
      </c>
      <c r="E737" s="3" t="s">
        <v>59</v>
      </c>
      <c r="F737" s="3" t="s">
        <v>61</v>
      </c>
      <c r="G737" s="3" t="s">
        <v>71</v>
      </c>
      <c r="H737" s="37">
        <v>1801.08</v>
      </c>
      <c r="I737" s="12">
        <v>0.1</v>
      </c>
      <c r="J737" s="37">
        <v>1620.972</v>
      </c>
      <c r="K737" s="3">
        <v>5</v>
      </c>
      <c r="L737" s="61">
        <f>Table1[[#This Row],[Final_Unit_Price]]*Table1[[#This Row],[Quantity]]</f>
        <v>8104.86</v>
      </c>
      <c r="M737" s="59">
        <v>2836.7</v>
      </c>
      <c r="N737" s="42">
        <v>45727</v>
      </c>
      <c r="O737" s="20" t="str">
        <f>TEXT(Table1[[#This Row],[Order_Date]],"mmm")</f>
        <v>Mar</v>
      </c>
      <c r="P737" s="20">
        <f t="shared" si="22"/>
        <v>2025</v>
      </c>
      <c r="Q737" s="46">
        <v>45737</v>
      </c>
      <c r="R737" s="20">
        <f>'Cleaned Data'!$Q737-'Cleaned Data'!$N737</f>
        <v>10</v>
      </c>
      <c r="S737" s="19" t="str">
        <f t="shared" si="23"/>
        <v>Summer</v>
      </c>
    </row>
    <row r="738" spans="1:19" x14ac:dyDescent="0.3">
      <c r="A738" s="13" t="s">
        <v>915</v>
      </c>
      <c r="B738" s="13" t="s">
        <v>23</v>
      </c>
      <c r="C738" s="5" t="s">
        <v>35</v>
      </c>
      <c r="D738" s="5" t="s">
        <v>48</v>
      </c>
      <c r="E738" s="5" t="s">
        <v>58</v>
      </c>
      <c r="F738" s="5" t="s">
        <v>61</v>
      </c>
      <c r="G738" s="5" t="s">
        <v>65</v>
      </c>
      <c r="H738" s="38">
        <v>24409.09</v>
      </c>
      <c r="I738" s="14">
        <v>0.25</v>
      </c>
      <c r="J738" s="38">
        <v>18306.817500000001</v>
      </c>
      <c r="K738" s="5">
        <v>1</v>
      </c>
      <c r="L738" s="62">
        <f>Table1[[#This Row],[Final_Unit_Price]]*Table1[[#This Row],[Quantity]]</f>
        <v>18306.817500000001</v>
      </c>
      <c r="M738" s="60">
        <v>4576.7</v>
      </c>
      <c r="N738" s="43">
        <v>45410</v>
      </c>
      <c r="O738" s="18" t="str">
        <f>TEXT(Table1[[#This Row],[Order_Date]],"mmm")</f>
        <v>Apr</v>
      </c>
      <c r="P738" s="18">
        <f t="shared" si="22"/>
        <v>2024</v>
      </c>
      <c r="Q738" s="45">
        <v>45420</v>
      </c>
      <c r="R738" s="19">
        <f>'Cleaned Data'!$Q738-'Cleaned Data'!$N738</f>
        <v>10</v>
      </c>
      <c r="S738" s="19" t="str">
        <f t="shared" si="23"/>
        <v>Summer</v>
      </c>
    </row>
    <row r="739" spans="1:19" x14ac:dyDescent="0.3">
      <c r="A739" s="11" t="s">
        <v>916</v>
      </c>
      <c r="B739" s="11" t="s">
        <v>17</v>
      </c>
      <c r="C739" s="3" t="s">
        <v>32</v>
      </c>
      <c r="D739" s="3" t="s">
        <v>40</v>
      </c>
      <c r="E739" s="3" t="s">
        <v>59</v>
      </c>
      <c r="F739" s="3" t="s">
        <v>63</v>
      </c>
      <c r="G739" s="3" t="s">
        <v>68</v>
      </c>
      <c r="H739" s="37">
        <v>9336.19</v>
      </c>
      <c r="I739" s="12">
        <v>0.3</v>
      </c>
      <c r="J739" s="37">
        <v>6535.3329999999996</v>
      </c>
      <c r="K739" s="3">
        <v>1</v>
      </c>
      <c r="L739" s="61">
        <f>Table1[[#This Row],[Final_Unit_Price]]*Table1[[#This Row],[Quantity]]</f>
        <v>6535.3329999999996</v>
      </c>
      <c r="M739" s="59">
        <v>2287.37</v>
      </c>
      <c r="N739" s="42">
        <v>45301</v>
      </c>
      <c r="O739" s="20" t="str">
        <f>TEXT(Table1[[#This Row],[Order_Date]],"mmm")</f>
        <v>Jan</v>
      </c>
      <c r="P739" s="20">
        <f t="shared" si="22"/>
        <v>2024</v>
      </c>
      <c r="Q739" s="46">
        <v>45309</v>
      </c>
      <c r="R739" s="20">
        <f>'Cleaned Data'!$Q739-'Cleaned Data'!$N739</f>
        <v>8</v>
      </c>
      <c r="S739" s="19" t="str">
        <f t="shared" si="23"/>
        <v>Winter</v>
      </c>
    </row>
    <row r="740" spans="1:19" x14ac:dyDescent="0.3">
      <c r="A740" s="13" t="s">
        <v>917</v>
      </c>
      <c r="B740" s="13" t="s">
        <v>26</v>
      </c>
      <c r="C740" s="5" t="s">
        <v>32</v>
      </c>
      <c r="D740" s="5" t="s">
        <v>43</v>
      </c>
      <c r="E740" s="5" t="s">
        <v>58</v>
      </c>
      <c r="F740" s="5" t="s">
        <v>63</v>
      </c>
      <c r="G740" s="5" t="s">
        <v>75</v>
      </c>
      <c r="H740" s="38">
        <v>32037.75</v>
      </c>
      <c r="I740" s="14">
        <v>0.15</v>
      </c>
      <c r="J740" s="38">
        <v>27232.087500000001</v>
      </c>
      <c r="K740" s="5">
        <v>4</v>
      </c>
      <c r="L740" s="62">
        <f>Table1[[#This Row],[Final_Unit_Price]]*Table1[[#This Row],[Quantity]]</f>
        <v>108928.35</v>
      </c>
      <c r="M740" s="60">
        <v>27232.09</v>
      </c>
      <c r="N740" s="43">
        <v>45700</v>
      </c>
      <c r="O740" s="18" t="str">
        <f>TEXT(Table1[[#This Row],[Order_Date]],"mmm")</f>
        <v>Feb</v>
      </c>
      <c r="P740" s="18">
        <f t="shared" si="22"/>
        <v>2025</v>
      </c>
      <c r="Q740" s="45">
        <v>45704</v>
      </c>
      <c r="R740" s="19">
        <f>'Cleaned Data'!$Q740-'Cleaned Data'!$N740</f>
        <v>4</v>
      </c>
      <c r="S740" s="19" t="str">
        <f t="shared" si="23"/>
        <v>Summer</v>
      </c>
    </row>
    <row r="741" spans="1:19" x14ac:dyDescent="0.3">
      <c r="A741" s="11" t="s">
        <v>918</v>
      </c>
      <c r="B741" s="11" t="s">
        <v>30</v>
      </c>
      <c r="C741" s="3" t="s">
        <v>33</v>
      </c>
      <c r="D741" s="3" t="s">
        <v>57</v>
      </c>
      <c r="E741" s="3" t="s">
        <v>60</v>
      </c>
      <c r="F741" s="3" t="s">
        <v>62</v>
      </c>
      <c r="G741" s="3" t="s">
        <v>69</v>
      </c>
      <c r="H741" s="37">
        <v>13654.93</v>
      </c>
      <c r="I741" s="12">
        <v>0.15</v>
      </c>
      <c r="J741" s="37">
        <v>11606.690500000001</v>
      </c>
      <c r="K741" s="3">
        <v>3</v>
      </c>
      <c r="L741" s="61">
        <f>Table1[[#This Row],[Final_Unit_Price]]*Table1[[#This Row],[Quantity]]</f>
        <v>34820.071500000005</v>
      </c>
      <c r="M741" s="59">
        <v>5223.01</v>
      </c>
      <c r="N741" s="42">
        <v>45348</v>
      </c>
      <c r="O741" s="20" t="str">
        <f>TEXT(Table1[[#This Row],[Order_Date]],"mmm")</f>
        <v>Feb</v>
      </c>
      <c r="P741" s="20">
        <f t="shared" si="22"/>
        <v>2024</v>
      </c>
      <c r="Q741" s="46">
        <v>45357</v>
      </c>
      <c r="R741" s="20">
        <f>'Cleaned Data'!$Q741-'Cleaned Data'!$N741</f>
        <v>9</v>
      </c>
      <c r="S741" s="19" t="str">
        <f t="shared" si="23"/>
        <v>Summer</v>
      </c>
    </row>
    <row r="742" spans="1:19" x14ac:dyDescent="0.3">
      <c r="A742" s="13" t="s">
        <v>919</v>
      </c>
      <c r="B742" s="13" t="s">
        <v>16</v>
      </c>
      <c r="C742" s="5" t="s">
        <v>31</v>
      </c>
      <c r="D742" s="5" t="s">
        <v>36</v>
      </c>
      <c r="E742" s="5" t="s">
        <v>58</v>
      </c>
      <c r="F742" s="5" t="s">
        <v>64</v>
      </c>
      <c r="G742" s="5" t="s">
        <v>74</v>
      </c>
      <c r="H742" s="38">
        <v>2568.31</v>
      </c>
      <c r="I742" s="14">
        <v>0</v>
      </c>
      <c r="J742" s="38">
        <v>2568.31</v>
      </c>
      <c r="K742" s="5">
        <v>1</v>
      </c>
      <c r="L742" s="62">
        <f>Table1[[#This Row],[Final_Unit_Price]]*Table1[[#This Row],[Quantity]]</f>
        <v>2568.31</v>
      </c>
      <c r="M742" s="60">
        <v>642.08000000000004</v>
      </c>
      <c r="N742" s="43">
        <v>45443</v>
      </c>
      <c r="O742" s="18" t="str">
        <f>TEXT(Table1[[#This Row],[Order_Date]],"mmm")</f>
        <v>May</v>
      </c>
      <c r="P742" s="18">
        <f t="shared" si="22"/>
        <v>2024</v>
      </c>
      <c r="Q742" s="45">
        <v>45453</v>
      </c>
      <c r="R742" s="19">
        <f>'Cleaned Data'!$Q742-'Cleaned Data'!$N742</f>
        <v>10</v>
      </c>
      <c r="S742" s="19" t="str">
        <f t="shared" si="23"/>
        <v>Summer</v>
      </c>
    </row>
    <row r="743" spans="1:19" x14ac:dyDescent="0.3">
      <c r="A743" s="11" t="s">
        <v>920</v>
      </c>
      <c r="B743" s="11" t="s">
        <v>18</v>
      </c>
      <c r="C743" s="3" t="s">
        <v>33</v>
      </c>
      <c r="D743" s="3" t="s">
        <v>56</v>
      </c>
      <c r="E743" s="3" t="s">
        <v>60</v>
      </c>
      <c r="F743" s="3" t="s">
        <v>63</v>
      </c>
      <c r="G743" s="3" t="s">
        <v>75</v>
      </c>
      <c r="H743" s="37">
        <v>39645.949999999997</v>
      </c>
      <c r="I743" s="12">
        <v>0.1</v>
      </c>
      <c r="J743" s="37">
        <v>35681.355000000003</v>
      </c>
      <c r="K743" s="3">
        <v>5</v>
      </c>
      <c r="L743" s="61">
        <f>Table1[[#This Row],[Final_Unit_Price]]*Table1[[#This Row],[Quantity]]</f>
        <v>178406.77500000002</v>
      </c>
      <c r="M743" s="59">
        <v>26761.02</v>
      </c>
      <c r="N743" s="42">
        <v>45440</v>
      </c>
      <c r="O743" s="20" t="str">
        <f>TEXT(Table1[[#This Row],[Order_Date]],"mmm")</f>
        <v>May</v>
      </c>
      <c r="P743" s="20">
        <f t="shared" si="22"/>
        <v>2024</v>
      </c>
      <c r="Q743" s="46">
        <v>45443</v>
      </c>
      <c r="R743" s="20">
        <f>'Cleaned Data'!$Q743-'Cleaned Data'!$N743</f>
        <v>3</v>
      </c>
      <c r="S743" s="19" t="str">
        <f t="shared" si="23"/>
        <v>Summer</v>
      </c>
    </row>
    <row r="744" spans="1:19" x14ac:dyDescent="0.3">
      <c r="A744" s="13" t="s">
        <v>921</v>
      </c>
      <c r="B744" s="13" t="s">
        <v>25</v>
      </c>
      <c r="C744" s="5" t="s">
        <v>34</v>
      </c>
      <c r="D744" s="5" t="s">
        <v>41</v>
      </c>
      <c r="E744" s="5" t="s">
        <v>60</v>
      </c>
      <c r="F744" s="5" t="s">
        <v>63</v>
      </c>
      <c r="G744" s="5" t="s">
        <v>75</v>
      </c>
      <c r="H744" s="38">
        <v>620.75</v>
      </c>
      <c r="I744" s="14">
        <v>0.1</v>
      </c>
      <c r="J744" s="38">
        <v>558.67500000000007</v>
      </c>
      <c r="K744" s="5">
        <v>9</v>
      </c>
      <c r="L744" s="62">
        <f>Table1[[#This Row],[Final_Unit_Price]]*Table1[[#This Row],[Quantity]]</f>
        <v>5028.0750000000007</v>
      </c>
      <c r="M744" s="60">
        <v>335.2</v>
      </c>
      <c r="N744" s="43">
        <v>45318</v>
      </c>
      <c r="O744" s="18" t="str">
        <f>TEXT(Table1[[#This Row],[Order_Date]],"mmm")</f>
        <v>Jan</v>
      </c>
      <c r="P744" s="18">
        <f t="shared" si="22"/>
        <v>2024</v>
      </c>
      <c r="Q744" s="45">
        <v>45325</v>
      </c>
      <c r="R744" s="19">
        <f>'Cleaned Data'!$Q744-'Cleaned Data'!$N744</f>
        <v>7</v>
      </c>
      <c r="S744" s="19" t="str">
        <f t="shared" si="23"/>
        <v>Winter</v>
      </c>
    </row>
    <row r="745" spans="1:19" x14ac:dyDescent="0.3">
      <c r="A745" s="11" t="s">
        <v>922</v>
      </c>
      <c r="B745" s="11" t="s">
        <v>18</v>
      </c>
      <c r="C745" s="3" t="s">
        <v>33</v>
      </c>
      <c r="D745" s="3" t="s">
        <v>39</v>
      </c>
      <c r="E745" s="3" t="s">
        <v>58</v>
      </c>
      <c r="F745" s="3" t="s">
        <v>62</v>
      </c>
      <c r="G745" s="3" t="s">
        <v>66</v>
      </c>
      <c r="H745" s="37">
        <v>52109.79</v>
      </c>
      <c r="I745" s="12">
        <v>0.05</v>
      </c>
      <c r="J745" s="37">
        <v>49504.300499999998</v>
      </c>
      <c r="K745" s="3">
        <v>1</v>
      </c>
      <c r="L745" s="61">
        <f>Table1[[#This Row],[Final_Unit_Price]]*Table1[[#This Row],[Quantity]]</f>
        <v>49504.300499999998</v>
      </c>
      <c r="M745" s="59">
        <v>12376.08</v>
      </c>
      <c r="N745" s="42">
        <v>45799</v>
      </c>
      <c r="O745" s="20" t="str">
        <f>TEXT(Table1[[#This Row],[Order_Date]],"mmm")</f>
        <v>May</v>
      </c>
      <c r="P745" s="20">
        <f t="shared" si="22"/>
        <v>2025</v>
      </c>
      <c r="Q745" s="46">
        <v>45803</v>
      </c>
      <c r="R745" s="20">
        <f>'Cleaned Data'!$Q745-'Cleaned Data'!$N745</f>
        <v>4</v>
      </c>
      <c r="S745" s="19" t="str">
        <f t="shared" si="23"/>
        <v>Summer</v>
      </c>
    </row>
    <row r="746" spans="1:19" x14ac:dyDescent="0.3">
      <c r="A746" s="13" t="s">
        <v>923</v>
      </c>
      <c r="B746" s="13" t="s">
        <v>16</v>
      </c>
      <c r="C746" s="5" t="s">
        <v>31</v>
      </c>
      <c r="D746" s="5" t="s">
        <v>47</v>
      </c>
      <c r="E746" s="5" t="s">
        <v>59</v>
      </c>
      <c r="F746" s="5" t="s">
        <v>63</v>
      </c>
      <c r="G746" s="5" t="s">
        <v>73</v>
      </c>
      <c r="H746" s="38">
        <v>2789.83</v>
      </c>
      <c r="I746" s="14">
        <v>0.05</v>
      </c>
      <c r="J746" s="38">
        <v>2650.3384999999998</v>
      </c>
      <c r="K746" s="5">
        <v>1</v>
      </c>
      <c r="L746" s="62">
        <f>Table1[[#This Row],[Final_Unit_Price]]*Table1[[#This Row],[Quantity]]</f>
        <v>2650.3384999999998</v>
      </c>
      <c r="M746" s="60">
        <v>927.62</v>
      </c>
      <c r="N746" s="43">
        <v>45764</v>
      </c>
      <c r="O746" s="18" t="str">
        <f>TEXT(Table1[[#This Row],[Order_Date]],"mmm")</f>
        <v>Apr</v>
      </c>
      <c r="P746" s="18">
        <f t="shared" si="22"/>
        <v>2025</v>
      </c>
      <c r="Q746" s="45">
        <v>45773</v>
      </c>
      <c r="R746" s="19">
        <f>'Cleaned Data'!$Q746-'Cleaned Data'!$N746</f>
        <v>9</v>
      </c>
      <c r="S746" s="19" t="str">
        <f t="shared" si="23"/>
        <v>Summer</v>
      </c>
    </row>
    <row r="747" spans="1:19" x14ac:dyDescent="0.3">
      <c r="A747" s="11" t="s">
        <v>924</v>
      </c>
      <c r="B747" s="11" t="s">
        <v>26</v>
      </c>
      <c r="C747" s="3" t="s">
        <v>32</v>
      </c>
      <c r="D747" s="3" t="s">
        <v>37</v>
      </c>
      <c r="E747" s="3" t="s">
        <v>59</v>
      </c>
      <c r="F747" s="3" t="s">
        <v>63</v>
      </c>
      <c r="G747" s="3" t="s">
        <v>75</v>
      </c>
      <c r="H747" s="37">
        <v>39640.85</v>
      </c>
      <c r="I747" s="12">
        <v>0</v>
      </c>
      <c r="J747" s="37">
        <v>39640.85</v>
      </c>
      <c r="K747" s="3">
        <v>4</v>
      </c>
      <c r="L747" s="61">
        <f>Table1[[#This Row],[Final_Unit_Price]]*Table1[[#This Row],[Quantity]]</f>
        <v>158563.4</v>
      </c>
      <c r="M747" s="59">
        <v>55497.19</v>
      </c>
      <c r="N747" s="42">
        <v>45324</v>
      </c>
      <c r="O747" s="20" t="str">
        <f>TEXT(Table1[[#This Row],[Order_Date]],"mmm")</f>
        <v>Feb</v>
      </c>
      <c r="P747" s="20">
        <f t="shared" si="22"/>
        <v>2024</v>
      </c>
      <c r="Q747" s="46">
        <v>45330</v>
      </c>
      <c r="R747" s="20">
        <f>'Cleaned Data'!$Q747-'Cleaned Data'!$N747</f>
        <v>6</v>
      </c>
      <c r="S747" s="19" t="str">
        <f t="shared" si="23"/>
        <v>Summer</v>
      </c>
    </row>
    <row r="748" spans="1:19" x14ac:dyDescent="0.3">
      <c r="A748" s="13" t="s">
        <v>925</v>
      </c>
      <c r="B748" s="13" t="s">
        <v>26</v>
      </c>
      <c r="C748" s="5" t="s">
        <v>32</v>
      </c>
      <c r="D748" s="5" t="s">
        <v>54</v>
      </c>
      <c r="E748" s="5" t="s">
        <v>60</v>
      </c>
      <c r="F748" s="5" t="s">
        <v>64</v>
      </c>
      <c r="G748" s="5" t="s">
        <v>74</v>
      </c>
      <c r="H748" s="38">
        <v>30688.29</v>
      </c>
      <c r="I748" s="14">
        <v>0.1</v>
      </c>
      <c r="J748" s="38">
        <v>27619.460999999999</v>
      </c>
      <c r="K748" s="5">
        <v>5</v>
      </c>
      <c r="L748" s="62">
        <f>Table1[[#This Row],[Final_Unit_Price]]*Table1[[#This Row],[Quantity]]</f>
        <v>138097.30499999999</v>
      </c>
      <c r="M748" s="60">
        <v>20714.599999999999</v>
      </c>
      <c r="N748" s="43">
        <v>45602</v>
      </c>
      <c r="O748" s="18" t="str">
        <f>TEXT(Table1[[#This Row],[Order_Date]],"mmm")</f>
        <v>Nov</v>
      </c>
      <c r="P748" s="18">
        <f t="shared" si="22"/>
        <v>2024</v>
      </c>
      <c r="Q748" s="45">
        <v>45612</v>
      </c>
      <c r="R748" s="19">
        <f>'Cleaned Data'!$Q748-'Cleaned Data'!$N748</f>
        <v>10</v>
      </c>
      <c r="S748" s="19" t="str">
        <f t="shared" si="23"/>
        <v>Winter</v>
      </c>
    </row>
    <row r="749" spans="1:19" x14ac:dyDescent="0.3">
      <c r="A749" s="11" t="s">
        <v>926</v>
      </c>
      <c r="B749" s="11" t="s">
        <v>25</v>
      </c>
      <c r="C749" s="3" t="s">
        <v>34</v>
      </c>
      <c r="D749" s="3" t="s">
        <v>41</v>
      </c>
      <c r="E749" s="3" t="s">
        <v>60</v>
      </c>
      <c r="F749" s="3" t="s">
        <v>62</v>
      </c>
      <c r="G749" s="3" t="s">
        <v>66</v>
      </c>
      <c r="H749" s="37">
        <v>709.25</v>
      </c>
      <c r="I749" s="12">
        <v>0.15</v>
      </c>
      <c r="J749" s="37">
        <v>602.86249999999995</v>
      </c>
      <c r="K749" s="3">
        <v>8</v>
      </c>
      <c r="L749" s="61">
        <f>Table1[[#This Row],[Final_Unit_Price]]*Table1[[#This Row],[Quantity]]</f>
        <v>4822.8999999999996</v>
      </c>
      <c r="M749" s="59">
        <v>452.15</v>
      </c>
      <c r="N749" s="42">
        <v>45607</v>
      </c>
      <c r="O749" s="20" t="str">
        <f>TEXT(Table1[[#This Row],[Order_Date]],"mmm")</f>
        <v>Nov</v>
      </c>
      <c r="P749" s="20">
        <f t="shared" si="22"/>
        <v>2024</v>
      </c>
      <c r="Q749" s="46">
        <v>45614</v>
      </c>
      <c r="R749" s="20">
        <f>'Cleaned Data'!$Q749-'Cleaned Data'!$N749</f>
        <v>7</v>
      </c>
      <c r="S749" s="19" t="str">
        <f t="shared" si="23"/>
        <v>Winter</v>
      </c>
    </row>
    <row r="750" spans="1:19" x14ac:dyDescent="0.3">
      <c r="A750" s="13" t="s">
        <v>927</v>
      </c>
      <c r="B750" s="13" t="s">
        <v>18</v>
      </c>
      <c r="C750" s="5" t="s">
        <v>33</v>
      </c>
      <c r="D750" s="5" t="s">
        <v>53</v>
      </c>
      <c r="E750" s="5" t="s">
        <v>58</v>
      </c>
      <c r="F750" s="5" t="s">
        <v>62</v>
      </c>
      <c r="G750" s="5" t="s">
        <v>69</v>
      </c>
      <c r="H750" s="38">
        <v>52408.26</v>
      </c>
      <c r="I750" s="14">
        <v>0.05</v>
      </c>
      <c r="J750" s="38">
        <v>49787.847000000002</v>
      </c>
      <c r="K750" s="5">
        <v>4</v>
      </c>
      <c r="L750" s="62">
        <f>Table1[[#This Row],[Final_Unit_Price]]*Table1[[#This Row],[Quantity]]</f>
        <v>199151.38800000001</v>
      </c>
      <c r="M750" s="60">
        <v>49787.85</v>
      </c>
      <c r="N750" s="43">
        <v>45387</v>
      </c>
      <c r="O750" s="18" t="str">
        <f>TEXT(Table1[[#This Row],[Order_Date]],"mmm")</f>
        <v>Apr</v>
      </c>
      <c r="P750" s="18">
        <f t="shared" si="22"/>
        <v>2024</v>
      </c>
      <c r="Q750" s="45">
        <v>45394</v>
      </c>
      <c r="R750" s="19">
        <f>'Cleaned Data'!$Q750-'Cleaned Data'!$N750</f>
        <v>7</v>
      </c>
      <c r="S750" s="19" t="str">
        <f t="shared" si="23"/>
        <v>Summer</v>
      </c>
    </row>
    <row r="751" spans="1:19" x14ac:dyDescent="0.3">
      <c r="A751" s="11" t="s">
        <v>928</v>
      </c>
      <c r="B751" s="11" t="s">
        <v>30</v>
      </c>
      <c r="C751" s="3" t="s">
        <v>33</v>
      </c>
      <c r="D751" s="3" t="s">
        <v>39</v>
      </c>
      <c r="E751" s="3" t="s">
        <v>58</v>
      </c>
      <c r="F751" s="3" t="s">
        <v>64</v>
      </c>
      <c r="G751" s="3" t="s">
        <v>76</v>
      </c>
      <c r="H751" s="37">
        <v>16894.349999999999</v>
      </c>
      <c r="I751" s="12">
        <v>0</v>
      </c>
      <c r="J751" s="37">
        <v>16894.349999999999</v>
      </c>
      <c r="K751" s="3">
        <v>5</v>
      </c>
      <c r="L751" s="61">
        <f>Table1[[#This Row],[Final_Unit_Price]]*Table1[[#This Row],[Quantity]]</f>
        <v>84471.75</v>
      </c>
      <c r="M751" s="59">
        <v>21117.94</v>
      </c>
      <c r="N751" s="42">
        <v>45525</v>
      </c>
      <c r="O751" s="20" t="str">
        <f>TEXT(Table1[[#This Row],[Order_Date]],"mmm")</f>
        <v>Aug</v>
      </c>
      <c r="P751" s="20">
        <f t="shared" si="22"/>
        <v>2024</v>
      </c>
      <c r="Q751" s="46">
        <v>45528</v>
      </c>
      <c r="R751" s="20">
        <f>'Cleaned Data'!$Q751-'Cleaned Data'!$N751</f>
        <v>3</v>
      </c>
      <c r="S751" s="19" t="str">
        <f t="shared" si="23"/>
        <v>Monsoon</v>
      </c>
    </row>
    <row r="752" spans="1:19" x14ac:dyDescent="0.3">
      <c r="A752" s="13" t="s">
        <v>929</v>
      </c>
      <c r="B752" s="13" t="s">
        <v>20</v>
      </c>
      <c r="C752" s="5" t="s">
        <v>32</v>
      </c>
      <c r="D752" s="5" t="s">
        <v>40</v>
      </c>
      <c r="E752" s="5" t="s">
        <v>59</v>
      </c>
      <c r="F752" s="5" t="s">
        <v>62</v>
      </c>
      <c r="G752" s="5" t="s">
        <v>67</v>
      </c>
      <c r="H752" s="38">
        <v>37006.300000000003</v>
      </c>
      <c r="I752" s="14">
        <v>0.05</v>
      </c>
      <c r="J752" s="38">
        <v>35155.985000000001</v>
      </c>
      <c r="K752" s="5">
        <v>1</v>
      </c>
      <c r="L752" s="62">
        <f>Table1[[#This Row],[Final_Unit_Price]]*Table1[[#This Row],[Quantity]]</f>
        <v>35155.985000000001</v>
      </c>
      <c r="M752" s="60">
        <v>12304.6</v>
      </c>
      <c r="N752" s="43">
        <v>45805</v>
      </c>
      <c r="O752" s="18" t="str">
        <f>TEXT(Table1[[#This Row],[Order_Date]],"mmm")</f>
        <v>May</v>
      </c>
      <c r="P752" s="18">
        <f t="shared" si="22"/>
        <v>2025</v>
      </c>
      <c r="Q752" s="45">
        <v>45808</v>
      </c>
      <c r="R752" s="19">
        <f>'Cleaned Data'!$Q752-'Cleaned Data'!$N752</f>
        <v>3</v>
      </c>
      <c r="S752" s="19" t="str">
        <f t="shared" si="23"/>
        <v>Summer</v>
      </c>
    </row>
    <row r="753" spans="1:19" x14ac:dyDescent="0.3">
      <c r="A753" s="11" t="s">
        <v>930</v>
      </c>
      <c r="B753" s="11" t="s">
        <v>29</v>
      </c>
      <c r="C753" s="3" t="s">
        <v>35</v>
      </c>
      <c r="D753" s="3" t="s">
        <v>46</v>
      </c>
      <c r="E753" s="3" t="s">
        <v>59</v>
      </c>
      <c r="F753" s="3" t="s">
        <v>63</v>
      </c>
      <c r="G753" s="3" t="s">
        <v>68</v>
      </c>
      <c r="H753" s="37">
        <v>20742.86</v>
      </c>
      <c r="I753" s="12">
        <v>0.15</v>
      </c>
      <c r="J753" s="37">
        <v>17631.431</v>
      </c>
      <c r="K753" s="3">
        <v>1</v>
      </c>
      <c r="L753" s="61">
        <f>Table1[[#This Row],[Final_Unit_Price]]*Table1[[#This Row],[Quantity]]</f>
        <v>17631.431</v>
      </c>
      <c r="M753" s="59">
        <v>6171</v>
      </c>
      <c r="N753" s="42">
        <v>45762</v>
      </c>
      <c r="O753" s="20" t="str">
        <f>TEXT(Table1[[#This Row],[Order_Date]],"mmm")</f>
        <v>Apr</v>
      </c>
      <c r="P753" s="20">
        <f t="shared" si="22"/>
        <v>2025</v>
      </c>
      <c r="Q753" s="46">
        <v>45766</v>
      </c>
      <c r="R753" s="20">
        <f>'Cleaned Data'!$Q753-'Cleaned Data'!$N753</f>
        <v>4</v>
      </c>
      <c r="S753" s="19" t="str">
        <f t="shared" si="23"/>
        <v>Summer</v>
      </c>
    </row>
    <row r="754" spans="1:19" x14ac:dyDescent="0.3">
      <c r="A754" s="13" t="s">
        <v>931</v>
      </c>
      <c r="B754" s="13" t="s">
        <v>27</v>
      </c>
      <c r="C754" s="5" t="s">
        <v>35</v>
      </c>
      <c r="D754" s="5" t="s">
        <v>38</v>
      </c>
      <c r="E754" s="5" t="s">
        <v>59</v>
      </c>
      <c r="F754" s="5" t="s">
        <v>62</v>
      </c>
      <c r="G754" s="5" t="s">
        <v>67</v>
      </c>
      <c r="H754" s="38">
        <v>10331.290000000001</v>
      </c>
      <c r="I754" s="14">
        <v>0.05</v>
      </c>
      <c r="J754" s="38">
        <v>9814.7255000000005</v>
      </c>
      <c r="K754" s="5">
        <v>5</v>
      </c>
      <c r="L754" s="62">
        <f>Table1[[#This Row],[Final_Unit_Price]]*Table1[[#This Row],[Quantity]]</f>
        <v>49073.627500000002</v>
      </c>
      <c r="M754" s="60">
        <v>17175.77</v>
      </c>
      <c r="N754" s="43">
        <v>45637</v>
      </c>
      <c r="O754" s="18" t="str">
        <f>TEXT(Table1[[#This Row],[Order_Date]],"mmm")</f>
        <v>Dec</v>
      </c>
      <c r="P754" s="18">
        <f t="shared" si="22"/>
        <v>2024</v>
      </c>
      <c r="Q754" s="45">
        <v>45641</v>
      </c>
      <c r="R754" s="19">
        <f>'Cleaned Data'!$Q754-'Cleaned Data'!$N754</f>
        <v>4</v>
      </c>
      <c r="S754" s="19" t="str">
        <f t="shared" si="23"/>
        <v>Winter</v>
      </c>
    </row>
    <row r="755" spans="1:19" x14ac:dyDescent="0.3">
      <c r="A755" s="11" t="s">
        <v>932</v>
      </c>
      <c r="B755" s="11" t="s">
        <v>23</v>
      </c>
      <c r="C755" s="3" t="s">
        <v>35</v>
      </c>
      <c r="D755" s="3" t="s">
        <v>38</v>
      </c>
      <c r="E755" s="3" t="s">
        <v>59</v>
      </c>
      <c r="F755" s="3" t="s">
        <v>61</v>
      </c>
      <c r="G755" s="3" t="s">
        <v>65</v>
      </c>
      <c r="H755" s="37">
        <v>28931.64</v>
      </c>
      <c r="I755" s="12">
        <v>0.05</v>
      </c>
      <c r="J755" s="37">
        <v>27485.058000000001</v>
      </c>
      <c r="K755" s="3">
        <v>1</v>
      </c>
      <c r="L755" s="61">
        <f>Table1[[#This Row],[Final_Unit_Price]]*Table1[[#This Row],[Quantity]]</f>
        <v>27485.058000000001</v>
      </c>
      <c r="M755" s="59">
        <v>9619.77</v>
      </c>
      <c r="N755" s="42">
        <v>45778</v>
      </c>
      <c r="O755" s="20" t="str">
        <f>TEXT(Table1[[#This Row],[Order_Date]],"mmm")</f>
        <v>May</v>
      </c>
      <c r="P755" s="20">
        <f t="shared" si="22"/>
        <v>2025</v>
      </c>
      <c r="Q755" s="46">
        <v>45780</v>
      </c>
      <c r="R755" s="20">
        <f>'Cleaned Data'!$Q755-'Cleaned Data'!$N755</f>
        <v>2</v>
      </c>
      <c r="S755" s="19" t="str">
        <f t="shared" si="23"/>
        <v>Summer</v>
      </c>
    </row>
    <row r="756" spans="1:19" x14ac:dyDescent="0.3">
      <c r="A756" s="13" t="s">
        <v>933</v>
      </c>
      <c r="B756" s="13" t="s">
        <v>23</v>
      </c>
      <c r="C756" s="5" t="s">
        <v>35</v>
      </c>
      <c r="D756" s="5" t="s">
        <v>44</v>
      </c>
      <c r="E756" s="5" t="s">
        <v>60</v>
      </c>
      <c r="F756" s="5" t="s">
        <v>61</v>
      </c>
      <c r="G756" s="5" t="s">
        <v>65</v>
      </c>
      <c r="H756" s="38">
        <v>21404.67</v>
      </c>
      <c r="I756" s="14">
        <v>0.25</v>
      </c>
      <c r="J756" s="38">
        <v>16053.502500000001</v>
      </c>
      <c r="K756" s="5">
        <v>1</v>
      </c>
      <c r="L756" s="62">
        <f>Table1[[#This Row],[Final_Unit_Price]]*Table1[[#This Row],[Quantity]]</f>
        <v>16053.502500000001</v>
      </c>
      <c r="M756" s="60">
        <v>2408.0300000000002</v>
      </c>
      <c r="N756" s="43">
        <v>45804</v>
      </c>
      <c r="O756" s="18" t="str">
        <f>TEXT(Table1[[#This Row],[Order_Date]],"mmm")</f>
        <v>May</v>
      </c>
      <c r="P756" s="18">
        <f t="shared" si="22"/>
        <v>2025</v>
      </c>
      <c r="Q756" s="45">
        <v>45814</v>
      </c>
      <c r="R756" s="19">
        <f>'Cleaned Data'!$Q756-'Cleaned Data'!$N756</f>
        <v>10</v>
      </c>
      <c r="S756" s="19" t="str">
        <f t="shared" si="23"/>
        <v>Summer</v>
      </c>
    </row>
    <row r="757" spans="1:19" x14ac:dyDescent="0.3">
      <c r="A757" s="11" t="s">
        <v>934</v>
      </c>
      <c r="B757" s="11" t="s">
        <v>25</v>
      </c>
      <c r="C757" s="3" t="s">
        <v>34</v>
      </c>
      <c r="D757" s="3" t="s">
        <v>49</v>
      </c>
      <c r="E757" s="3" t="s">
        <v>59</v>
      </c>
      <c r="F757" s="3" t="s">
        <v>62</v>
      </c>
      <c r="G757" s="3" t="s">
        <v>66</v>
      </c>
      <c r="H757" s="37">
        <v>1008.01</v>
      </c>
      <c r="I757" s="12">
        <v>0.15</v>
      </c>
      <c r="J757" s="37">
        <v>856.80849999999998</v>
      </c>
      <c r="K757" s="3">
        <v>4</v>
      </c>
      <c r="L757" s="61">
        <f>Table1[[#This Row],[Final_Unit_Price]]*Table1[[#This Row],[Quantity]]</f>
        <v>3427.2339999999999</v>
      </c>
      <c r="M757" s="59">
        <v>1199.53</v>
      </c>
      <c r="N757" s="42">
        <v>45534</v>
      </c>
      <c r="O757" s="20" t="str">
        <f>TEXT(Table1[[#This Row],[Order_Date]],"mmm")</f>
        <v>Aug</v>
      </c>
      <c r="P757" s="20">
        <f t="shared" si="22"/>
        <v>2024</v>
      </c>
      <c r="Q757" s="46">
        <v>45541</v>
      </c>
      <c r="R757" s="20">
        <f>'Cleaned Data'!$Q757-'Cleaned Data'!$N757</f>
        <v>7</v>
      </c>
      <c r="S757" s="19" t="str">
        <f t="shared" si="23"/>
        <v>Monsoon</v>
      </c>
    </row>
    <row r="758" spans="1:19" x14ac:dyDescent="0.3">
      <c r="A758" s="13" t="s">
        <v>935</v>
      </c>
      <c r="B758" s="13" t="s">
        <v>24</v>
      </c>
      <c r="C758" s="5" t="s">
        <v>32</v>
      </c>
      <c r="D758" s="5" t="s">
        <v>37</v>
      </c>
      <c r="E758" s="5" t="s">
        <v>59</v>
      </c>
      <c r="F758" s="5" t="s">
        <v>62</v>
      </c>
      <c r="G758" s="5" t="s">
        <v>69</v>
      </c>
      <c r="H758" s="38">
        <v>32669.11</v>
      </c>
      <c r="I758" s="14">
        <v>0.2</v>
      </c>
      <c r="J758" s="38">
        <v>26135.288</v>
      </c>
      <c r="K758" s="5">
        <v>5</v>
      </c>
      <c r="L758" s="62">
        <f>Table1[[#This Row],[Final_Unit_Price]]*Table1[[#This Row],[Quantity]]</f>
        <v>130676.44</v>
      </c>
      <c r="M758" s="60">
        <v>45736.75</v>
      </c>
      <c r="N758" s="43">
        <v>45609</v>
      </c>
      <c r="O758" s="18" t="str">
        <f>TEXT(Table1[[#This Row],[Order_Date]],"mmm")</f>
        <v>Nov</v>
      </c>
      <c r="P758" s="18">
        <f t="shared" si="22"/>
        <v>2024</v>
      </c>
      <c r="Q758" s="45">
        <v>45616</v>
      </c>
      <c r="R758" s="19">
        <f>'Cleaned Data'!$Q758-'Cleaned Data'!$N758</f>
        <v>7</v>
      </c>
      <c r="S758" s="19" t="str">
        <f t="shared" si="23"/>
        <v>Winter</v>
      </c>
    </row>
    <row r="759" spans="1:19" x14ac:dyDescent="0.3">
      <c r="A759" s="11" t="s">
        <v>936</v>
      </c>
      <c r="B759" s="11" t="s">
        <v>24</v>
      </c>
      <c r="C759" s="3" t="s">
        <v>32</v>
      </c>
      <c r="D759" s="3" t="s">
        <v>43</v>
      </c>
      <c r="E759" s="3" t="s">
        <v>58</v>
      </c>
      <c r="F759" s="3" t="s">
        <v>64</v>
      </c>
      <c r="G759" s="3" t="s">
        <v>72</v>
      </c>
      <c r="H759" s="37">
        <v>27550.17</v>
      </c>
      <c r="I759" s="12">
        <v>0.15</v>
      </c>
      <c r="J759" s="37">
        <v>23417.644499999999</v>
      </c>
      <c r="K759" s="3">
        <v>2</v>
      </c>
      <c r="L759" s="61">
        <f>Table1[[#This Row],[Final_Unit_Price]]*Table1[[#This Row],[Quantity]]</f>
        <v>46835.288999999997</v>
      </c>
      <c r="M759" s="59">
        <v>11708.82</v>
      </c>
      <c r="N759" s="42">
        <v>45589</v>
      </c>
      <c r="O759" s="20" t="str">
        <f>TEXT(Table1[[#This Row],[Order_Date]],"mmm")</f>
        <v>Oct</v>
      </c>
      <c r="P759" s="20">
        <f t="shared" si="22"/>
        <v>2024</v>
      </c>
      <c r="Q759" s="46">
        <v>45598</v>
      </c>
      <c r="R759" s="20">
        <f>'Cleaned Data'!$Q759-'Cleaned Data'!$N759</f>
        <v>9</v>
      </c>
      <c r="S759" s="19" t="str">
        <f t="shared" si="23"/>
        <v>Winter</v>
      </c>
    </row>
    <row r="760" spans="1:19" x14ac:dyDescent="0.3">
      <c r="A760" s="13" t="s">
        <v>937</v>
      </c>
      <c r="B760" s="13" t="s">
        <v>27</v>
      </c>
      <c r="C760" s="5" t="s">
        <v>35</v>
      </c>
      <c r="D760" s="5" t="s">
        <v>46</v>
      </c>
      <c r="E760" s="5" t="s">
        <v>59</v>
      </c>
      <c r="F760" s="5" t="s">
        <v>64</v>
      </c>
      <c r="G760" s="5" t="s">
        <v>72</v>
      </c>
      <c r="H760" s="38">
        <v>10295.84</v>
      </c>
      <c r="I760" s="14">
        <v>0.1</v>
      </c>
      <c r="J760" s="38">
        <v>9266.2560000000012</v>
      </c>
      <c r="K760" s="5">
        <v>2</v>
      </c>
      <c r="L760" s="62">
        <f>Table1[[#This Row],[Final_Unit_Price]]*Table1[[#This Row],[Quantity]]</f>
        <v>18532.512000000002</v>
      </c>
      <c r="M760" s="60">
        <v>6486.38</v>
      </c>
      <c r="N760" s="43">
        <v>45700</v>
      </c>
      <c r="O760" s="18" t="str">
        <f>TEXT(Table1[[#This Row],[Order_Date]],"mmm")</f>
        <v>Feb</v>
      </c>
      <c r="P760" s="18">
        <f t="shared" si="22"/>
        <v>2025</v>
      </c>
      <c r="Q760" s="45">
        <v>45710</v>
      </c>
      <c r="R760" s="19">
        <f>'Cleaned Data'!$Q760-'Cleaned Data'!$N760</f>
        <v>10</v>
      </c>
      <c r="S760" s="19" t="str">
        <f t="shared" si="23"/>
        <v>Summer</v>
      </c>
    </row>
    <row r="761" spans="1:19" x14ac:dyDescent="0.3">
      <c r="A761" s="11" t="s">
        <v>938</v>
      </c>
      <c r="B761" s="11" t="s">
        <v>30</v>
      </c>
      <c r="C761" s="3" t="s">
        <v>33</v>
      </c>
      <c r="D761" s="3" t="s">
        <v>39</v>
      </c>
      <c r="E761" s="3" t="s">
        <v>58</v>
      </c>
      <c r="F761" s="3" t="s">
        <v>61</v>
      </c>
      <c r="G761" s="3" t="s">
        <v>70</v>
      </c>
      <c r="H761" s="37">
        <v>14297.72</v>
      </c>
      <c r="I761" s="12">
        <v>0.1</v>
      </c>
      <c r="J761" s="37">
        <v>12867.948</v>
      </c>
      <c r="K761" s="3">
        <v>4</v>
      </c>
      <c r="L761" s="61">
        <f>Table1[[#This Row],[Final_Unit_Price]]*Table1[[#This Row],[Quantity]]</f>
        <v>51471.792000000001</v>
      </c>
      <c r="M761" s="59">
        <v>12867.95</v>
      </c>
      <c r="N761" s="42">
        <v>45309</v>
      </c>
      <c r="O761" s="20" t="str">
        <f>TEXT(Table1[[#This Row],[Order_Date]],"mmm")</f>
        <v>Jan</v>
      </c>
      <c r="P761" s="20">
        <f t="shared" si="22"/>
        <v>2024</v>
      </c>
      <c r="Q761" s="46">
        <v>45317</v>
      </c>
      <c r="R761" s="20">
        <f>'Cleaned Data'!$Q761-'Cleaned Data'!$N761</f>
        <v>8</v>
      </c>
      <c r="S761" s="19" t="str">
        <f t="shared" si="23"/>
        <v>Winter</v>
      </c>
    </row>
    <row r="762" spans="1:19" x14ac:dyDescent="0.3">
      <c r="A762" s="13" t="s">
        <v>939</v>
      </c>
      <c r="B762" s="13" t="s">
        <v>17</v>
      </c>
      <c r="C762" s="5" t="s">
        <v>32</v>
      </c>
      <c r="D762" s="5" t="s">
        <v>54</v>
      </c>
      <c r="E762" s="5" t="s">
        <v>60</v>
      </c>
      <c r="F762" s="5" t="s">
        <v>62</v>
      </c>
      <c r="G762" s="5" t="s">
        <v>67</v>
      </c>
      <c r="H762" s="38">
        <v>7030.41</v>
      </c>
      <c r="I762" s="14">
        <v>0</v>
      </c>
      <c r="J762" s="38">
        <v>7030.41</v>
      </c>
      <c r="K762" s="5">
        <v>2</v>
      </c>
      <c r="L762" s="62">
        <f>Table1[[#This Row],[Final_Unit_Price]]*Table1[[#This Row],[Quantity]]</f>
        <v>14060.82</v>
      </c>
      <c r="M762" s="60">
        <v>2109.12</v>
      </c>
      <c r="N762" s="43">
        <v>45380</v>
      </c>
      <c r="O762" s="18" t="str">
        <f>TEXT(Table1[[#This Row],[Order_Date]],"mmm")</f>
        <v>Mar</v>
      </c>
      <c r="P762" s="18">
        <f t="shared" si="22"/>
        <v>2024</v>
      </c>
      <c r="Q762" s="45">
        <v>45389</v>
      </c>
      <c r="R762" s="19">
        <f>'Cleaned Data'!$Q762-'Cleaned Data'!$N762</f>
        <v>9</v>
      </c>
      <c r="S762" s="19" t="str">
        <f t="shared" si="23"/>
        <v>Summer</v>
      </c>
    </row>
    <row r="763" spans="1:19" x14ac:dyDescent="0.3">
      <c r="A763" s="11" t="s">
        <v>940</v>
      </c>
      <c r="B763" s="11" t="s">
        <v>22</v>
      </c>
      <c r="C763" s="3" t="s">
        <v>31</v>
      </c>
      <c r="D763" s="3" t="s">
        <v>47</v>
      </c>
      <c r="E763" s="3" t="s">
        <v>59</v>
      </c>
      <c r="F763" s="3" t="s">
        <v>63</v>
      </c>
      <c r="G763" s="3" t="s">
        <v>68</v>
      </c>
      <c r="H763" s="37">
        <v>3815.67</v>
      </c>
      <c r="I763" s="12">
        <v>0.2</v>
      </c>
      <c r="J763" s="37">
        <v>3052.5360000000001</v>
      </c>
      <c r="K763" s="3">
        <v>5</v>
      </c>
      <c r="L763" s="61">
        <f>Table1[[#This Row],[Final_Unit_Price]]*Table1[[#This Row],[Quantity]]</f>
        <v>15262.68</v>
      </c>
      <c r="M763" s="59">
        <v>5341.94</v>
      </c>
      <c r="N763" s="42">
        <v>45596</v>
      </c>
      <c r="O763" s="20" t="str">
        <f>TEXT(Table1[[#This Row],[Order_Date]],"mmm")</f>
        <v>Oct</v>
      </c>
      <c r="P763" s="20">
        <f t="shared" si="22"/>
        <v>2024</v>
      </c>
      <c r="Q763" s="46">
        <v>45598</v>
      </c>
      <c r="R763" s="20">
        <f>'Cleaned Data'!$Q763-'Cleaned Data'!$N763</f>
        <v>2</v>
      </c>
      <c r="S763" s="19" t="str">
        <f t="shared" si="23"/>
        <v>Winter</v>
      </c>
    </row>
    <row r="764" spans="1:19" x14ac:dyDescent="0.3">
      <c r="A764" s="13" t="s">
        <v>941</v>
      </c>
      <c r="B764" s="13" t="s">
        <v>24</v>
      </c>
      <c r="C764" s="5" t="s">
        <v>32</v>
      </c>
      <c r="D764" s="5" t="s">
        <v>54</v>
      </c>
      <c r="E764" s="5" t="s">
        <v>60</v>
      </c>
      <c r="F764" s="5" t="s">
        <v>61</v>
      </c>
      <c r="G764" s="5" t="s">
        <v>70</v>
      </c>
      <c r="H764" s="38">
        <v>21170.71</v>
      </c>
      <c r="I764" s="14">
        <v>0.1</v>
      </c>
      <c r="J764" s="38">
        <v>19053.638999999999</v>
      </c>
      <c r="K764" s="5">
        <v>2</v>
      </c>
      <c r="L764" s="62">
        <f>Table1[[#This Row],[Final_Unit_Price]]*Table1[[#This Row],[Quantity]]</f>
        <v>38107.277999999998</v>
      </c>
      <c r="M764" s="60">
        <v>5716.09</v>
      </c>
      <c r="N764" s="43">
        <v>45626</v>
      </c>
      <c r="O764" s="18" t="str">
        <f>TEXT(Table1[[#This Row],[Order_Date]],"mmm")</f>
        <v>Nov</v>
      </c>
      <c r="P764" s="18">
        <f t="shared" si="22"/>
        <v>2024</v>
      </c>
      <c r="Q764" s="45">
        <v>45633</v>
      </c>
      <c r="R764" s="19">
        <f>'Cleaned Data'!$Q764-'Cleaned Data'!$N764</f>
        <v>7</v>
      </c>
      <c r="S764" s="19" t="str">
        <f t="shared" si="23"/>
        <v>Winter</v>
      </c>
    </row>
    <row r="765" spans="1:19" x14ac:dyDescent="0.3">
      <c r="A765" s="11" t="s">
        <v>942</v>
      </c>
      <c r="B765" s="11" t="s">
        <v>18</v>
      </c>
      <c r="C765" s="3" t="s">
        <v>33</v>
      </c>
      <c r="D765" s="3" t="s">
        <v>56</v>
      </c>
      <c r="E765" s="3" t="s">
        <v>60</v>
      </c>
      <c r="F765" s="3" t="s">
        <v>64</v>
      </c>
      <c r="G765" s="3" t="s">
        <v>76</v>
      </c>
      <c r="H765" s="37">
        <v>47164.69</v>
      </c>
      <c r="I765" s="12">
        <v>0.2</v>
      </c>
      <c r="J765" s="37">
        <v>37731.752</v>
      </c>
      <c r="K765" s="3">
        <v>4</v>
      </c>
      <c r="L765" s="61">
        <f>Table1[[#This Row],[Final_Unit_Price]]*Table1[[#This Row],[Quantity]]</f>
        <v>150927.008</v>
      </c>
      <c r="M765" s="59">
        <v>22639.05</v>
      </c>
      <c r="N765" s="42">
        <v>45738</v>
      </c>
      <c r="O765" s="20" t="str">
        <f>TEXT(Table1[[#This Row],[Order_Date]],"mmm")</f>
        <v>Mar</v>
      </c>
      <c r="P765" s="20">
        <f t="shared" si="22"/>
        <v>2025</v>
      </c>
      <c r="Q765" s="46">
        <v>45740</v>
      </c>
      <c r="R765" s="20">
        <f>'Cleaned Data'!$Q765-'Cleaned Data'!$N765</f>
        <v>2</v>
      </c>
      <c r="S765" s="19" t="str">
        <f t="shared" si="23"/>
        <v>Summer</v>
      </c>
    </row>
    <row r="766" spans="1:19" x14ac:dyDescent="0.3">
      <c r="A766" s="13" t="s">
        <v>943</v>
      </c>
      <c r="B766" s="13" t="s">
        <v>27</v>
      </c>
      <c r="C766" s="5" t="s">
        <v>35</v>
      </c>
      <c r="D766" s="5" t="s">
        <v>38</v>
      </c>
      <c r="E766" s="5" t="s">
        <v>59</v>
      </c>
      <c r="F766" s="5" t="s">
        <v>63</v>
      </c>
      <c r="G766" s="5" t="s">
        <v>68</v>
      </c>
      <c r="H766" s="38">
        <v>8994.77</v>
      </c>
      <c r="I766" s="14">
        <v>0.1</v>
      </c>
      <c r="J766" s="38">
        <v>8095.2930000000006</v>
      </c>
      <c r="K766" s="5">
        <v>2</v>
      </c>
      <c r="L766" s="62">
        <f>Table1[[#This Row],[Final_Unit_Price]]*Table1[[#This Row],[Quantity]]</f>
        <v>16190.586000000001</v>
      </c>
      <c r="M766" s="60">
        <v>5666.71</v>
      </c>
      <c r="N766" s="43">
        <v>45526</v>
      </c>
      <c r="O766" s="18" t="str">
        <f>TEXT(Table1[[#This Row],[Order_Date]],"mmm")</f>
        <v>Aug</v>
      </c>
      <c r="P766" s="18">
        <f t="shared" si="22"/>
        <v>2024</v>
      </c>
      <c r="Q766" s="45">
        <v>45531</v>
      </c>
      <c r="R766" s="19">
        <f>'Cleaned Data'!$Q766-'Cleaned Data'!$N766</f>
        <v>5</v>
      </c>
      <c r="S766" s="19" t="str">
        <f t="shared" si="23"/>
        <v>Monsoon</v>
      </c>
    </row>
    <row r="767" spans="1:19" x14ac:dyDescent="0.3">
      <c r="A767" s="11" t="s">
        <v>944</v>
      </c>
      <c r="B767" s="11" t="s">
        <v>25</v>
      </c>
      <c r="C767" s="3" t="s">
        <v>34</v>
      </c>
      <c r="D767" s="3" t="s">
        <v>45</v>
      </c>
      <c r="E767" s="3" t="s">
        <v>59</v>
      </c>
      <c r="F767" s="3" t="s">
        <v>64</v>
      </c>
      <c r="G767" s="3" t="s">
        <v>74</v>
      </c>
      <c r="H767" s="37">
        <v>993.57</v>
      </c>
      <c r="I767" s="12">
        <v>0.15</v>
      </c>
      <c r="J767" s="37">
        <v>844.53449999999998</v>
      </c>
      <c r="K767" s="3">
        <v>2</v>
      </c>
      <c r="L767" s="61">
        <f>Table1[[#This Row],[Final_Unit_Price]]*Table1[[#This Row],[Quantity]]</f>
        <v>1689.069</v>
      </c>
      <c r="M767" s="59">
        <v>591.16999999999996</v>
      </c>
      <c r="N767" s="42">
        <v>45338</v>
      </c>
      <c r="O767" s="20" t="str">
        <f>TEXT(Table1[[#This Row],[Order_Date]],"mmm")</f>
        <v>Feb</v>
      </c>
      <c r="P767" s="20">
        <f t="shared" si="22"/>
        <v>2024</v>
      </c>
      <c r="Q767" s="46">
        <v>45342</v>
      </c>
      <c r="R767" s="20">
        <f>'Cleaned Data'!$Q767-'Cleaned Data'!$N767</f>
        <v>4</v>
      </c>
      <c r="S767" s="19" t="str">
        <f t="shared" si="23"/>
        <v>Summer</v>
      </c>
    </row>
    <row r="768" spans="1:19" x14ac:dyDescent="0.3">
      <c r="A768" s="13" t="s">
        <v>945</v>
      </c>
      <c r="B768" s="13" t="s">
        <v>19</v>
      </c>
      <c r="C768" s="5" t="s">
        <v>33</v>
      </c>
      <c r="D768" s="5" t="s">
        <v>56</v>
      </c>
      <c r="E768" s="5" t="s">
        <v>60</v>
      </c>
      <c r="F768" s="5" t="s">
        <v>61</v>
      </c>
      <c r="G768" s="5" t="s">
        <v>70</v>
      </c>
      <c r="H768" s="38">
        <v>1655.57</v>
      </c>
      <c r="I768" s="14">
        <v>0.3</v>
      </c>
      <c r="J768" s="38">
        <v>1158.8989999999999</v>
      </c>
      <c r="K768" s="5">
        <v>5</v>
      </c>
      <c r="L768" s="62">
        <f>Table1[[#This Row],[Final_Unit_Price]]*Table1[[#This Row],[Quantity]]</f>
        <v>5794.494999999999</v>
      </c>
      <c r="M768" s="60">
        <v>869.17</v>
      </c>
      <c r="N768" s="43">
        <v>45471</v>
      </c>
      <c r="O768" s="18" t="str">
        <f>TEXT(Table1[[#This Row],[Order_Date]],"mmm")</f>
        <v>Jun</v>
      </c>
      <c r="P768" s="18">
        <f t="shared" si="22"/>
        <v>2024</v>
      </c>
      <c r="Q768" s="45">
        <v>45478</v>
      </c>
      <c r="R768" s="19">
        <f>'Cleaned Data'!$Q768-'Cleaned Data'!$N768</f>
        <v>7</v>
      </c>
      <c r="S768" s="19" t="str">
        <f t="shared" si="23"/>
        <v>Monsoon</v>
      </c>
    </row>
    <row r="769" spans="1:19" x14ac:dyDescent="0.3">
      <c r="A769" s="11" t="s">
        <v>946</v>
      </c>
      <c r="B769" s="11" t="s">
        <v>24</v>
      </c>
      <c r="C769" s="3" t="s">
        <v>32</v>
      </c>
      <c r="D769" s="3" t="s">
        <v>40</v>
      </c>
      <c r="E769" s="3" t="s">
        <v>59</v>
      </c>
      <c r="F769" s="3" t="s">
        <v>62</v>
      </c>
      <c r="G769" s="3" t="s">
        <v>69</v>
      </c>
      <c r="H769" s="37">
        <v>31398.18</v>
      </c>
      <c r="I769" s="12">
        <v>0.25</v>
      </c>
      <c r="J769" s="37">
        <v>23548.634999999998</v>
      </c>
      <c r="K769" s="3">
        <v>1</v>
      </c>
      <c r="L769" s="61">
        <f>Table1[[#This Row],[Final_Unit_Price]]*Table1[[#This Row],[Quantity]]</f>
        <v>23548.634999999998</v>
      </c>
      <c r="M769" s="59">
        <v>8242.02</v>
      </c>
      <c r="N769" s="42">
        <v>45445</v>
      </c>
      <c r="O769" s="20" t="str">
        <f>TEXT(Table1[[#This Row],[Order_Date]],"mmm")</f>
        <v>Jun</v>
      </c>
      <c r="P769" s="20">
        <f t="shared" si="22"/>
        <v>2024</v>
      </c>
      <c r="Q769" s="46">
        <v>45447</v>
      </c>
      <c r="R769" s="20">
        <f>'Cleaned Data'!$Q769-'Cleaned Data'!$N769</f>
        <v>2</v>
      </c>
      <c r="S769" s="19" t="str">
        <f t="shared" si="23"/>
        <v>Monsoon</v>
      </c>
    </row>
    <row r="770" spans="1:19" x14ac:dyDescent="0.3">
      <c r="A770" s="13" t="s">
        <v>947</v>
      </c>
      <c r="B770" s="13" t="s">
        <v>17</v>
      </c>
      <c r="C770" s="5" t="s">
        <v>32</v>
      </c>
      <c r="D770" s="5" t="s">
        <v>40</v>
      </c>
      <c r="E770" s="5" t="s">
        <v>59</v>
      </c>
      <c r="F770" s="5" t="s">
        <v>61</v>
      </c>
      <c r="G770" s="5" t="s">
        <v>70</v>
      </c>
      <c r="H770" s="38">
        <v>9147.98</v>
      </c>
      <c r="I770" s="14">
        <v>0.2</v>
      </c>
      <c r="J770" s="38">
        <v>7318.384</v>
      </c>
      <c r="K770" s="5">
        <v>3</v>
      </c>
      <c r="L770" s="62">
        <f>Table1[[#This Row],[Final_Unit_Price]]*Table1[[#This Row],[Quantity]]</f>
        <v>21955.152000000002</v>
      </c>
      <c r="M770" s="60">
        <v>7684.3</v>
      </c>
      <c r="N770" s="43">
        <v>45504</v>
      </c>
      <c r="O770" s="18" t="str">
        <f>TEXT(Table1[[#This Row],[Order_Date]],"mmm")</f>
        <v>Jul</v>
      </c>
      <c r="P770" s="18">
        <f t="shared" si="22"/>
        <v>2024</v>
      </c>
      <c r="Q770" s="45">
        <v>45514</v>
      </c>
      <c r="R770" s="19">
        <f>'Cleaned Data'!$Q770-'Cleaned Data'!$N770</f>
        <v>10</v>
      </c>
      <c r="S770" s="19" t="str">
        <f t="shared" si="23"/>
        <v>Monsoon</v>
      </c>
    </row>
    <row r="771" spans="1:19" x14ac:dyDescent="0.3">
      <c r="A771" s="11" t="s">
        <v>948</v>
      </c>
      <c r="B771" s="11" t="s">
        <v>22</v>
      </c>
      <c r="C771" s="3" t="s">
        <v>31</v>
      </c>
      <c r="D771" s="3" t="s">
        <v>42</v>
      </c>
      <c r="E771" s="3" t="s">
        <v>60</v>
      </c>
      <c r="F771" s="3" t="s">
        <v>61</v>
      </c>
      <c r="G771" s="3" t="s">
        <v>70</v>
      </c>
      <c r="H771" s="37">
        <v>2856.09</v>
      </c>
      <c r="I771" s="12">
        <v>0.15</v>
      </c>
      <c r="J771" s="37">
        <v>2427.6765</v>
      </c>
      <c r="K771" s="3">
        <v>5</v>
      </c>
      <c r="L771" s="61">
        <f>Table1[[#This Row],[Final_Unit_Price]]*Table1[[#This Row],[Quantity]]</f>
        <v>12138.3825</v>
      </c>
      <c r="M771" s="59">
        <v>1820.76</v>
      </c>
      <c r="N771" s="42">
        <v>45495</v>
      </c>
      <c r="O771" s="20" t="str">
        <f>TEXT(Table1[[#This Row],[Order_Date]],"mmm")</f>
        <v>Jul</v>
      </c>
      <c r="P771" s="20">
        <f t="shared" ref="P771:P834" si="24">YEAR(N771)</f>
        <v>2024</v>
      </c>
      <c r="Q771" s="46">
        <v>45503</v>
      </c>
      <c r="R771" s="20">
        <f>'Cleaned Data'!$Q771-'Cleaned Data'!$N771</f>
        <v>8</v>
      </c>
      <c r="S771" s="19" t="str">
        <f t="shared" ref="S771:S834" si="25">IF(OR(O771="Feb",O771="Mar",O771="Apr",O771="May"),"Summer",
   IF(OR(O771="Jun",O771="Jul",O771="Aug",O771="Sep"),"Monsoon",
   IF(OR(O771="Oct",O771="Nov",O771="Dec",O771= "Jan"),"Winter","Invalid")))</f>
        <v>Monsoon</v>
      </c>
    </row>
    <row r="772" spans="1:19" x14ac:dyDescent="0.3">
      <c r="A772" s="13" t="s">
        <v>949</v>
      </c>
      <c r="B772" s="13" t="s">
        <v>26</v>
      </c>
      <c r="C772" s="5" t="s">
        <v>32</v>
      </c>
      <c r="D772" s="5" t="s">
        <v>37</v>
      </c>
      <c r="E772" s="5" t="s">
        <v>59</v>
      </c>
      <c r="F772" s="5" t="s">
        <v>61</v>
      </c>
      <c r="G772" s="5" t="s">
        <v>65</v>
      </c>
      <c r="H772" s="38">
        <v>42153.07</v>
      </c>
      <c r="I772" s="14">
        <v>0.05</v>
      </c>
      <c r="J772" s="38">
        <v>40045.416499999999</v>
      </c>
      <c r="K772" s="5">
        <v>1</v>
      </c>
      <c r="L772" s="62">
        <f>Table1[[#This Row],[Final_Unit_Price]]*Table1[[#This Row],[Quantity]]</f>
        <v>40045.416499999999</v>
      </c>
      <c r="M772" s="60">
        <v>14015.9</v>
      </c>
      <c r="N772" s="43">
        <v>45345</v>
      </c>
      <c r="O772" s="18" t="str">
        <f>TEXT(Table1[[#This Row],[Order_Date]],"mmm")</f>
        <v>Feb</v>
      </c>
      <c r="P772" s="18">
        <f t="shared" si="24"/>
        <v>2024</v>
      </c>
      <c r="Q772" s="45">
        <v>45352</v>
      </c>
      <c r="R772" s="19">
        <f>'Cleaned Data'!$Q772-'Cleaned Data'!$N772</f>
        <v>7</v>
      </c>
      <c r="S772" s="19" t="str">
        <f t="shared" si="25"/>
        <v>Summer</v>
      </c>
    </row>
    <row r="773" spans="1:19" x14ac:dyDescent="0.3">
      <c r="A773" s="11" t="s">
        <v>950</v>
      </c>
      <c r="B773" s="11" t="s">
        <v>28</v>
      </c>
      <c r="C773" s="3" t="s">
        <v>34</v>
      </c>
      <c r="D773" s="3" t="s">
        <v>52</v>
      </c>
      <c r="E773" s="3" t="s">
        <v>60</v>
      </c>
      <c r="F773" s="3" t="s">
        <v>61</v>
      </c>
      <c r="G773" s="3" t="s">
        <v>65</v>
      </c>
      <c r="H773" s="37">
        <v>1239.46</v>
      </c>
      <c r="I773" s="12">
        <v>0.1</v>
      </c>
      <c r="J773" s="37">
        <v>1115.5139999999999</v>
      </c>
      <c r="K773" s="3">
        <v>2</v>
      </c>
      <c r="L773" s="61">
        <f>Table1[[#This Row],[Final_Unit_Price]]*Table1[[#This Row],[Quantity]]</f>
        <v>2231.0279999999998</v>
      </c>
      <c r="M773" s="59">
        <v>334.65</v>
      </c>
      <c r="N773" s="42">
        <v>45503</v>
      </c>
      <c r="O773" s="20" t="str">
        <f>TEXT(Table1[[#This Row],[Order_Date]],"mmm")</f>
        <v>Jul</v>
      </c>
      <c r="P773" s="20">
        <f t="shared" si="24"/>
        <v>2024</v>
      </c>
      <c r="Q773" s="46">
        <v>45510</v>
      </c>
      <c r="R773" s="20">
        <f>'Cleaned Data'!$Q773-'Cleaned Data'!$N773</f>
        <v>7</v>
      </c>
      <c r="S773" s="19" t="str">
        <f t="shared" si="25"/>
        <v>Monsoon</v>
      </c>
    </row>
    <row r="774" spans="1:19" x14ac:dyDescent="0.3">
      <c r="A774" s="13" t="s">
        <v>951</v>
      </c>
      <c r="B774" s="13" t="s">
        <v>27</v>
      </c>
      <c r="C774" s="5" t="s">
        <v>35</v>
      </c>
      <c r="D774" s="5" t="s">
        <v>48</v>
      </c>
      <c r="E774" s="5" t="s">
        <v>58</v>
      </c>
      <c r="F774" s="5" t="s">
        <v>64</v>
      </c>
      <c r="G774" s="5" t="s">
        <v>72</v>
      </c>
      <c r="H774" s="38">
        <v>8353.4699999999993</v>
      </c>
      <c r="I774" s="14">
        <v>0.1</v>
      </c>
      <c r="J774" s="38">
        <v>7518.1229999999996</v>
      </c>
      <c r="K774" s="5">
        <v>5</v>
      </c>
      <c r="L774" s="62">
        <f>Table1[[#This Row],[Final_Unit_Price]]*Table1[[#This Row],[Quantity]]</f>
        <v>37590.614999999998</v>
      </c>
      <c r="M774" s="60">
        <v>9397.65</v>
      </c>
      <c r="N774" s="43">
        <v>45625</v>
      </c>
      <c r="O774" s="18" t="str">
        <f>TEXT(Table1[[#This Row],[Order_Date]],"mmm")</f>
        <v>Nov</v>
      </c>
      <c r="P774" s="18">
        <f t="shared" si="24"/>
        <v>2024</v>
      </c>
      <c r="Q774" s="45">
        <v>45631</v>
      </c>
      <c r="R774" s="19">
        <f>'Cleaned Data'!$Q774-'Cleaned Data'!$N774</f>
        <v>6</v>
      </c>
      <c r="S774" s="19" t="str">
        <f t="shared" si="25"/>
        <v>Winter</v>
      </c>
    </row>
    <row r="775" spans="1:19" x14ac:dyDescent="0.3">
      <c r="A775" s="11" t="s">
        <v>952</v>
      </c>
      <c r="B775" s="11" t="s">
        <v>23</v>
      </c>
      <c r="C775" s="3" t="s">
        <v>35</v>
      </c>
      <c r="D775" s="3" t="s">
        <v>48</v>
      </c>
      <c r="E775" s="3" t="s">
        <v>58</v>
      </c>
      <c r="F775" s="3" t="s">
        <v>63</v>
      </c>
      <c r="G775" s="3" t="s">
        <v>75</v>
      </c>
      <c r="H775" s="37">
        <v>23319.22</v>
      </c>
      <c r="I775" s="12">
        <v>0.05</v>
      </c>
      <c r="J775" s="37">
        <v>22153.258999999998</v>
      </c>
      <c r="K775" s="3">
        <v>3</v>
      </c>
      <c r="L775" s="61">
        <f>Table1[[#This Row],[Final_Unit_Price]]*Table1[[#This Row],[Quantity]]</f>
        <v>66459.777000000002</v>
      </c>
      <c r="M775" s="59">
        <v>16614.939999999999</v>
      </c>
      <c r="N775" s="42">
        <v>45821</v>
      </c>
      <c r="O775" s="20" t="str">
        <f>TEXT(Table1[[#This Row],[Order_Date]],"mmm")</f>
        <v>Jun</v>
      </c>
      <c r="P775" s="20">
        <f t="shared" si="24"/>
        <v>2025</v>
      </c>
      <c r="Q775" s="46">
        <v>45825</v>
      </c>
      <c r="R775" s="20">
        <f>'Cleaned Data'!$Q775-'Cleaned Data'!$N775</f>
        <v>4</v>
      </c>
      <c r="S775" s="19" t="str">
        <f t="shared" si="25"/>
        <v>Monsoon</v>
      </c>
    </row>
    <row r="776" spans="1:19" x14ac:dyDescent="0.3">
      <c r="A776" s="13" t="s">
        <v>953</v>
      </c>
      <c r="B776" s="13" t="s">
        <v>27</v>
      </c>
      <c r="C776" s="5" t="s">
        <v>35</v>
      </c>
      <c r="D776" s="5" t="s">
        <v>46</v>
      </c>
      <c r="E776" s="5" t="s">
        <v>59</v>
      </c>
      <c r="F776" s="5" t="s">
        <v>64</v>
      </c>
      <c r="G776" s="5" t="s">
        <v>76</v>
      </c>
      <c r="H776" s="38">
        <v>9875.9</v>
      </c>
      <c r="I776" s="14">
        <v>0</v>
      </c>
      <c r="J776" s="38">
        <v>9875.9</v>
      </c>
      <c r="K776" s="5">
        <v>1</v>
      </c>
      <c r="L776" s="62">
        <f>Table1[[#This Row],[Final_Unit_Price]]*Table1[[#This Row],[Quantity]]</f>
        <v>9875.9</v>
      </c>
      <c r="M776" s="60">
        <v>3456.56</v>
      </c>
      <c r="N776" s="43">
        <v>45732</v>
      </c>
      <c r="O776" s="18" t="str">
        <f>TEXT(Table1[[#This Row],[Order_Date]],"mmm")</f>
        <v>Mar</v>
      </c>
      <c r="P776" s="18">
        <f t="shared" si="24"/>
        <v>2025</v>
      </c>
      <c r="Q776" s="45">
        <v>45736</v>
      </c>
      <c r="R776" s="19">
        <f>'Cleaned Data'!$Q776-'Cleaned Data'!$N776</f>
        <v>4</v>
      </c>
      <c r="S776" s="19" t="str">
        <f t="shared" si="25"/>
        <v>Summer</v>
      </c>
    </row>
    <row r="777" spans="1:19" x14ac:dyDescent="0.3">
      <c r="A777" s="11" t="s">
        <v>954</v>
      </c>
      <c r="B777" s="11" t="s">
        <v>19</v>
      </c>
      <c r="C777" s="3" t="s">
        <v>33</v>
      </c>
      <c r="D777" s="3" t="s">
        <v>56</v>
      </c>
      <c r="E777" s="3" t="s">
        <v>60</v>
      </c>
      <c r="F777" s="3" t="s">
        <v>62</v>
      </c>
      <c r="G777" s="3" t="s">
        <v>67</v>
      </c>
      <c r="H777" s="37">
        <v>1823.51</v>
      </c>
      <c r="I777" s="12">
        <v>0.1</v>
      </c>
      <c r="J777" s="37">
        <v>1641.1590000000001</v>
      </c>
      <c r="K777" s="3">
        <v>4</v>
      </c>
      <c r="L777" s="61">
        <f>Table1[[#This Row],[Final_Unit_Price]]*Table1[[#This Row],[Quantity]]</f>
        <v>6564.6360000000004</v>
      </c>
      <c r="M777" s="59">
        <v>984.7</v>
      </c>
      <c r="N777" s="42">
        <v>45729</v>
      </c>
      <c r="O777" s="20" t="str">
        <f>TEXT(Table1[[#This Row],[Order_Date]],"mmm")</f>
        <v>Mar</v>
      </c>
      <c r="P777" s="20">
        <f t="shared" si="24"/>
        <v>2025</v>
      </c>
      <c r="Q777" s="46">
        <v>45733</v>
      </c>
      <c r="R777" s="20">
        <f>'Cleaned Data'!$Q777-'Cleaned Data'!$N777</f>
        <v>4</v>
      </c>
      <c r="S777" s="19" t="str">
        <f t="shared" si="25"/>
        <v>Summer</v>
      </c>
    </row>
    <row r="778" spans="1:19" x14ac:dyDescent="0.3">
      <c r="A778" s="13" t="s">
        <v>955</v>
      </c>
      <c r="B778" s="13" t="s">
        <v>25</v>
      </c>
      <c r="C778" s="5" t="s">
        <v>34</v>
      </c>
      <c r="D778" s="5" t="s">
        <v>55</v>
      </c>
      <c r="E778" s="5" t="s">
        <v>58</v>
      </c>
      <c r="F778" s="5" t="s">
        <v>64</v>
      </c>
      <c r="G778" s="5" t="s">
        <v>72</v>
      </c>
      <c r="H778" s="38">
        <v>825.28</v>
      </c>
      <c r="I778" s="14">
        <v>0</v>
      </c>
      <c r="J778" s="38">
        <v>825.28</v>
      </c>
      <c r="K778" s="5">
        <v>9</v>
      </c>
      <c r="L778" s="62">
        <f>Table1[[#This Row],[Final_Unit_Price]]*Table1[[#This Row],[Quantity]]</f>
        <v>7427.5199999999995</v>
      </c>
      <c r="M778" s="60">
        <v>1031.5999999999999</v>
      </c>
      <c r="N778" s="43">
        <v>45306</v>
      </c>
      <c r="O778" s="18" t="str">
        <f>TEXT(Table1[[#This Row],[Order_Date]],"mmm")</f>
        <v>Jan</v>
      </c>
      <c r="P778" s="18">
        <f t="shared" si="24"/>
        <v>2024</v>
      </c>
      <c r="Q778" s="45">
        <v>45311</v>
      </c>
      <c r="R778" s="19">
        <f>'Cleaned Data'!$Q778-'Cleaned Data'!$N778</f>
        <v>5</v>
      </c>
      <c r="S778" s="19" t="str">
        <f t="shared" si="25"/>
        <v>Winter</v>
      </c>
    </row>
    <row r="779" spans="1:19" x14ac:dyDescent="0.3">
      <c r="A779" s="11" t="s">
        <v>956</v>
      </c>
      <c r="B779" s="11" t="s">
        <v>24</v>
      </c>
      <c r="C779" s="3" t="s">
        <v>32</v>
      </c>
      <c r="D779" s="3" t="s">
        <v>43</v>
      </c>
      <c r="E779" s="3" t="s">
        <v>58</v>
      </c>
      <c r="F779" s="3" t="s">
        <v>63</v>
      </c>
      <c r="G779" s="3" t="s">
        <v>73</v>
      </c>
      <c r="H779" s="37">
        <v>24170.51</v>
      </c>
      <c r="I779" s="12">
        <v>0.1</v>
      </c>
      <c r="J779" s="37">
        <v>21753.458999999999</v>
      </c>
      <c r="K779" s="3">
        <v>4</v>
      </c>
      <c r="L779" s="61">
        <f>Table1[[#This Row],[Final_Unit_Price]]*Table1[[#This Row],[Quantity]]</f>
        <v>87013.835999999996</v>
      </c>
      <c r="M779" s="59">
        <v>21753.46</v>
      </c>
      <c r="N779" s="42">
        <v>45730</v>
      </c>
      <c r="O779" s="20" t="str">
        <f>TEXT(Table1[[#This Row],[Order_Date]],"mmm")</f>
        <v>Mar</v>
      </c>
      <c r="P779" s="20">
        <f t="shared" si="24"/>
        <v>2025</v>
      </c>
      <c r="Q779" s="46">
        <v>45733</v>
      </c>
      <c r="R779" s="20">
        <f>'Cleaned Data'!$Q779-'Cleaned Data'!$N779</f>
        <v>3</v>
      </c>
      <c r="S779" s="19" t="str">
        <f t="shared" si="25"/>
        <v>Summer</v>
      </c>
    </row>
    <row r="780" spans="1:19" x14ac:dyDescent="0.3">
      <c r="A780" s="13" t="s">
        <v>957</v>
      </c>
      <c r="B780" s="13" t="s">
        <v>28</v>
      </c>
      <c r="C780" s="5" t="s">
        <v>34</v>
      </c>
      <c r="D780" s="5" t="s">
        <v>51</v>
      </c>
      <c r="E780" s="5" t="s">
        <v>59</v>
      </c>
      <c r="F780" s="5" t="s">
        <v>64</v>
      </c>
      <c r="G780" s="5" t="s">
        <v>76</v>
      </c>
      <c r="H780" s="38">
        <v>1955.12</v>
      </c>
      <c r="I780" s="14">
        <v>0.3</v>
      </c>
      <c r="J780" s="38">
        <v>1368.5840000000001</v>
      </c>
      <c r="K780" s="5">
        <v>5</v>
      </c>
      <c r="L780" s="62">
        <f>Table1[[#This Row],[Final_Unit_Price]]*Table1[[#This Row],[Quantity]]</f>
        <v>6842.92</v>
      </c>
      <c r="M780" s="60">
        <v>2395.02</v>
      </c>
      <c r="N780" s="43">
        <v>45815</v>
      </c>
      <c r="O780" s="18" t="str">
        <f>TEXT(Table1[[#This Row],[Order_Date]],"mmm")</f>
        <v>Jun</v>
      </c>
      <c r="P780" s="18">
        <f t="shared" si="24"/>
        <v>2025</v>
      </c>
      <c r="Q780" s="45">
        <v>45821</v>
      </c>
      <c r="R780" s="19">
        <f>'Cleaned Data'!$Q780-'Cleaned Data'!$N780</f>
        <v>6</v>
      </c>
      <c r="S780" s="19" t="str">
        <f t="shared" si="25"/>
        <v>Monsoon</v>
      </c>
    </row>
    <row r="781" spans="1:19" x14ac:dyDescent="0.3">
      <c r="A781" s="11" t="s">
        <v>958</v>
      </c>
      <c r="B781" s="11" t="s">
        <v>20</v>
      </c>
      <c r="C781" s="3" t="s">
        <v>32</v>
      </c>
      <c r="D781" s="3" t="s">
        <v>40</v>
      </c>
      <c r="E781" s="3" t="s">
        <v>59</v>
      </c>
      <c r="F781" s="3" t="s">
        <v>61</v>
      </c>
      <c r="G781" s="3" t="s">
        <v>71</v>
      </c>
      <c r="H781" s="37">
        <v>34628.129999999997</v>
      </c>
      <c r="I781" s="12">
        <v>0</v>
      </c>
      <c r="J781" s="37">
        <v>34628.129999999997</v>
      </c>
      <c r="K781" s="3">
        <v>5</v>
      </c>
      <c r="L781" s="61">
        <f>Table1[[#This Row],[Final_Unit_Price]]*Table1[[#This Row],[Quantity]]</f>
        <v>173140.65</v>
      </c>
      <c r="M781" s="59">
        <v>60599.23</v>
      </c>
      <c r="N781" s="42">
        <v>45775</v>
      </c>
      <c r="O781" s="20" t="str">
        <f>TEXT(Table1[[#This Row],[Order_Date]],"mmm")</f>
        <v>Apr</v>
      </c>
      <c r="P781" s="20">
        <f t="shared" si="24"/>
        <v>2025</v>
      </c>
      <c r="Q781" s="46">
        <v>45782</v>
      </c>
      <c r="R781" s="20">
        <f>'Cleaned Data'!$Q781-'Cleaned Data'!$N781</f>
        <v>7</v>
      </c>
      <c r="S781" s="19" t="str">
        <f t="shared" si="25"/>
        <v>Summer</v>
      </c>
    </row>
    <row r="782" spans="1:19" x14ac:dyDescent="0.3">
      <c r="A782" s="13" t="s">
        <v>959</v>
      </c>
      <c r="B782" s="13" t="s">
        <v>18</v>
      </c>
      <c r="C782" s="5" t="s">
        <v>33</v>
      </c>
      <c r="D782" s="5" t="s">
        <v>53</v>
      </c>
      <c r="E782" s="5" t="s">
        <v>58</v>
      </c>
      <c r="F782" s="5" t="s">
        <v>64</v>
      </c>
      <c r="G782" s="5" t="s">
        <v>76</v>
      </c>
      <c r="H782" s="38">
        <v>54554.81</v>
      </c>
      <c r="I782" s="14">
        <v>0.1</v>
      </c>
      <c r="J782" s="38">
        <v>49099.328999999998</v>
      </c>
      <c r="K782" s="5">
        <v>3</v>
      </c>
      <c r="L782" s="62">
        <f>Table1[[#This Row],[Final_Unit_Price]]*Table1[[#This Row],[Quantity]]</f>
        <v>147297.98699999999</v>
      </c>
      <c r="M782" s="60">
        <v>36824.5</v>
      </c>
      <c r="N782" s="43">
        <v>45354</v>
      </c>
      <c r="O782" s="18" t="str">
        <f>TEXT(Table1[[#This Row],[Order_Date]],"mmm")</f>
        <v>Mar</v>
      </c>
      <c r="P782" s="18">
        <f t="shared" si="24"/>
        <v>2024</v>
      </c>
      <c r="Q782" s="45">
        <v>45359</v>
      </c>
      <c r="R782" s="19">
        <f>'Cleaned Data'!$Q782-'Cleaned Data'!$N782</f>
        <v>5</v>
      </c>
      <c r="S782" s="19" t="str">
        <f t="shared" si="25"/>
        <v>Summer</v>
      </c>
    </row>
    <row r="783" spans="1:19" x14ac:dyDescent="0.3">
      <c r="A783" s="11" t="s">
        <v>960</v>
      </c>
      <c r="B783" s="11" t="s">
        <v>25</v>
      </c>
      <c r="C783" s="3" t="s">
        <v>34</v>
      </c>
      <c r="D783" s="3" t="s">
        <v>45</v>
      </c>
      <c r="E783" s="3" t="s">
        <v>59</v>
      </c>
      <c r="F783" s="3" t="s">
        <v>63</v>
      </c>
      <c r="G783" s="3" t="s">
        <v>75</v>
      </c>
      <c r="H783" s="37">
        <v>894.16</v>
      </c>
      <c r="I783" s="12">
        <v>0.25</v>
      </c>
      <c r="J783" s="37">
        <v>670.62</v>
      </c>
      <c r="K783" s="3">
        <v>7</v>
      </c>
      <c r="L783" s="61">
        <f>Table1[[#This Row],[Final_Unit_Price]]*Table1[[#This Row],[Quantity]]</f>
        <v>4694.34</v>
      </c>
      <c r="M783" s="59">
        <v>469.43</v>
      </c>
      <c r="N783" s="42">
        <v>45584</v>
      </c>
      <c r="O783" s="20" t="str">
        <f>TEXT(Table1[[#This Row],[Order_Date]],"mmm")</f>
        <v>Oct</v>
      </c>
      <c r="P783" s="20">
        <f t="shared" si="24"/>
        <v>2024</v>
      </c>
      <c r="Q783" s="46">
        <v>45591</v>
      </c>
      <c r="R783" s="20">
        <f>'Cleaned Data'!$Q783-'Cleaned Data'!$N783</f>
        <v>7</v>
      </c>
      <c r="S783" s="19" t="str">
        <f t="shared" si="25"/>
        <v>Winter</v>
      </c>
    </row>
    <row r="784" spans="1:19" x14ac:dyDescent="0.3">
      <c r="A784" s="13" t="s">
        <v>961</v>
      </c>
      <c r="B784" s="13" t="s">
        <v>28</v>
      </c>
      <c r="C784" s="5" t="s">
        <v>34</v>
      </c>
      <c r="D784" s="5" t="s">
        <v>51</v>
      </c>
      <c r="E784" s="5" t="s">
        <v>59</v>
      </c>
      <c r="F784" s="5" t="s">
        <v>62</v>
      </c>
      <c r="G784" s="5" t="s">
        <v>69</v>
      </c>
      <c r="H784" s="38">
        <v>1955.5</v>
      </c>
      <c r="I784" s="14">
        <v>0.2</v>
      </c>
      <c r="J784" s="38">
        <v>1564.4</v>
      </c>
      <c r="K784" s="5">
        <v>9</v>
      </c>
      <c r="L784" s="62">
        <f>Table1[[#This Row],[Final_Unit_Price]]*Table1[[#This Row],[Quantity]]</f>
        <v>14079.6</v>
      </c>
      <c r="M784" s="60">
        <v>2190.16</v>
      </c>
      <c r="N784" s="43">
        <v>45678</v>
      </c>
      <c r="O784" s="18" t="str">
        <f>TEXT(Table1[[#This Row],[Order_Date]],"mmm")</f>
        <v>Jan</v>
      </c>
      <c r="P784" s="18">
        <f t="shared" si="24"/>
        <v>2025</v>
      </c>
      <c r="Q784" s="45">
        <v>45683</v>
      </c>
      <c r="R784" s="19">
        <f>'Cleaned Data'!$Q784-'Cleaned Data'!$N784</f>
        <v>5</v>
      </c>
      <c r="S784" s="19" t="str">
        <f t="shared" si="25"/>
        <v>Winter</v>
      </c>
    </row>
    <row r="785" spans="1:19" x14ac:dyDescent="0.3">
      <c r="A785" s="11" t="s">
        <v>962</v>
      </c>
      <c r="B785" s="11" t="s">
        <v>17</v>
      </c>
      <c r="C785" s="3" t="s">
        <v>32</v>
      </c>
      <c r="D785" s="3" t="s">
        <v>54</v>
      </c>
      <c r="E785" s="3" t="s">
        <v>60</v>
      </c>
      <c r="F785" s="3" t="s">
        <v>64</v>
      </c>
      <c r="G785" s="3" t="s">
        <v>76</v>
      </c>
      <c r="H785" s="37">
        <v>7697.86</v>
      </c>
      <c r="I785" s="12">
        <v>0.25</v>
      </c>
      <c r="J785" s="37">
        <v>5773.3950000000004</v>
      </c>
      <c r="K785" s="3">
        <v>5</v>
      </c>
      <c r="L785" s="61">
        <f>Table1[[#This Row],[Final_Unit_Price]]*Table1[[#This Row],[Quantity]]</f>
        <v>28866.975000000002</v>
      </c>
      <c r="M785" s="59">
        <v>4330.05</v>
      </c>
      <c r="N785" s="42">
        <v>45306</v>
      </c>
      <c r="O785" s="20" t="str">
        <f>TEXT(Table1[[#This Row],[Order_Date]],"mmm")</f>
        <v>Jan</v>
      </c>
      <c r="P785" s="20">
        <f t="shared" si="24"/>
        <v>2024</v>
      </c>
      <c r="Q785" s="46">
        <v>45311</v>
      </c>
      <c r="R785" s="20">
        <f>'Cleaned Data'!$Q785-'Cleaned Data'!$N785</f>
        <v>5</v>
      </c>
      <c r="S785" s="19" t="str">
        <f t="shared" si="25"/>
        <v>Winter</v>
      </c>
    </row>
    <row r="786" spans="1:19" x14ac:dyDescent="0.3">
      <c r="A786" s="13" t="s">
        <v>963</v>
      </c>
      <c r="B786" s="13" t="s">
        <v>28</v>
      </c>
      <c r="C786" s="5" t="s">
        <v>34</v>
      </c>
      <c r="D786" s="5" t="s">
        <v>41</v>
      </c>
      <c r="E786" s="5" t="s">
        <v>60</v>
      </c>
      <c r="F786" s="5" t="s">
        <v>61</v>
      </c>
      <c r="G786" s="5" t="s">
        <v>70</v>
      </c>
      <c r="H786" s="38">
        <v>1288.1500000000001</v>
      </c>
      <c r="I786" s="14">
        <v>0.2</v>
      </c>
      <c r="J786" s="38">
        <v>1030.52</v>
      </c>
      <c r="K786" s="5">
        <v>3</v>
      </c>
      <c r="L786" s="62">
        <f>Table1[[#This Row],[Final_Unit_Price]]*Table1[[#This Row],[Quantity]]</f>
        <v>3091.56</v>
      </c>
      <c r="M786" s="60">
        <v>463.73</v>
      </c>
      <c r="N786" s="43">
        <v>45475</v>
      </c>
      <c r="O786" s="18" t="str">
        <f>TEXT(Table1[[#This Row],[Order_Date]],"mmm")</f>
        <v>Jul</v>
      </c>
      <c r="P786" s="18">
        <f t="shared" si="24"/>
        <v>2024</v>
      </c>
      <c r="Q786" s="45">
        <v>45482</v>
      </c>
      <c r="R786" s="19">
        <f>'Cleaned Data'!$Q786-'Cleaned Data'!$N786</f>
        <v>7</v>
      </c>
      <c r="S786" s="19" t="str">
        <f t="shared" si="25"/>
        <v>Monsoon</v>
      </c>
    </row>
    <row r="787" spans="1:19" x14ac:dyDescent="0.3">
      <c r="A787" s="11" t="s">
        <v>964</v>
      </c>
      <c r="B787" s="11" t="s">
        <v>22</v>
      </c>
      <c r="C787" s="3" t="s">
        <v>31</v>
      </c>
      <c r="D787" s="3" t="s">
        <v>42</v>
      </c>
      <c r="E787" s="3" t="s">
        <v>60</v>
      </c>
      <c r="F787" s="3" t="s">
        <v>61</v>
      </c>
      <c r="G787" s="3" t="s">
        <v>71</v>
      </c>
      <c r="H787" s="37">
        <v>2973.05</v>
      </c>
      <c r="I787" s="12">
        <v>0.3</v>
      </c>
      <c r="J787" s="37">
        <v>2081.1350000000002</v>
      </c>
      <c r="K787" s="3">
        <v>2</v>
      </c>
      <c r="L787" s="61">
        <f>Table1[[#This Row],[Final_Unit_Price]]*Table1[[#This Row],[Quantity]]</f>
        <v>4162.2700000000004</v>
      </c>
      <c r="M787" s="59">
        <v>624.34</v>
      </c>
      <c r="N787" s="42">
        <v>45450</v>
      </c>
      <c r="O787" s="20" t="str">
        <f>TEXT(Table1[[#This Row],[Order_Date]],"mmm")</f>
        <v>Jun</v>
      </c>
      <c r="P787" s="20">
        <f t="shared" si="24"/>
        <v>2024</v>
      </c>
      <c r="Q787" s="46">
        <v>45453</v>
      </c>
      <c r="R787" s="20">
        <f>'Cleaned Data'!$Q787-'Cleaned Data'!$N787</f>
        <v>3</v>
      </c>
      <c r="S787" s="19" t="str">
        <f t="shared" si="25"/>
        <v>Monsoon</v>
      </c>
    </row>
    <row r="788" spans="1:19" x14ac:dyDescent="0.3">
      <c r="A788" s="13" t="s">
        <v>965</v>
      </c>
      <c r="B788" s="13" t="s">
        <v>17</v>
      </c>
      <c r="C788" s="5" t="s">
        <v>32</v>
      </c>
      <c r="D788" s="5" t="s">
        <v>40</v>
      </c>
      <c r="E788" s="5" t="s">
        <v>59</v>
      </c>
      <c r="F788" s="5" t="s">
        <v>62</v>
      </c>
      <c r="G788" s="5" t="s">
        <v>66</v>
      </c>
      <c r="H788" s="38">
        <v>9559.49</v>
      </c>
      <c r="I788" s="14">
        <v>0.1</v>
      </c>
      <c r="J788" s="38">
        <v>8603.5409999999993</v>
      </c>
      <c r="K788" s="5">
        <v>2</v>
      </c>
      <c r="L788" s="62">
        <f>Table1[[#This Row],[Final_Unit_Price]]*Table1[[#This Row],[Quantity]]</f>
        <v>17207.081999999999</v>
      </c>
      <c r="M788" s="60">
        <v>6022.48</v>
      </c>
      <c r="N788" s="43">
        <v>45773</v>
      </c>
      <c r="O788" s="18" t="str">
        <f>TEXT(Table1[[#This Row],[Order_Date]],"mmm")</f>
        <v>Apr</v>
      </c>
      <c r="P788" s="18">
        <f t="shared" si="24"/>
        <v>2025</v>
      </c>
      <c r="Q788" s="45">
        <v>45779</v>
      </c>
      <c r="R788" s="19">
        <f>'Cleaned Data'!$Q788-'Cleaned Data'!$N788</f>
        <v>6</v>
      </c>
      <c r="S788" s="19" t="str">
        <f t="shared" si="25"/>
        <v>Summer</v>
      </c>
    </row>
    <row r="789" spans="1:19" x14ac:dyDescent="0.3">
      <c r="A789" s="11" t="s">
        <v>966</v>
      </c>
      <c r="B789" s="11" t="s">
        <v>27</v>
      </c>
      <c r="C789" s="3" t="s">
        <v>35</v>
      </c>
      <c r="D789" s="3" t="s">
        <v>44</v>
      </c>
      <c r="E789" s="3" t="s">
        <v>60</v>
      </c>
      <c r="F789" s="3" t="s">
        <v>64</v>
      </c>
      <c r="G789" s="3" t="s">
        <v>72</v>
      </c>
      <c r="H789" s="37">
        <v>7242.13</v>
      </c>
      <c r="I789" s="12">
        <v>0.2</v>
      </c>
      <c r="J789" s="37">
        <v>5793.7040000000006</v>
      </c>
      <c r="K789" s="3">
        <v>3</v>
      </c>
      <c r="L789" s="61">
        <f>Table1[[#This Row],[Final_Unit_Price]]*Table1[[#This Row],[Quantity]]</f>
        <v>17381.112000000001</v>
      </c>
      <c r="M789" s="59">
        <v>2607.17</v>
      </c>
      <c r="N789" s="42">
        <v>45468</v>
      </c>
      <c r="O789" s="20" t="str">
        <f>TEXT(Table1[[#This Row],[Order_Date]],"mmm")</f>
        <v>Jun</v>
      </c>
      <c r="P789" s="20">
        <f t="shared" si="24"/>
        <v>2024</v>
      </c>
      <c r="Q789" s="46">
        <v>45471</v>
      </c>
      <c r="R789" s="20">
        <f>'Cleaned Data'!$Q789-'Cleaned Data'!$N789</f>
        <v>3</v>
      </c>
      <c r="S789" s="19" t="str">
        <f t="shared" si="25"/>
        <v>Monsoon</v>
      </c>
    </row>
    <row r="790" spans="1:19" x14ac:dyDescent="0.3">
      <c r="A790" s="13" t="s">
        <v>967</v>
      </c>
      <c r="B790" s="13" t="s">
        <v>28</v>
      </c>
      <c r="C790" s="5" t="s">
        <v>34</v>
      </c>
      <c r="D790" s="5" t="s">
        <v>52</v>
      </c>
      <c r="E790" s="5" t="s">
        <v>60</v>
      </c>
      <c r="F790" s="5" t="s">
        <v>61</v>
      </c>
      <c r="G790" s="5" t="s">
        <v>65</v>
      </c>
      <c r="H790" s="38">
        <v>1269.46</v>
      </c>
      <c r="I790" s="14">
        <v>0.1</v>
      </c>
      <c r="J790" s="38">
        <v>1142.5139999999999</v>
      </c>
      <c r="K790" s="5">
        <v>4</v>
      </c>
      <c r="L790" s="62">
        <f>Table1[[#This Row],[Final_Unit_Price]]*Table1[[#This Row],[Quantity]]</f>
        <v>4570.0559999999996</v>
      </c>
      <c r="M790" s="60">
        <v>685.51</v>
      </c>
      <c r="N790" s="43">
        <v>45475</v>
      </c>
      <c r="O790" s="18" t="str">
        <f>TEXT(Table1[[#This Row],[Order_Date]],"mmm")</f>
        <v>Jul</v>
      </c>
      <c r="P790" s="18">
        <f t="shared" si="24"/>
        <v>2024</v>
      </c>
      <c r="Q790" s="45">
        <v>45478</v>
      </c>
      <c r="R790" s="19">
        <f>'Cleaned Data'!$Q790-'Cleaned Data'!$N790</f>
        <v>3</v>
      </c>
      <c r="S790" s="19" t="str">
        <f t="shared" si="25"/>
        <v>Monsoon</v>
      </c>
    </row>
    <row r="791" spans="1:19" x14ac:dyDescent="0.3">
      <c r="A791" s="11" t="s">
        <v>968</v>
      </c>
      <c r="B791" s="11" t="s">
        <v>26</v>
      </c>
      <c r="C791" s="3" t="s">
        <v>32</v>
      </c>
      <c r="D791" s="3" t="s">
        <v>43</v>
      </c>
      <c r="E791" s="3" t="s">
        <v>58</v>
      </c>
      <c r="F791" s="3" t="s">
        <v>61</v>
      </c>
      <c r="G791" s="3" t="s">
        <v>65</v>
      </c>
      <c r="H791" s="37">
        <v>34305.519999999997</v>
      </c>
      <c r="I791" s="12">
        <v>0</v>
      </c>
      <c r="J791" s="37">
        <v>34305.519999999997</v>
      </c>
      <c r="K791" s="3">
        <v>2</v>
      </c>
      <c r="L791" s="61">
        <f>Table1[[#This Row],[Final_Unit_Price]]*Table1[[#This Row],[Quantity]]</f>
        <v>68611.039999999994</v>
      </c>
      <c r="M791" s="59">
        <v>17152.759999999998</v>
      </c>
      <c r="N791" s="42">
        <v>45684</v>
      </c>
      <c r="O791" s="20" t="str">
        <f>TEXT(Table1[[#This Row],[Order_Date]],"mmm")</f>
        <v>Jan</v>
      </c>
      <c r="P791" s="20">
        <f t="shared" si="24"/>
        <v>2025</v>
      </c>
      <c r="Q791" s="46">
        <v>45693</v>
      </c>
      <c r="R791" s="20">
        <f>'Cleaned Data'!$Q791-'Cleaned Data'!$N791</f>
        <v>9</v>
      </c>
      <c r="S791" s="19" t="str">
        <f t="shared" si="25"/>
        <v>Winter</v>
      </c>
    </row>
    <row r="792" spans="1:19" x14ac:dyDescent="0.3">
      <c r="A792" s="13" t="s">
        <v>969</v>
      </c>
      <c r="B792" s="13" t="s">
        <v>22</v>
      </c>
      <c r="C792" s="5" t="s">
        <v>31</v>
      </c>
      <c r="D792" s="5" t="s">
        <v>47</v>
      </c>
      <c r="E792" s="5" t="s">
        <v>59</v>
      </c>
      <c r="F792" s="5" t="s">
        <v>64</v>
      </c>
      <c r="G792" s="5" t="s">
        <v>76</v>
      </c>
      <c r="H792" s="38">
        <v>4601.13</v>
      </c>
      <c r="I792" s="14">
        <v>0.3</v>
      </c>
      <c r="J792" s="38">
        <v>3220.7910000000002</v>
      </c>
      <c r="K792" s="5">
        <v>5</v>
      </c>
      <c r="L792" s="62">
        <f>Table1[[#This Row],[Final_Unit_Price]]*Table1[[#This Row],[Quantity]]</f>
        <v>16103.955000000002</v>
      </c>
      <c r="M792" s="60">
        <v>5636.38</v>
      </c>
      <c r="N792" s="43">
        <v>45321</v>
      </c>
      <c r="O792" s="18" t="str">
        <f>TEXT(Table1[[#This Row],[Order_Date]],"mmm")</f>
        <v>Jan</v>
      </c>
      <c r="P792" s="18">
        <f t="shared" si="24"/>
        <v>2024</v>
      </c>
      <c r="Q792" s="45">
        <v>45323</v>
      </c>
      <c r="R792" s="19">
        <f>'Cleaned Data'!$Q792-'Cleaned Data'!$N792</f>
        <v>2</v>
      </c>
      <c r="S792" s="19" t="str">
        <f t="shared" si="25"/>
        <v>Winter</v>
      </c>
    </row>
    <row r="793" spans="1:19" x14ac:dyDescent="0.3">
      <c r="A793" s="11" t="s">
        <v>970</v>
      </c>
      <c r="B793" s="11" t="s">
        <v>25</v>
      </c>
      <c r="C793" s="3" t="s">
        <v>34</v>
      </c>
      <c r="D793" s="3" t="s">
        <v>45</v>
      </c>
      <c r="E793" s="3" t="s">
        <v>59</v>
      </c>
      <c r="F793" s="3" t="s">
        <v>64</v>
      </c>
      <c r="G793" s="3" t="s">
        <v>72</v>
      </c>
      <c r="H793" s="37">
        <v>1032.45</v>
      </c>
      <c r="I793" s="12">
        <v>0.1</v>
      </c>
      <c r="J793" s="37">
        <v>929.20500000000004</v>
      </c>
      <c r="K793" s="3">
        <v>5</v>
      </c>
      <c r="L793" s="61">
        <f>Table1[[#This Row],[Final_Unit_Price]]*Table1[[#This Row],[Quantity]]</f>
        <v>4646.0250000000005</v>
      </c>
      <c r="M793" s="59">
        <v>1626.11</v>
      </c>
      <c r="N793" s="42">
        <v>45563</v>
      </c>
      <c r="O793" s="20" t="str">
        <f>TEXT(Table1[[#This Row],[Order_Date]],"mmm")</f>
        <v>Sep</v>
      </c>
      <c r="P793" s="20">
        <f t="shared" si="24"/>
        <v>2024</v>
      </c>
      <c r="Q793" s="46">
        <v>45572</v>
      </c>
      <c r="R793" s="20">
        <f>'Cleaned Data'!$Q793-'Cleaned Data'!$N793</f>
        <v>9</v>
      </c>
      <c r="S793" s="19" t="str">
        <f t="shared" si="25"/>
        <v>Monsoon</v>
      </c>
    </row>
    <row r="794" spans="1:19" x14ac:dyDescent="0.3">
      <c r="A794" s="13" t="s">
        <v>971</v>
      </c>
      <c r="B794" s="13" t="s">
        <v>27</v>
      </c>
      <c r="C794" s="5" t="s">
        <v>35</v>
      </c>
      <c r="D794" s="5" t="s">
        <v>46</v>
      </c>
      <c r="E794" s="5" t="s">
        <v>59</v>
      </c>
      <c r="F794" s="5" t="s">
        <v>62</v>
      </c>
      <c r="G794" s="5" t="s">
        <v>69</v>
      </c>
      <c r="H794" s="38">
        <v>10472.91</v>
      </c>
      <c r="I794" s="14">
        <v>0.2</v>
      </c>
      <c r="J794" s="38">
        <v>8378.3279999999995</v>
      </c>
      <c r="K794" s="5">
        <v>2</v>
      </c>
      <c r="L794" s="62">
        <f>Table1[[#This Row],[Final_Unit_Price]]*Table1[[#This Row],[Quantity]]</f>
        <v>16756.655999999999</v>
      </c>
      <c r="M794" s="60">
        <v>5864.83</v>
      </c>
      <c r="N794" s="43">
        <v>45526</v>
      </c>
      <c r="O794" s="18" t="str">
        <f>TEXT(Table1[[#This Row],[Order_Date]],"mmm")</f>
        <v>Aug</v>
      </c>
      <c r="P794" s="18">
        <f t="shared" si="24"/>
        <v>2024</v>
      </c>
      <c r="Q794" s="45">
        <v>45532</v>
      </c>
      <c r="R794" s="19">
        <f>'Cleaned Data'!$Q794-'Cleaned Data'!$N794</f>
        <v>6</v>
      </c>
      <c r="S794" s="19" t="str">
        <f t="shared" si="25"/>
        <v>Monsoon</v>
      </c>
    </row>
    <row r="795" spans="1:19" x14ac:dyDescent="0.3">
      <c r="A795" s="11" t="s">
        <v>972</v>
      </c>
      <c r="B795" s="11" t="s">
        <v>19</v>
      </c>
      <c r="C795" s="3" t="s">
        <v>33</v>
      </c>
      <c r="D795" s="3" t="s">
        <v>57</v>
      </c>
      <c r="E795" s="3" t="s">
        <v>60</v>
      </c>
      <c r="F795" s="3" t="s">
        <v>61</v>
      </c>
      <c r="G795" s="3" t="s">
        <v>71</v>
      </c>
      <c r="H795" s="37">
        <v>1713.41</v>
      </c>
      <c r="I795" s="12">
        <v>0.05</v>
      </c>
      <c r="J795" s="37">
        <v>1627.7394999999999</v>
      </c>
      <c r="K795" s="3">
        <v>4</v>
      </c>
      <c r="L795" s="61">
        <f>Table1[[#This Row],[Final_Unit_Price]]*Table1[[#This Row],[Quantity]]</f>
        <v>6510.9579999999996</v>
      </c>
      <c r="M795" s="59">
        <v>976.64</v>
      </c>
      <c r="N795" s="42">
        <v>45719</v>
      </c>
      <c r="O795" s="20" t="str">
        <f>TEXT(Table1[[#This Row],[Order_Date]],"mmm")</f>
        <v>Mar</v>
      </c>
      <c r="P795" s="20">
        <f t="shared" si="24"/>
        <v>2025</v>
      </c>
      <c r="Q795" s="46">
        <v>45728</v>
      </c>
      <c r="R795" s="20">
        <f>'Cleaned Data'!$Q795-'Cleaned Data'!$N795</f>
        <v>9</v>
      </c>
      <c r="S795" s="19" t="str">
        <f t="shared" si="25"/>
        <v>Summer</v>
      </c>
    </row>
    <row r="796" spans="1:19" x14ac:dyDescent="0.3">
      <c r="A796" s="13" t="s">
        <v>973</v>
      </c>
      <c r="B796" s="13" t="s">
        <v>18</v>
      </c>
      <c r="C796" s="5" t="s">
        <v>33</v>
      </c>
      <c r="D796" s="5" t="s">
        <v>56</v>
      </c>
      <c r="E796" s="5" t="s">
        <v>60</v>
      </c>
      <c r="F796" s="5" t="s">
        <v>62</v>
      </c>
      <c r="G796" s="5" t="s">
        <v>69</v>
      </c>
      <c r="H796" s="38">
        <v>43823</v>
      </c>
      <c r="I796" s="14">
        <v>0.2</v>
      </c>
      <c r="J796" s="38">
        <v>35058.400000000001</v>
      </c>
      <c r="K796" s="5">
        <v>4</v>
      </c>
      <c r="L796" s="62">
        <f>Table1[[#This Row],[Final_Unit_Price]]*Table1[[#This Row],[Quantity]]</f>
        <v>140233.60000000001</v>
      </c>
      <c r="M796" s="60">
        <v>21035.040000000001</v>
      </c>
      <c r="N796" s="43">
        <v>45836</v>
      </c>
      <c r="O796" s="18" t="str">
        <f>TEXT(Table1[[#This Row],[Order_Date]],"mmm")</f>
        <v>Jun</v>
      </c>
      <c r="P796" s="18">
        <f t="shared" si="24"/>
        <v>2025</v>
      </c>
      <c r="Q796" s="45">
        <v>45845</v>
      </c>
      <c r="R796" s="19">
        <f>'Cleaned Data'!$Q796-'Cleaned Data'!$N796</f>
        <v>9</v>
      </c>
      <c r="S796" s="19" t="str">
        <f t="shared" si="25"/>
        <v>Monsoon</v>
      </c>
    </row>
    <row r="797" spans="1:19" x14ac:dyDescent="0.3">
      <c r="A797" s="11" t="s">
        <v>974</v>
      </c>
      <c r="B797" s="11" t="s">
        <v>26</v>
      </c>
      <c r="C797" s="3" t="s">
        <v>32</v>
      </c>
      <c r="D797" s="3" t="s">
        <v>37</v>
      </c>
      <c r="E797" s="3" t="s">
        <v>59</v>
      </c>
      <c r="F797" s="3" t="s">
        <v>61</v>
      </c>
      <c r="G797" s="3" t="s">
        <v>70</v>
      </c>
      <c r="H797" s="37">
        <v>42414.13</v>
      </c>
      <c r="I797" s="12">
        <v>0</v>
      </c>
      <c r="J797" s="37">
        <v>42414.13</v>
      </c>
      <c r="K797" s="3">
        <v>4</v>
      </c>
      <c r="L797" s="61">
        <f>Table1[[#This Row],[Final_Unit_Price]]*Table1[[#This Row],[Quantity]]</f>
        <v>169656.52</v>
      </c>
      <c r="M797" s="59">
        <v>59379.78</v>
      </c>
      <c r="N797" s="42">
        <v>45722</v>
      </c>
      <c r="O797" s="20" t="str">
        <f>TEXT(Table1[[#This Row],[Order_Date]],"mmm")</f>
        <v>Mar</v>
      </c>
      <c r="P797" s="20">
        <f t="shared" si="24"/>
        <v>2025</v>
      </c>
      <c r="Q797" s="46">
        <v>45725</v>
      </c>
      <c r="R797" s="20">
        <f>'Cleaned Data'!$Q797-'Cleaned Data'!$N797</f>
        <v>3</v>
      </c>
      <c r="S797" s="19" t="str">
        <f t="shared" si="25"/>
        <v>Summer</v>
      </c>
    </row>
    <row r="798" spans="1:19" x14ac:dyDescent="0.3">
      <c r="A798" s="13" t="s">
        <v>975</v>
      </c>
      <c r="B798" s="13" t="s">
        <v>24</v>
      </c>
      <c r="C798" s="5" t="s">
        <v>32</v>
      </c>
      <c r="D798" s="5" t="s">
        <v>37</v>
      </c>
      <c r="E798" s="5" t="s">
        <v>59</v>
      </c>
      <c r="F798" s="5" t="s">
        <v>62</v>
      </c>
      <c r="G798" s="5" t="s">
        <v>66</v>
      </c>
      <c r="H798" s="38">
        <v>31935.78</v>
      </c>
      <c r="I798" s="14">
        <v>0.1</v>
      </c>
      <c r="J798" s="38">
        <v>28742.202000000001</v>
      </c>
      <c r="K798" s="5">
        <v>1</v>
      </c>
      <c r="L798" s="62">
        <f>Table1[[#This Row],[Final_Unit_Price]]*Table1[[#This Row],[Quantity]]</f>
        <v>28742.202000000001</v>
      </c>
      <c r="M798" s="60">
        <v>10059.77</v>
      </c>
      <c r="N798" s="43">
        <v>45852</v>
      </c>
      <c r="O798" s="18" t="str">
        <f>TEXT(Table1[[#This Row],[Order_Date]],"mmm")</f>
        <v>Jul</v>
      </c>
      <c r="P798" s="18">
        <f t="shared" si="24"/>
        <v>2025</v>
      </c>
      <c r="Q798" s="45">
        <v>45858</v>
      </c>
      <c r="R798" s="19">
        <f>'Cleaned Data'!$Q798-'Cleaned Data'!$N798</f>
        <v>6</v>
      </c>
      <c r="S798" s="19" t="str">
        <f t="shared" si="25"/>
        <v>Monsoon</v>
      </c>
    </row>
    <row r="799" spans="1:19" x14ac:dyDescent="0.3">
      <c r="A799" s="11" t="s">
        <v>976</v>
      </c>
      <c r="B799" s="11" t="s">
        <v>27</v>
      </c>
      <c r="C799" s="3" t="s">
        <v>35</v>
      </c>
      <c r="D799" s="3" t="s">
        <v>48</v>
      </c>
      <c r="E799" s="3" t="s">
        <v>58</v>
      </c>
      <c r="F799" s="3" t="s">
        <v>63</v>
      </c>
      <c r="G799" s="3" t="s">
        <v>75</v>
      </c>
      <c r="H799" s="37">
        <v>7563.04</v>
      </c>
      <c r="I799" s="12">
        <v>0</v>
      </c>
      <c r="J799" s="37">
        <v>7563.04</v>
      </c>
      <c r="K799" s="3">
        <v>2</v>
      </c>
      <c r="L799" s="61">
        <f>Table1[[#This Row],[Final_Unit_Price]]*Table1[[#This Row],[Quantity]]</f>
        <v>15126.08</v>
      </c>
      <c r="M799" s="59">
        <v>3781.52</v>
      </c>
      <c r="N799" s="42">
        <v>45360</v>
      </c>
      <c r="O799" s="20" t="str">
        <f>TEXT(Table1[[#This Row],[Order_Date]],"mmm")</f>
        <v>Mar</v>
      </c>
      <c r="P799" s="20">
        <f t="shared" si="24"/>
        <v>2024</v>
      </c>
      <c r="Q799" s="46">
        <v>45365</v>
      </c>
      <c r="R799" s="20">
        <f>'Cleaned Data'!$Q799-'Cleaned Data'!$N799</f>
        <v>5</v>
      </c>
      <c r="S799" s="19" t="str">
        <f t="shared" si="25"/>
        <v>Summer</v>
      </c>
    </row>
    <row r="800" spans="1:19" x14ac:dyDescent="0.3">
      <c r="A800" s="13" t="s">
        <v>977</v>
      </c>
      <c r="B800" s="13" t="s">
        <v>18</v>
      </c>
      <c r="C800" s="5" t="s">
        <v>33</v>
      </c>
      <c r="D800" s="5" t="s">
        <v>50</v>
      </c>
      <c r="E800" s="5" t="s">
        <v>59</v>
      </c>
      <c r="F800" s="5" t="s">
        <v>63</v>
      </c>
      <c r="G800" s="5" t="s">
        <v>68</v>
      </c>
      <c r="H800" s="38">
        <v>58182.3</v>
      </c>
      <c r="I800" s="14">
        <v>0.05</v>
      </c>
      <c r="J800" s="38">
        <v>55273.184999999998</v>
      </c>
      <c r="K800" s="5">
        <v>5</v>
      </c>
      <c r="L800" s="62">
        <f>Table1[[#This Row],[Final_Unit_Price]]*Table1[[#This Row],[Quantity]]</f>
        <v>276365.92499999999</v>
      </c>
      <c r="M800" s="60">
        <v>96728.07</v>
      </c>
      <c r="N800" s="43">
        <v>45418</v>
      </c>
      <c r="O800" s="18" t="str">
        <f>TEXT(Table1[[#This Row],[Order_Date]],"mmm")</f>
        <v>May</v>
      </c>
      <c r="P800" s="18">
        <f t="shared" si="24"/>
        <v>2024</v>
      </c>
      <c r="Q800" s="45">
        <v>45428</v>
      </c>
      <c r="R800" s="19">
        <f>'Cleaned Data'!$Q800-'Cleaned Data'!$N800</f>
        <v>10</v>
      </c>
      <c r="S800" s="19" t="str">
        <f t="shared" si="25"/>
        <v>Summer</v>
      </c>
    </row>
    <row r="801" spans="1:19" x14ac:dyDescent="0.3">
      <c r="A801" s="11" t="s">
        <v>978</v>
      </c>
      <c r="B801" s="11" t="s">
        <v>25</v>
      </c>
      <c r="C801" s="3" t="s">
        <v>34</v>
      </c>
      <c r="D801" s="3" t="s">
        <v>52</v>
      </c>
      <c r="E801" s="3" t="s">
        <v>60</v>
      </c>
      <c r="F801" s="3" t="s">
        <v>62</v>
      </c>
      <c r="G801" s="3" t="s">
        <v>67</v>
      </c>
      <c r="H801" s="37">
        <v>736.53</v>
      </c>
      <c r="I801" s="12">
        <v>0.2</v>
      </c>
      <c r="J801" s="37">
        <v>589.22400000000005</v>
      </c>
      <c r="K801" s="3">
        <v>3</v>
      </c>
      <c r="L801" s="61">
        <f>Table1[[#This Row],[Final_Unit_Price]]*Table1[[#This Row],[Quantity]]</f>
        <v>1767.672</v>
      </c>
      <c r="M801" s="59">
        <v>265.14999999999998</v>
      </c>
      <c r="N801" s="42">
        <v>45565</v>
      </c>
      <c r="O801" s="20" t="str">
        <f>TEXT(Table1[[#This Row],[Order_Date]],"mmm")</f>
        <v>Sep</v>
      </c>
      <c r="P801" s="20">
        <f t="shared" si="24"/>
        <v>2024</v>
      </c>
      <c r="Q801" s="46">
        <v>45567</v>
      </c>
      <c r="R801" s="20">
        <f>'Cleaned Data'!$Q801-'Cleaned Data'!$N801</f>
        <v>2</v>
      </c>
      <c r="S801" s="19" t="str">
        <f t="shared" si="25"/>
        <v>Monsoon</v>
      </c>
    </row>
    <row r="802" spans="1:19" x14ac:dyDescent="0.3">
      <c r="A802" s="13" t="s">
        <v>979</v>
      </c>
      <c r="B802" s="13" t="s">
        <v>27</v>
      </c>
      <c r="C802" s="5" t="s">
        <v>35</v>
      </c>
      <c r="D802" s="5" t="s">
        <v>44</v>
      </c>
      <c r="E802" s="5" t="s">
        <v>60</v>
      </c>
      <c r="F802" s="5" t="s">
        <v>61</v>
      </c>
      <c r="G802" s="5" t="s">
        <v>71</v>
      </c>
      <c r="H802" s="38">
        <v>6994.85</v>
      </c>
      <c r="I802" s="14">
        <v>0.15</v>
      </c>
      <c r="J802" s="38">
        <v>5945.6225000000004</v>
      </c>
      <c r="K802" s="5">
        <v>2</v>
      </c>
      <c r="L802" s="62">
        <f>Table1[[#This Row],[Final_Unit_Price]]*Table1[[#This Row],[Quantity]]</f>
        <v>11891.245000000001</v>
      </c>
      <c r="M802" s="60">
        <v>1783.69</v>
      </c>
      <c r="N802" s="43">
        <v>45401</v>
      </c>
      <c r="O802" s="18" t="str">
        <f>TEXT(Table1[[#This Row],[Order_Date]],"mmm")</f>
        <v>Apr</v>
      </c>
      <c r="P802" s="18">
        <f t="shared" si="24"/>
        <v>2024</v>
      </c>
      <c r="Q802" s="45">
        <v>45405</v>
      </c>
      <c r="R802" s="19">
        <f>'Cleaned Data'!$Q802-'Cleaned Data'!$N802</f>
        <v>4</v>
      </c>
      <c r="S802" s="19" t="str">
        <f t="shared" si="25"/>
        <v>Summer</v>
      </c>
    </row>
    <row r="803" spans="1:19" x14ac:dyDescent="0.3">
      <c r="A803" s="11" t="s">
        <v>980</v>
      </c>
      <c r="B803" s="11" t="s">
        <v>26</v>
      </c>
      <c r="C803" s="3" t="s">
        <v>32</v>
      </c>
      <c r="D803" s="3" t="s">
        <v>40</v>
      </c>
      <c r="E803" s="3" t="s">
        <v>59</v>
      </c>
      <c r="F803" s="3" t="s">
        <v>63</v>
      </c>
      <c r="G803" s="3" t="s">
        <v>73</v>
      </c>
      <c r="H803" s="37">
        <v>41157.39</v>
      </c>
      <c r="I803" s="12">
        <v>0.1</v>
      </c>
      <c r="J803" s="37">
        <v>37041.650999999998</v>
      </c>
      <c r="K803" s="3">
        <v>3</v>
      </c>
      <c r="L803" s="61">
        <f>Table1[[#This Row],[Final_Unit_Price]]*Table1[[#This Row],[Quantity]]</f>
        <v>111124.95299999999</v>
      </c>
      <c r="M803" s="59">
        <v>38893.730000000003</v>
      </c>
      <c r="N803" s="42">
        <v>45348</v>
      </c>
      <c r="O803" s="20" t="str">
        <f>TEXT(Table1[[#This Row],[Order_Date]],"mmm")</f>
        <v>Feb</v>
      </c>
      <c r="P803" s="20">
        <f t="shared" si="24"/>
        <v>2024</v>
      </c>
      <c r="Q803" s="46">
        <v>45356</v>
      </c>
      <c r="R803" s="20">
        <f>'Cleaned Data'!$Q803-'Cleaned Data'!$N803</f>
        <v>8</v>
      </c>
      <c r="S803" s="19" t="str">
        <f t="shared" si="25"/>
        <v>Summer</v>
      </c>
    </row>
    <row r="804" spans="1:19" x14ac:dyDescent="0.3">
      <c r="A804" s="13" t="s">
        <v>981</v>
      </c>
      <c r="B804" s="13" t="s">
        <v>20</v>
      </c>
      <c r="C804" s="5" t="s">
        <v>32</v>
      </c>
      <c r="D804" s="5" t="s">
        <v>37</v>
      </c>
      <c r="E804" s="5" t="s">
        <v>59</v>
      </c>
      <c r="F804" s="5" t="s">
        <v>63</v>
      </c>
      <c r="G804" s="5" t="s">
        <v>68</v>
      </c>
      <c r="H804" s="38">
        <v>34216.639999999999</v>
      </c>
      <c r="I804" s="14">
        <v>0.2</v>
      </c>
      <c r="J804" s="38">
        <v>27373.312000000002</v>
      </c>
      <c r="K804" s="5">
        <v>3</v>
      </c>
      <c r="L804" s="62">
        <f>Table1[[#This Row],[Final_Unit_Price]]*Table1[[#This Row],[Quantity]]</f>
        <v>82119.936000000002</v>
      </c>
      <c r="M804" s="60">
        <v>28741.98</v>
      </c>
      <c r="N804" s="43">
        <v>45340</v>
      </c>
      <c r="O804" s="18" t="str">
        <f>TEXT(Table1[[#This Row],[Order_Date]],"mmm")</f>
        <v>Feb</v>
      </c>
      <c r="P804" s="18">
        <f t="shared" si="24"/>
        <v>2024</v>
      </c>
      <c r="Q804" s="45">
        <v>45343</v>
      </c>
      <c r="R804" s="19">
        <f>'Cleaned Data'!$Q804-'Cleaned Data'!$N804</f>
        <v>3</v>
      </c>
      <c r="S804" s="19" t="str">
        <f t="shared" si="25"/>
        <v>Summer</v>
      </c>
    </row>
    <row r="805" spans="1:19" x14ac:dyDescent="0.3">
      <c r="A805" s="11" t="s">
        <v>982</v>
      </c>
      <c r="B805" s="11" t="s">
        <v>24</v>
      </c>
      <c r="C805" s="3" t="s">
        <v>32</v>
      </c>
      <c r="D805" s="3" t="s">
        <v>40</v>
      </c>
      <c r="E805" s="3" t="s">
        <v>59</v>
      </c>
      <c r="F805" s="3" t="s">
        <v>63</v>
      </c>
      <c r="G805" s="3" t="s">
        <v>68</v>
      </c>
      <c r="H805" s="37">
        <v>29629.7</v>
      </c>
      <c r="I805" s="12">
        <v>0.25</v>
      </c>
      <c r="J805" s="37">
        <v>22222.275000000001</v>
      </c>
      <c r="K805" s="3">
        <v>1</v>
      </c>
      <c r="L805" s="61">
        <f>Table1[[#This Row],[Final_Unit_Price]]*Table1[[#This Row],[Quantity]]</f>
        <v>22222.275000000001</v>
      </c>
      <c r="M805" s="59">
        <v>7777.8</v>
      </c>
      <c r="N805" s="42">
        <v>45522</v>
      </c>
      <c r="O805" s="20" t="str">
        <f>TEXT(Table1[[#This Row],[Order_Date]],"mmm")</f>
        <v>Aug</v>
      </c>
      <c r="P805" s="20">
        <f t="shared" si="24"/>
        <v>2024</v>
      </c>
      <c r="Q805" s="46">
        <v>45531</v>
      </c>
      <c r="R805" s="20">
        <f>'Cleaned Data'!$Q805-'Cleaned Data'!$N805</f>
        <v>9</v>
      </c>
      <c r="S805" s="19" t="str">
        <f t="shared" si="25"/>
        <v>Monsoon</v>
      </c>
    </row>
    <row r="806" spans="1:19" x14ac:dyDescent="0.3">
      <c r="A806" s="13" t="s">
        <v>983</v>
      </c>
      <c r="B806" s="13" t="s">
        <v>20</v>
      </c>
      <c r="C806" s="5" t="s">
        <v>32</v>
      </c>
      <c r="D806" s="5" t="s">
        <v>54</v>
      </c>
      <c r="E806" s="5" t="s">
        <v>60</v>
      </c>
      <c r="F806" s="5" t="s">
        <v>64</v>
      </c>
      <c r="G806" s="5" t="s">
        <v>74</v>
      </c>
      <c r="H806" s="38">
        <v>26357.91</v>
      </c>
      <c r="I806" s="14">
        <v>0.15</v>
      </c>
      <c r="J806" s="38">
        <v>22404.2235</v>
      </c>
      <c r="K806" s="5">
        <v>5</v>
      </c>
      <c r="L806" s="62">
        <f>Table1[[#This Row],[Final_Unit_Price]]*Table1[[#This Row],[Quantity]]</f>
        <v>112021.11749999999</v>
      </c>
      <c r="M806" s="60">
        <v>16803.169999999998</v>
      </c>
      <c r="N806" s="43">
        <v>45692</v>
      </c>
      <c r="O806" s="18" t="str">
        <f>TEXT(Table1[[#This Row],[Order_Date]],"mmm")</f>
        <v>Feb</v>
      </c>
      <c r="P806" s="18">
        <f t="shared" si="24"/>
        <v>2025</v>
      </c>
      <c r="Q806" s="45">
        <v>45702</v>
      </c>
      <c r="R806" s="19">
        <f>'Cleaned Data'!$Q806-'Cleaned Data'!$N806</f>
        <v>10</v>
      </c>
      <c r="S806" s="19" t="str">
        <f t="shared" si="25"/>
        <v>Summer</v>
      </c>
    </row>
    <row r="807" spans="1:19" x14ac:dyDescent="0.3">
      <c r="A807" s="11" t="s">
        <v>984</v>
      </c>
      <c r="B807" s="11" t="s">
        <v>29</v>
      </c>
      <c r="C807" s="3" t="s">
        <v>35</v>
      </c>
      <c r="D807" s="3" t="s">
        <v>38</v>
      </c>
      <c r="E807" s="3" t="s">
        <v>59</v>
      </c>
      <c r="F807" s="3" t="s">
        <v>62</v>
      </c>
      <c r="G807" s="3" t="s">
        <v>69</v>
      </c>
      <c r="H807" s="37">
        <v>22046.26</v>
      </c>
      <c r="I807" s="12">
        <v>0.2</v>
      </c>
      <c r="J807" s="37">
        <v>17637.008000000002</v>
      </c>
      <c r="K807" s="3">
        <v>1</v>
      </c>
      <c r="L807" s="61">
        <f>Table1[[#This Row],[Final_Unit_Price]]*Table1[[#This Row],[Quantity]]</f>
        <v>17637.008000000002</v>
      </c>
      <c r="M807" s="59">
        <v>6172.95</v>
      </c>
      <c r="N807" s="42">
        <v>45711</v>
      </c>
      <c r="O807" s="20" t="str">
        <f>TEXT(Table1[[#This Row],[Order_Date]],"mmm")</f>
        <v>Feb</v>
      </c>
      <c r="P807" s="20">
        <f t="shared" si="24"/>
        <v>2025</v>
      </c>
      <c r="Q807" s="46">
        <v>45717</v>
      </c>
      <c r="R807" s="20">
        <f>'Cleaned Data'!$Q807-'Cleaned Data'!$N807</f>
        <v>6</v>
      </c>
      <c r="S807" s="19" t="str">
        <f t="shared" si="25"/>
        <v>Summer</v>
      </c>
    </row>
    <row r="808" spans="1:19" x14ac:dyDescent="0.3">
      <c r="A808" s="13" t="s">
        <v>985</v>
      </c>
      <c r="B808" s="13" t="s">
        <v>26</v>
      </c>
      <c r="C808" s="5" t="s">
        <v>32</v>
      </c>
      <c r="D808" s="5" t="s">
        <v>43</v>
      </c>
      <c r="E808" s="5" t="s">
        <v>58</v>
      </c>
      <c r="F808" s="5" t="s">
        <v>63</v>
      </c>
      <c r="G808" s="5" t="s">
        <v>73</v>
      </c>
      <c r="H808" s="38">
        <v>32361</v>
      </c>
      <c r="I808" s="14">
        <v>0.25</v>
      </c>
      <c r="J808" s="38">
        <v>24270.75</v>
      </c>
      <c r="K808" s="5">
        <v>2</v>
      </c>
      <c r="L808" s="62">
        <f>Table1[[#This Row],[Final_Unit_Price]]*Table1[[#This Row],[Quantity]]</f>
        <v>48541.5</v>
      </c>
      <c r="M808" s="60">
        <v>12135.38</v>
      </c>
      <c r="N808" s="43">
        <v>45650</v>
      </c>
      <c r="O808" s="18" t="str">
        <f>TEXT(Table1[[#This Row],[Order_Date]],"mmm")</f>
        <v>Dec</v>
      </c>
      <c r="P808" s="18">
        <f t="shared" si="24"/>
        <v>2024</v>
      </c>
      <c r="Q808" s="45">
        <v>45653</v>
      </c>
      <c r="R808" s="19">
        <f>'Cleaned Data'!$Q808-'Cleaned Data'!$N808</f>
        <v>3</v>
      </c>
      <c r="S808" s="19" t="str">
        <f t="shared" si="25"/>
        <v>Winter</v>
      </c>
    </row>
    <row r="809" spans="1:19" x14ac:dyDescent="0.3">
      <c r="A809" s="11" t="s">
        <v>986</v>
      </c>
      <c r="B809" s="11" t="s">
        <v>21</v>
      </c>
      <c r="C809" s="3" t="s">
        <v>34</v>
      </c>
      <c r="D809" s="3" t="s">
        <v>52</v>
      </c>
      <c r="E809" s="3" t="s">
        <v>60</v>
      </c>
      <c r="F809" s="3" t="s">
        <v>64</v>
      </c>
      <c r="G809" s="3" t="s">
        <v>72</v>
      </c>
      <c r="H809" s="37">
        <v>2843.49</v>
      </c>
      <c r="I809" s="12">
        <v>0</v>
      </c>
      <c r="J809" s="37">
        <v>2843.49</v>
      </c>
      <c r="K809" s="3">
        <v>1</v>
      </c>
      <c r="L809" s="61">
        <f>Table1[[#This Row],[Final_Unit_Price]]*Table1[[#This Row],[Quantity]]</f>
        <v>2843.49</v>
      </c>
      <c r="M809" s="59">
        <v>426.52</v>
      </c>
      <c r="N809" s="42">
        <v>45838</v>
      </c>
      <c r="O809" s="20" t="str">
        <f>TEXT(Table1[[#This Row],[Order_Date]],"mmm")</f>
        <v>Jun</v>
      </c>
      <c r="P809" s="20">
        <f t="shared" si="24"/>
        <v>2025</v>
      </c>
      <c r="Q809" s="46">
        <v>45847</v>
      </c>
      <c r="R809" s="20">
        <f>'Cleaned Data'!$Q809-'Cleaned Data'!$N809</f>
        <v>9</v>
      </c>
      <c r="S809" s="19" t="str">
        <f t="shared" si="25"/>
        <v>Monsoon</v>
      </c>
    </row>
    <row r="810" spans="1:19" x14ac:dyDescent="0.3">
      <c r="A810" s="13" t="s">
        <v>987</v>
      </c>
      <c r="B810" s="13" t="s">
        <v>30</v>
      </c>
      <c r="C810" s="5" t="s">
        <v>33</v>
      </c>
      <c r="D810" s="5" t="s">
        <v>53</v>
      </c>
      <c r="E810" s="5" t="s">
        <v>58</v>
      </c>
      <c r="F810" s="5" t="s">
        <v>64</v>
      </c>
      <c r="G810" s="5" t="s">
        <v>74</v>
      </c>
      <c r="H810" s="38">
        <v>15823.08</v>
      </c>
      <c r="I810" s="14">
        <v>0.15</v>
      </c>
      <c r="J810" s="38">
        <v>13449.618</v>
      </c>
      <c r="K810" s="5">
        <v>5</v>
      </c>
      <c r="L810" s="62">
        <f>Table1[[#This Row],[Final_Unit_Price]]*Table1[[#This Row],[Quantity]]</f>
        <v>67248.09</v>
      </c>
      <c r="M810" s="60">
        <v>16812.02</v>
      </c>
      <c r="N810" s="43">
        <v>45335</v>
      </c>
      <c r="O810" s="18" t="str">
        <f>TEXT(Table1[[#This Row],[Order_Date]],"mmm")</f>
        <v>Feb</v>
      </c>
      <c r="P810" s="18">
        <f t="shared" si="24"/>
        <v>2024</v>
      </c>
      <c r="Q810" s="45">
        <v>45343</v>
      </c>
      <c r="R810" s="19">
        <f>'Cleaned Data'!$Q810-'Cleaned Data'!$N810</f>
        <v>8</v>
      </c>
      <c r="S810" s="19" t="str">
        <f t="shared" si="25"/>
        <v>Summer</v>
      </c>
    </row>
    <row r="811" spans="1:19" x14ac:dyDescent="0.3">
      <c r="A811" s="11" t="s">
        <v>988</v>
      </c>
      <c r="B811" s="11" t="s">
        <v>30</v>
      </c>
      <c r="C811" s="3" t="s">
        <v>33</v>
      </c>
      <c r="D811" s="3" t="s">
        <v>53</v>
      </c>
      <c r="E811" s="3" t="s">
        <v>58</v>
      </c>
      <c r="F811" s="3" t="s">
        <v>61</v>
      </c>
      <c r="G811" s="3" t="s">
        <v>65</v>
      </c>
      <c r="H811" s="37">
        <v>14394.88</v>
      </c>
      <c r="I811" s="12">
        <v>0.3</v>
      </c>
      <c r="J811" s="37">
        <v>10076.415999999999</v>
      </c>
      <c r="K811" s="3">
        <v>3</v>
      </c>
      <c r="L811" s="61">
        <f>Table1[[#This Row],[Final_Unit_Price]]*Table1[[#This Row],[Quantity]]</f>
        <v>30229.248</v>
      </c>
      <c r="M811" s="59">
        <v>7557.31</v>
      </c>
      <c r="N811" s="42">
        <v>45383</v>
      </c>
      <c r="O811" s="20" t="str">
        <f>TEXT(Table1[[#This Row],[Order_Date]],"mmm")</f>
        <v>Apr</v>
      </c>
      <c r="P811" s="20">
        <f t="shared" si="24"/>
        <v>2024</v>
      </c>
      <c r="Q811" s="46">
        <v>45386</v>
      </c>
      <c r="R811" s="20">
        <f>'Cleaned Data'!$Q811-'Cleaned Data'!$N811</f>
        <v>3</v>
      </c>
      <c r="S811" s="19" t="str">
        <f t="shared" si="25"/>
        <v>Summer</v>
      </c>
    </row>
    <row r="812" spans="1:19" x14ac:dyDescent="0.3">
      <c r="A812" s="13" t="s">
        <v>989</v>
      </c>
      <c r="B812" s="13" t="s">
        <v>25</v>
      </c>
      <c r="C812" s="5" t="s">
        <v>34</v>
      </c>
      <c r="D812" s="5" t="s">
        <v>51</v>
      </c>
      <c r="E812" s="5" t="s">
        <v>59</v>
      </c>
      <c r="F812" s="5" t="s">
        <v>61</v>
      </c>
      <c r="G812" s="5" t="s">
        <v>70</v>
      </c>
      <c r="H812" s="38">
        <v>959.07</v>
      </c>
      <c r="I812" s="14">
        <v>0.1</v>
      </c>
      <c r="J812" s="38">
        <v>863.16300000000001</v>
      </c>
      <c r="K812" s="5">
        <v>5</v>
      </c>
      <c r="L812" s="62">
        <f>Table1[[#This Row],[Final_Unit_Price]]*Table1[[#This Row],[Quantity]]</f>
        <v>4315.8150000000005</v>
      </c>
      <c r="M812" s="60">
        <v>1510.54</v>
      </c>
      <c r="N812" s="43">
        <v>45417</v>
      </c>
      <c r="O812" s="18" t="str">
        <f>TEXT(Table1[[#This Row],[Order_Date]],"mmm")</f>
        <v>May</v>
      </c>
      <c r="P812" s="18">
        <f t="shared" si="24"/>
        <v>2024</v>
      </c>
      <c r="Q812" s="45">
        <v>45425</v>
      </c>
      <c r="R812" s="19">
        <f>'Cleaned Data'!$Q812-'Cleaned Data'!$N812</f>
        <v>8</v>
      </c>
      <c r="S812" s="19" t="str">
        <f t="shared" si="25"/>
        <v>Summer</v>
      </c>
    </row>
    <row r="813" spans="1:19" x14ac:dyDescent="0.3">
      <c r="A813" s="11" t="s">
        <v>990</v>
      </c>
      <c r="B813" s="11" t="s">
        <v>30</v>
      </c>
      <c r="C813" s="3" t="s">
        <v>33</v>
      </c>
      <c r="D813" s="3" t="s">
        <v>50</v>
      </c>
      <c r="E813" s="3" t="s">
        <v>59</v>
      </c>
      <c r="F813" s="3" t="s">
        <v>63</v>
      </c>
      <c r="G813" s="3" t="s">
        <v>68</v>
      </c>
      <c r="H813" s="37">
        <v>17871.240000000002</v>
      </c>
      <c r="I813" s="12">
        <v>0.3</v>
      </c>
      <c r="J813" s="37">
        <v>12509.868</v>
      </c>
      <c r="K813" s="3">
        <v>4</v>
      </c>
      <c r="L813" s="61">
        <f>Table1[[#This Row],[Final_Unit_Price]]*Table1[[#This Row],[Quantity]]</f>
        <v>50039.472000000002</v>
      </c>
      <c r="M813" s="59">
        <v>17513.810000000001</v>
      </c>
      <c r="N813" s="42">
        <v>45569</v>
      </c>
      <c r="O813" s="20" t="str">
        <f>TEXT(Table1[[#This Row],[Order_Date]],"mmm")</f>
        <v>Oct</v>
      </c>
      <c r="P813" s="20">
        <f t="shared" si="24"/>
        <v>2024</v>
      </c>
      <c r="Q813" s="46">
        <v>45571</v>
      </c>
      <c r="R813" s="20">
        <f>'Cleaned Data'!$Q813-'Cleaned Data'!$N813</f>
        <v>2</v>
      </c>
      <c r="S813" s="19" t="str">
        <f t="shared" si="25"/>
        <v>Winter</v>
      </c>
    </row>
    <row r="814" spans="1:19" x14ac:dyDescent="0.3">
      <c r="A814" s="13" t="s">
        <v>991</v>
      </c>
      <c r="B814" s="13" t="s">
        <v>24</v>
      </c>
      <c r="C814" s="5" t="s">
        <v>32</v>
      </c>
      <c r="D814" s="5" t="s">
        <v>43</v>
      </c>
      <c r="E814" s="5" t="s">
        <v>58</v>
      </c>
      <c r="F814" s="5" t="s">
        <v>63</v>
      </c>
      <c r="G814" s="5" t="s">
        <v>68</v>
      </c>
      <c r="H814" s="38">
        <v>24892.28</v>
      </c>
      <c r="I814" s="14">
        <v>0.1</v>
      </c>
      <c r="J814" s="38">
        <v>22403.052</v>
      </c>
      <c r="K814" s="5">
        <v>5</v>
      </c>
      <c r="L814" s="62">
        <f>Table1[[#This Row],[Final_Unit_Price]]*Table1[[#This Row],[Quantity]]</f>
        <v>112015.26</v>
      </c>
      <c r="M814" s="60">
        <v>28003.81</v>
      </c>
      <c r="N814" s="43">
        <v>45535</v>
      </c>
      <c r="O814" s="18" t="str">
        <f>TEXT(Table1[[#This Row],[Order_Date]],"mmm")</f>
        <v>Aug</v>
      </c>
      <c r="P814" s="18">
        <f t="shared" si="24"/>
        <v>2024</v>
      </c>
      <c r="Q814" s="45">
        <v>45542</v>
      </c>
      <c r="R814" s="19">
        <f>'Cleaned Data'!$Q814-'Cleaned Data'!$N814</f>
        <v>7</v>
      </c>
      <c r="S814" s="19" t="str">
        <f t="shared" si="25"/>
        <v>Monsoon</v>
      </c>
    </row>
    <row r="815" spans="1:19" x14ac:dyDescent="0.3">
      <c r="A815" s="11" t="s">
        <v>992</v>
      </c>
      <c r="B815" s="11" t="s">
        <v>21</v>
      </c>
      <c r="C815" s="3" t="s">
        <v>34</v>
      </c>
      <c r="D815" s="3" t="s">
        <v>49</v>
      </c>
      <c r="E815" s="3" t="s">
        <v>59</v>
      </c>
      <c r="F815" s="3" t="s">
        <v>62</v>
      </c>
      <c r="G815" s="3" t="s">
        <v>69</v>
      </c>
      <c r="H815" s="37">
        <v>3662.53</v>
      </c>
      <c r="I815" s="12">
        <v>0.15</v>
      </c>
      <c r="J815" s="37">
        <v>3113.1505000000002</v>
      </c>
      <c r="K815" s="3">
        <v>5</v>
      </c>
      <c r="L815" s="61">
        <f>Table1[[#This Row],[Final_Unit_Price]]*Table1[[#This Row],[Quantity]]</f>
        <v>15565.752500000001</v>
      </c>
      <c r="M815" s="59">
        <v>5448.01</v>
      </c>
      <c r="N815" s="42">
        <v>45689</v>
      </c>
      <c r="O815" s="20" t="str">
        <f>TEXT(Table1[[#This Row],[Order_Date]],"mmm")</f>
        <v>Feb</v>
      </c>
      <c r="P815" s="20">
        <f t="shared" si="24"/>
        <v>2025</v>
      </c>
      <c r="Q815" s="46">
        <v>45695</v>
      </c>
      <c r="R815" s="20">
        <f>'Cleaned Data'!$Q815-'Cleaned Data'!$N815</f>
        <v>6</v>
      </c>
      <c r="S815" s="19" t="str">
        <f t="shared" si="25"/>
        <v>Summer</v>
      </c>
    </row>
    <row r="816" spans="1:19" x14ac:dyDescent="0.3">
      <c r="A816" s="13" t="s">
        <v>993</v>
      </c>
      <c r="B816" s="13" t="s">
        <v>20</v>
      </c>
      <c r="C816" s="5" t="s">
        <v>32</v>
      </c>
      <c r="D816" s="5" t="s">
        <v>40</v>
      </c>
      <c r="E816" s="5" t="s">
        <v>59</v>
      </c>
      <c r="F816" s="5" t="s">
        <v>64</v>
      </c>
      <c r="G816" s="5" t="s">
        <v>74</v>
      </c>
      <c r="H816" s="38">
        <v>39920.720000000001</v>
      </c>
      <c r="I816" s="14">
        <v>0.25</v>
      </c>
      <c r="J816" s="38">
        <v>29940.54</v>
      </c>
      <c r="K816" s="5">
        <v>3</v>
      </c>
      <c r="L816" s="62">
        <f>Table1[[#This Row],[Final_Unit_Price]]*Table1[[#This Row],[Quantity]]</f>
        <v>89821.62</v>
      </c>
      <c r="M816" s="60">
        <v>31437.57</v>
      </c>
      <c r="N816" s="43">
        <v>45390</v>
      </c>
      <c r="O816" s="18" t="str">
        <f>TEXT(Table1[[#This Row],[Order_Date]],"mmm")</f>
        <v>Apr</v>
      </c>
      <c r="P816" s="18">
        <f t="shared" si="24"/>
        <v>2024</v>
      </c>
      <c r="Q816" s="45">
        <v>45392</v>
      </c>
      <c r="R816" s="19">
        <f>'Cleaned Data'!$Q816-'Cleaned Data'!$N816</f>
        <v>2</v>
      </c>
      <c r="S816" s="19" t="str">
        <f t="shared" si="25"/>
        <v>Summer</v>
      </c>
    </row>
    <row r="817" spans="1:19" x14ac:dyDescent="0.3">
      <c r="A817" s="11" t="s">
        <v>994</v>
      </c>
      <c r="B817" s="11" t="s">
        <v>23</v>
      </c>
      <c r="C817" s="3" t="s">
        <v>35</v>
      </c>
      <c r="D817" s="3" t="s">
        <v>38</v>
      </c>
      <c r="E817" s="3" t="s">
        <v>59</v>
      </c>
      <c r="F817" s="3" t="s">
        <v>61</v>
      </c>
      <c r="G817" s="3" t="s">
        <v>65</v>
      </c>
      <c r="H817" s="37">
        <v>28293.45</v>
      </c>
      <c r="I817" s="12">
        <v>0.25</v>
      </c>
      <c r="J817" s="37">
        <v>21220.087500000001</v>
      </c>
      <c r="K817" s="3">
        <v>4</v>
      </c>
      <c r="L817" s="61">
        <f>Table1[[#This Row],[Final_Unit_Price]]*Table1[[#This Row],[Quantity]]</f>
        <v>84880.35</v>
      </c>
      <c r="M817" s="59">
        <v>29708.12</v>
      </c>
      <c r="N817" s="42">
        <v>45815</v>
      </c>
      <c r="O817" s="20" t="str">
        <f>TEXT(Table1[[#This Row],[Order_Date]],"mmm")</f>
        <v>Jun</v>
      </c>
      <c r="P817" s="20">
        <f t="shared" si="24"/>
        <v>2025</v>
      </c>
      <c r="Q817" s="46">
        <v>45817</v>
      </c>
      <c r="R817" s="20">
        <f>'Cleaned Data'!$Q817-'Cleaned Data'!$N817</f>
        <v>2</v>
      </c>
      <c r="S817" s="19" t="str">
        <f t="shared" si="25"/>
        <v>Monsoon</v>
      </c>
    </row>
    <row r="818" spans="1:19" x14ac:dyDescent="0.3">
      <c r="A818" s="13" t="s">
        <v>995</v>
      </c>
      <c r="B818" s="13" t="s">
        <v>27</v>
      </c>
      <c r="C818" s="5" t="s">
        <v>35</v>
      </c>
      <c r="D818" s="5" t="s">
        <v>46</v>
      </c>
      <c r="E818" s="5" t="s">
        <v>59</v>
      </c>
      <c r="F818" s="5" t="s">
        <v>61</v>
      </c>
      <c r="G818" s="5" t="s">
        <v>70</v>
      </c>
      <c r="H818" s="38">
        <v>9351.5499999999993</v>
      </c>
      <c r="I818" s="14">
        <v>0.25</v>
      </c>
      <c r="J818" s="38">
        <v>7013.6624999999995</v>
      </c>
      <c r="K818" s="5">
        <v>2</v>
      </c>
      <c r="L818" s="62">
        <f>Table1[[#This Row],[Final_Unit_Price]]*Table1[[#This Row],[Quantity]]</f>
        <v>14027.324999999999</v>
      </c>
      <c r="M818" s="60">
        <v>4909.5600000000004</v>
      </c>
      <c r="N818" s="43">
        <v>45688</v>
      </c>
      <c r="O818" s="18" t="str">
        <f>TEXT(Table1[[#This Row],[Order_Date]],"mmm")</f>
        <v>Jan</v>
      </c>
      <c r="P818" s="18">
        <f t="shared" si="24"/>
        <v>2025</v>
      </c>
      <c r="Q818" s="45">
        <v>45693</v>
      </c>
      <c r="R818" s="19">
        <f>'Cleaned Data'!$Q818-'Cleaned Data'!$N818</f>
        <v>5</v>
      </c>
      <c r="S818" s="19" t="str">
        <f t="shared" si="25"/>
        <v>Winter</v>
      </c>
    </row>
    <row r="819" spans="1:19" x14ac:dyDescent="0.3">
      <c r="A819" s="11" t="s">
        <v>996</v>
      </c>
      <c r="B819" s="11" t="s">
        <v>18</v>
      </c>
      <c r="C819" s="3" t="s">
        <v>33</v>
      </c>
      <c r="D819" s="3" t="s">
        <v>39</v>
      </c>
      <c r="E819" s="3" t="s">
        <v>58</v>
      </c>
      <c r="F819" s="3" t="s">
        <v>61</v>
      </c>
      <c r="G819" s="3" t="s">
        <v>71</v>
      </c>
      <c r="H819" s="37">
        <v>50398.53</v>
      </c>
      <c r="I819" s="12">
        <v>0.25</v>
      </c>
      <c r="J819" s="37">
        <v>37798.897499999999</v>
      </c>
      <c r="K819" s="3">
        <v>1</v>
      </c>
      <c r="L819" s="61">
        <f>Table1[[#This Row],[Final_Unit_Price]]*Table1[[#This Row],[Quantity]]</f>
        <v>37798.897499999999</v>
      </c>
      <c r="M819" s="59">
        <v>9449.73</v>
      </c>
      <c r="N819" s="42">
        <v>45570</v>
      </c>
      <c r="O819" s="20" t="str">
        <f>TEXT(Table1[[#This Row],[Order_Date]],"mmm")</f>
        <v>Oct</v>
      </c>
      <c r="P819" s="20">
        <f t="shared" si="24"/>
        <v>2024</v>
      </c>
      <c r="Q819" s="46">
        <v>45578</v>
      </c>
      <c r="R819" s="20">
        <f>'Cleaned Data'!$Q819-'Cleaned Data'!$N819</f>
        <v>8</v>
      </c>
      <c r="S819" s="19" t="str">
        <f t="shared" si="25"/>
        <v>Winter</v>
      </c>
    </row>
    <row r="820" spans="1:19" x14ac:dyDescent="0.3">
      <c r="A820" s="13" t="s">
        <v>997</v>
      </c>
      <c r="B820" s="13" t="s">
        <v>19</v>
      </c>
      <c r="C820" s="5" t="s">
        <v>33</v>
      </c>
      <c r="D820" s="5" t="s">
        <v>53</v>
      </c>
      <c r="E820" s="5" t="s">
        <v>58</v>
      </c>
      <c r="F820" s="5" t="s">
        <v>63</v>
      </c>
      <c r="G820" s="5" t="s">
        <v>73</v>
      </c>
      <c r="H820" s="38">
        <v>1922.43</v>
      </c>
      <c r="I820" s="14">
        <v>0.05</v>
      </c>
      <c r="J820" s="38">
        <v>1826.3085000000001</v>
      </c>
      <c r="K820" s="5">
        <v>4</v>
      </c>
      <c r="L820" s="62">
        <f>Table1[[#This Row],[Final_Unit_Price]]*Table1[[#This Row],[Quantity]]</f>
        <v>7305.2340000000004</v>
      </c>
      <c r="M820" s="60">
        <v>1826.31</v>
      </c>
      <c r="N820" s="43">
        <v>45556</v>
      </c>
      <c r="O820" s="18" t="str">
        <f>TEXT(Table1[[#This Row],[Order_Date]],"mmm")</f>
        <v>Sep</v>
      </c>
      <c r="P820" s="18">
        <f t="shared" si="24"/>
        <v>2024</v>
      </c>
      <c r="Q820" s="45">
        <v>45558</v>
      </c>
      <c r="R820" s="19">
        <f>'Cleaned Data'!$Q820-'Cleaned Data'!$N820</f>
        <v>2</v>
      </c>
      <c r="S820" s="19" t="str">
        <f t="shared" si="25"/>
        <v>Monsoon</v>
      </c>
    </row>
    <row r="821" spans="1:19" x14ac:dyDescent="0.3">
      <c r="A821" s="11" t="s">
        <v>998</v>
      </c>
      <c r="B821" s="11" t="s">
        <v>22</v>
      </c>
      <c r="C821" s="3" t="s">
        <v>31</v>
      </c>
      <c r="D821" s="3" t="s">
        <v>42</v>
      </c>
      <c r="E821" s="3" t="s">
        <v>60</v>
      </c>
      <c r="F821" s="3" t="s">
        <v>61</v>
      </c>
      <c r="G821" s="3" t="s">
        <v>65</v>
      </c>
      <c r="H821" s="37">
        <v>2783.5</v>
      </c>
      <c r="I821" s="12">
        <v>0</v>
      </c>
      <c r="J821" s="37">
        <v>2783.5</v>
      </c>
      <c r="K821" s="3">
        <v>2</v>
      </c>
      <c r="L821" s="61">
        <f>Table1[[#This Row],[Final_Unit_Price]]*Table1[[#This Row],[Quantity]]</f>
        <v>5567</v>
      </c>
      <c r="M821" s="59">
        <v>835.05</v>
      </c>
      <c r="N821" s="42">
        <v>45609</v>
      </c>
      <c r="O821" s="20" t="str">
        <f>TEXT(Table1[[#This Row],[Order_Date]],"mmm")</f>
        <v>Nov</v>
      </c>
      <c r="P821" s="20">
        <f t="shared" si="24"/>
        <v>2024</v>
      </c>
      <c r="Q821" s="46">
        <v>45618</v>
      </c>
      <c r="R821" s="20">
        <f>'Cleaned Data'!$Q821-'Cleaned Data'!$N821</f>
        <v>9</v>
      </c>
      <c r="S821" s="19" t="str">
        <f t="shared" si="25"/>
        <v>Winter</v>
      </c>
    </row>
    <row r="822" spans="1:19" x14ac:dyDescent="0.3">
      <c r="A822" s="13" t="s">
        <v>999</v>
      </c>
      <c r="B822" s="13" t="s">
        <v>18</v>
      </c>
      <c r="C822" s="5" t="s">
        <v>33</v>
      </c>
      <c r="D822" s="5" t="s">
        <v>50</v>
      </c>
      <c r="E822" s="5" t="s">
        <v>59</v>
      </c>
      <c r="F822" s="5" t="s">
        <v>64</v>
      </c>
      <c r="G822" s="5" t="s">
        <v>74</v>
      </c>
      <c r="H822" s="38">
        <v>62381.39</v>
      </c>
      <c r="I822" s="14">
        <v>0.15</v>
      </c>
      <c r="J822" s="38">
        <v>53024.181499999999</v>
      </c>
      <c r="K822" s="5">
        <v>2</v>
      </c>
      <c r="L822" s="62">
        <f>Table1[[#This Row],[Final_Unit_Price]]*Table1[[#This Row],[Quantity]]</f>
        <v>106048.363</v>
      </c>
      <c r="M822" s="60">
        <v>37116.93</v>
      </c>
      <c r="N822" s="43">
        <v>45724</v>
      </c>
      <c r="O822" s="18" t="str">
        <f>TEXT(Table1[[#This Row],[Order_Date]],"mmm")</f>
        <v>Mar</v>
      </c>
      <c r="P822" s="18">
        <f t="shared" si="24"/>
        <v>2025</v>
      </c>
      <c r="Q822" s="45">
        <v>45731</v>
      </c>
      <c r="R822" s="19">
        <f>'Cleaned Data'!$Q822-'Cleaned Data'!$N822</f>
        <v>7</v>
      </c>
      <c r="S822" s="19" t="str">
        <f t="shared" si="25"/>
        <v>Summer</v>
      </c>
    </row>
    <row r="823" spans="1:19" x14ac:dyDescent="0.3">
      <c r="A823" s="11" t="s">
        <v>1000</v>
      </c>
      <c r="B823" s="11" t="s">
        <v>17</v>
      </c>
      <c r="C823" s="3" t="s">
        <v>32</v>
      </c>
      <c r="D823" s="3" t="s">
        <v>40</v>
      </c>
      <c r="E823" s="3" t="s">
        <v>59</v>
      </c>
      <c r="F823" s="3" t="s">
        <v>61</v>
      </c>
      <c r="G823" s="3" t="s">
        <v>70</v>
      </c>
      <c r="H823" s="37">
        <v>9760.15</v>
      </c>
      <c r="I823" s="12">
        <v>0.1</v>
      </c>
      <c r="J823" s="37">
        <v>8784.1350000000002</v>
      </c>
      <c r="K823" s="3">
        <v>2</v>
      </c>
      <c r="L823" s="61">
        <f>Table1[[#This Row],[Final_Unit_Price]]*Table1[[#This Row],[Quantity]]</f>
        <v>17568.27</v>
      </c>
      <c r="M823" s="59">
        <v>6148.89</v>
      </c>
      <c r="N823" s="42">
        <v>45756</v>
      </c>
      <c r="O823" s="20" t="str">
        <f>TEXT(Table1[[#This Row],[Order_Date]],"mmm")</f>
        <v>Apr</v>
      </c>
      <c r="P823" s="20">
        <f t="shared" si="24"/>
        <v>2025</v>
      </c>
      <c r="Q823" s="46">
        <v>45763</v>
      </c>
      <c r="R823" s="20">
        <f>'Cleaned Data'!$Q823-'Cleaned Data'!$N823</f>
        <v>7</v>
      </c>
      <c r="S823" s="19" t="str">
        <f t="shared" si="25"/>
        <v>Summer</v>
      </c>
    </row>
    <row r="824" spans="1:19" x14ac:dyDescent="0.3">
      <c r="A824" s="13" t="s">
        <v>1001</v>
      </c>
      <c r="B824" s="13" t="s">
        <v>24</v>
      </c>
      <c r="C824" s="5" t="s">
        <v>32</v>
      </c>
      <c r="D824" s="5" t="s">
        <v>37</v>
      </c>
      <c r="E824" s="5" t="s">
        <v>59</v>
      </c>
      <c r="F824" s="5" t="s">
        <v>61</v>
      </c>
      <c r="G824" s="5" t="s">
        <v>65</v>
      </c>
      <c r="H824" s="38">
        <v>28316.53</v>
      </c>
      <c r="I824" s="14">
        <v>0.15</v>
      </c>
      <c r="J824" s="38">
        <v>24069.050500000001</v>
      </c>
      <c r="K824" s="5">
        <v>1</v>
      </c>
      <c r="L824" s="62">
        <f>Table1[[#This Row],[Final_Unit_Price]]*Table1[[#This Row],[Quantity]]</f>
        <v>24069.050500000001</v>
      </c>
      <c r="M824" s="60">
        <v>8424.17</v>
      </c>
      <c r="N824" s="43">
        <v>45796</v>
      </c>
      <c r="O824" s="18" t="str">
        <f>TEXT(Table1[[#This Row],[Order_Date]],"mmm")</f>
        <v>May</v>
      </c>
      <c r="P824" s="18">
        <f t="shared" si="24"/>
        <v>2025</v>
      </c>
      <c r="Q824" s="45">
        <v>45806</v>
      </c>
      <c r="R824" s="19">
        <f>'Cleaned Data'!$Q824-'Cleaned Data'!$N824</f>
        <v>10</v>
      </c>
      <c r="S824" s="19" t="str">
        <f t="shared" si="25"/>
        <v>Summer</v>
      </c>
    </row>
    <row r="825" spans="1:19" x14ac:dyDescent="0.3">
      <c r="A825" s="11" t="s">
        <v>1002</v>
      </c>
      <c r="B825" s="11" t="s">
        <v>22</v>
      </c>
      <c r="C825" s="3" t="s">
        <v>31</v>
      </c>
      <c r="D825" s="3" t="s">
        <v>47</v>
      </c>
      <c r="E825" s="3" t="s">
        <v>59</v>
      </c>
      <c r="F825" s="3" t="s">
        <v>64</v>
      </c>
      <c r="G825" s="3" t="s">
        <v>72</v>
      </c>
      <c r="H825" s="37">
        <v>4482.1000000000004</v>
      </c>
      <c r="I825" s="12">
        <v>0.25</v>
      </c>
      <c r="J825" s="37">
        <v>3361.5749999999998</v>
      </c>
      <c r="K825" s="3">
        <v>1</v>
      </c>
      <c r="L825" s="61">
        <f>Table1[[#This Row],[Final_Unit_Price]]*Table1[[#This Row],[Quantity]]</f>
        <v>3361.5749999999998</v>
      </c>
      <c r="M825" s="59">
        <v>1176.55</v>
      </c>
      <c r="N825" s="42">
        <v>45737</v>
      </c>
      <c r="O825" s="20" t="str">
        <f>TEXT(Table1[[#This Row],[Order_Date]],"mmm")</f>
        <v>Mar</v>
      </c>
      <c r="P825" s="20">
        <f t="shared" si="24"/>
        <v>2025</v>
      </c>
      <c r="Q825" s="46">
        <v>45747</v>
      </c>
      <c r="R825" s="20">
        <f>'Cleaned Data'!$Q825-'Cleaned Data'!$N825</f>
        <v>10</v>
      </c>
      <c r="S825" s="19" t="str">
        <f t="shared" si="25"/>
        <v>Summer</v>
      </c>
    </row>
    <row r="826" spans="1:19" x14ac:dyDescent="0.3">
      <c r="A826" s="13" t="s">
        <v>1003</v>
      </c>
      <c r="B826" s="13" t="s">
        <v>27</v>
      </c>
      <c r="C826" s="5" t="s">
        <v>35</v>
      </c>
      <c r="D826" s="5" t="s">
        <v>38</v>
      </c>
      <c r="E826" s="5" t="s">
        <v>59</v>
      </c>
      <c r="F826" s="5" t="s">
        <v>61</v>
      </c>
      <c r="G826" s="5" t="s">
        <v>70</v>
      </c>
      <c r="H826" s="38">
        <v>8976.35</v>
      </c>
      <c r="I826" s="14">
        <v>0</v>
      </c>
      <c r="J826" s="38">
        <v>8976.35</v>
      </c>
      <c r="K826" s="5">
        <v>2</v>
      </c>
      <c r="L826" s="62">
        <f>Table1[[#This Row],[Final_Unit_Price]]*Table1[[#This Row],[Quantity]]</f>
        <v>17952.7</v>
      </c>
      <c r="M826" s="60">
        <v>6283.44</v>
      </c>
      <c r="N826" s="43">
        <v>45835</v>
      </c>
      <c r="O826" s="18" t="str">
        <f>TEXT(Table1[[#This Row],[Order_Date]],"mmm")</f>
        <v>Jun</v>
      </c>
      <c r="P826" s="18">
        <f t="shared" si="24"/>
        <v>2025</v>
      </c>
      <c r="Q826" s="45">
        <v>45841</v>
      </c>
      <c r="R826" s="19">
        <f>'Cleaned Data'!$Q826-'Cleaned Data'!$N826</f>
        <v>6</v>
      </c>
      <c r="S826" s="19" t="str">
        <f t="shared" si="25"/>
        <v>Monsoon</v>
      </c>
    </row>
    <row r="827" spans="1:19" x14ac:dyDescent="0.3">
      <c r="A827" s="11" t="s">
        <v>1004</v>
      </c>
      <c r="B827" s="11" t="s">
        <v>25</v>
      </c>
      <c r="C827" s="3" t="s">
        <v>34</v>
      </c>
      <c r="D827" s="3" t="s">
        <v>55</v>
      </c>
      <c r="E827" s="3" t="s">
        <v>58</v>
      </c>
      <c r="F827" s="3" t="s">
        <v>63</v>
      </c>
      <c r="G827" s="3" t="s">
        <v>75</v>
      </c>
      <c r="H827" s="37">
        <v>785.71</v>
      </c>
      <c r="I827" s="12">
        <v>0.25</v>
      </c>
      <c r="J827" s="37">
        <v>589.28250000000003</v>
      </c>
      <c r="K827" s="3">
        <v>5</v>
      </c>
      <c r="L827" s="61">
        <f>Table1[[#This Row],[Final_Unit_Price]]*Table1[[#This Row],[Quantity]]</f>
        <v>2946.4125000000004</v>
      </c>
      <c r="M827" s="59">
        <v>736.6</v>
      </c>
      <c r="N827" s="42">
        <v>45516</v>
      </c>
      <c r="O827" s="20" t="str">
        <f>TEXT(Table1[[#This Row],[Order_Date]],"mmm")</f>
        <v>Aug</v>
      </c>
      <c r="P827" s="20">
        <f t="shared" si="24"/>
        <v>2024</v>
      </c>
      <c r="Q827" s="46">
        <v>45525</v>
      </c>
      <c r="R827" s="20">
        <f>'Cleaned Data'!$Q827-'Cleaned Data'!$N827</f>
        <v>9</v>
      </c>
      <c r="S827" s="19" t="str">
        <f t="shared" si="25"/>
        <v>Monsoon</v>
      </c>
    </row>
    <row r="828" spans="1:19" x14ac:dyDescent="0.3">
      <c r="A828" s="13" t="s">
        <v>1005</v>
      </c>
      <c r="B828" s="13" t="s">
        <v>26</v>
      </c>
      <c r="C828" s="5" t="s">
        <v>32</v>
      </c>
      <c r="D828" s="5" t="s">
        <v>54</v>
      </c>
      <c r="E828" s="5" t="s">
        <v>60</v>
      </c>
      <c r="F828" s="5" t="s">
        <v>62</v>
      </c>
      <c r="G828" s="5" t="s">
        <v>66</v>
      </c>
      <c r="H828" s="38">
        <v>30503.919999999998</v>
      </c>
      <c r="I828" s="14">
        <v>0.2</v>
      </c>
      <c r="J828" s="38">
        <v>24403.135999999999</v>
      </c>
      <c r="K828" s="5">
        <v>5</v>
      </c>
      <c r="L828" s="62">
        <f>Table1[[#This Row],[Final_Unit_Price]]*Table1[[#This Row],[Quantity]]</f>
        <v>122015.67999999999</v>
      </c>
      <c r="M828" s="60">
        <v>18302.349999999999</v>
      </c>
      <c r="N828" s="43">
        <v>45348</v>
      </c>
      <c r="O828" s="18" t="str">
        <f>TEXT(Table1[[#This Row],[Order_Date]],"mmm")</f>
        <v>Feb</v>
      </c>
      <c r="P828" s="18">
        <f t="shared" si="24"/>
        <v>2024</v>
      </c>
      <c r="Q828" s="45">
        <v>45356</v>
      </c>
      <c r="R828" s="19">
        <f>'Cleaned Data'!$Q828-'Cleaned Data'!$N828</f>
        <v>8</v>
      </c>
      <c r="S828" s="19" t="str">
        <f t="shared" si="25"/>
        <v>Summer</v>
      </c>
    </row>
    <row r="829" spans="1:19" x14ac:dyDescent="0.3">
      <c r="A829" s="11" t="s">
        <v>1006</v>
      </c>
      <c r="B829" s="11" t="s">
        <v>25</v>
      </c>
      <c r="C829" s="3" t="s">
        <v>34</v>
      </c>
      <c r="D829" s="3" t="s">
        <v>52</v>
      </c>
      <c r="E829" s="3" t="s">
        <v>60</v>
      </c>
      <c r="F829" s="3" t="s">
        <v>61</v>
      </c>
      <c r="G829" s="3" t="s">
        <v>71</v>
      </c>
      <c r="H829" s="37">
        <v>635.72</v>
      </c>
      <c r="I829" s="12">
        <v>0.1</v>
      </c>
      <c r="J829" s="37">
        <v>572.14800000000002</v>
      </c>
      <c r="K829" s="3">
        <v>8</v>
      </c>
      <c r="L829" s="61">
        <f>Table1[[#This Row],[Final_Unit_Price]]*Table1[[#This Row],[Quantity]]</f>
        <v>4577.1840000000002</v>
      </c>
      <c r="M829" s="59">
        <v>343.29</v>
      </c>
      <c r="N829" s="42">
        <v>45665</v>
      </c>
      <c r="O829" s="20" t="str">
        <f>TEXT(Table1[[#This Row],[Order_Date]],"mmm")</f>
        <v>Jan</v>
      </c>
      <c r="P829" s="20">
        <f t="shared" si="24"/>
        <v>2025</v>
      </c>
      <c r="Q829" s="46">
        <v>45670</v>
      </c>
      <c r="R829" s="20">
        <f>'Cleaned Data'!$Q829-'Cleaned Data'!$N829</f>
        <v>5</v>
      </c>
      <c r="S829" s="19" t="str">
        <f t="shared" si="25"/>
        <v>Winter</v>
      </c>
    </row>
    <row r="830" spans="1:19" x14ac:dyDescent="0.3">
      <c r="A830" s="13" t="s">
        <v>1007</v>
      </c>
      <c r="B830" s="13" t="s">
        <v>23</v>
      </c>
      <c r="C830" s="5" t="s">
        <v>35</v>
      </c>
      <c r="D830" s="5" t="s">
        <v>44</v>
      </c>
      <c r="E830" s="5" t="s">
        <v>60</v>
      </c>
      <c r="F830" s="5" t="s">
        <v>64</v>
      </c>
      <c r="G830" s="5" t="s">
        <v>72</v>
      </c>
      <c r="H830" s="38">
        <v>23760.57</v>
      </c>
      <c r="I830" s="14">
        <v>0.05</v>
      </c>
      <c r="J830" s="38">
        <v>22572.541499999999</v>
      </c>
      <c r="K830" s="5">
        <v>2</v>
      </c>
      <c r="L830" s="62">
        <f>Table1[[#This Row],[Final_Unit_Price]]*Table1[[#This Row],[Quantity]]</f>
        <v>45145.082999999999</v>
      </c>
      <c r="M830" s="60">
        <v>6771.76</v>
      </c>
      <c r="N830" s="43">
        <v>45680</v>
      </c>
      <c r="O830" s="18" t="str">
        <f>TEXT(Table1[[#This Row],[Order_Date]],"mmm")</f>
        <v>Jan</v>
      </c>
      <c r="P830" s="18">
        <f t="shared" si="24"/>
        <v>2025</v>
      </c>
      <c r="Q830" s="45">
        <v>45682</v>
      </c>
      <c r="R830" s="19">
        <f>'Cleaned Data'!$Q830-'Cleaned Data'!$N830</f>
        <v>2</v>
      </c>
      <c r="S830" s="19" t="str">
        <f t="shared" si="25"/>
        <v>Winter</v>
      </c>
    </row>
    <row r="831" spans="1:19" x14ac:dyDescent="0.3">
      <c r="A831" s="11" t="s">
        <v>1008</v>
      </c>
      <c r="B831" s="11" t="s">
        <v>26</v>
      </c>
      <c r="C831" s="3" t="s">
        <v>32</v>
      </c>
      <c r="D831" s="3" t="s">
        <v>37</v>
      </c>
      <c r="E831" s="3" t="s">
        <v>59</v>
      </c>
      <c r="F831" s="3" t="s">
        <v>64</v>
      </c>
      <c r="G831" s="3" t="s">
        <v>74</v>
      </c>
      <c r="H831" s="37">
        <v>43610.19</v>
      </c>
      <c r="I831" s="12">
        <v>0.15</v>
      </c>
      <c r="J831" s="37">
        <v>37068.661500000002</v>
      </c>
      <c r="K831" s="3">
        <v>3</v>
      </c>
      <c r="L831" s="61">
        <f>Table1[[#This Row],[Final_Unit_Price]]*Table1[[#This Row],[Quantity]]</f>
        <v>111205.98450000001</v>
      </c>
      <c r="M831" s="59">
        <v>38922.089999999997</v>
      </c>
      <c r="N831" s="42">
        <v>45842</v>
      </c>
      <c r="O831" s="20" t="str">
        <f>TEXT(Table1[[#This Row],[Order_Date]],"mmm")</f>
        <v>Jul</v>
      </c>
      <c r="P831" s="20">
        <f t="shared" si="24"/>
        <v>2025</v>
      </c>
      <c r="Q831" s="46">
        <v>45844</v>
      </c>
      <c r="R831" s="20">
        <f>'Cleaned Data'!$Q831-'Cleaned Data'!$N831</f>
        <v>2</v>
      </c>
      <c r="S831" s="19" t="str">
        <f t="shared" si="25"/>
        <v>Monsoon</v>
      </c>
    </row>
    <row r="832" spans="1:19" x14ac:dyDescent="0.3">
      <c r="A832" s="13" t="s">
        <v>1009</v>
      </c>
      <c r="B832" s="13" t="s">
        <v>30</v>
      </c>
      <c r="C832" s="5" t="s">
        <v>33</v>
      </c>
      <c r="D832" s="5" t="s">
        <v>57</v>
      </c>
      <c r="E832" s="5" t="s">
        <v>60</v>
      </c>
      <c r="F832" s="5" t="s">
        <v>63</v>
      </c>
      <c r="G832" s="5" t="s">
        <v>68</v>
      </c>
      <c r="H832" s="38">
        <v>11554.78</v>
      </c>
      <c r="I832" s="14">
        <v>0.25</v>
      </c>
      <c r="J832" s="38">
        <v>8666.0850000000009</v>
      </c>
      <c r="K832" s="5">
        <v>3</v>
      </c>
      <c r="L832" s="62">
        <f>Table1[[#This Row],[Final_Unit_Price]]*Table1[[#This Row],[Quantity]]</f>
        <v>25998.255000000005</v>
      </c>
      <c r="M832" s="60">
        <v>3899.74</v>
      </c>
      <c r="N832" s="43">
        <v>45410</v>
      </c>
      <c r="O832" s="18" t="str">
        <f>TEXT(Table1[[#This Row],[Order_Date]],"mmm")</f>
        <v>Apr</v>
      </c>
      <c r="P832" s="18">
        <f t="shared" si="24"/>
        <v>2024</v>
      </c>
      <c r="Q832" s="45">
        <v>45418</v>
      </c>
      <c r="R832" s="19">
        <f>'Cleaned Data'!$Q832-'Cleaned Data'!$N832</f>
        <v>8</v>
      </c>
      <c r="S832" s="19" t="str">
        <f t="shared" si="25"/>
        <v>Summer</v>
      </c>
    </row>
    <row r="833" spans="1:19" x14ac:dyDescent="0.3">
      <c r="A833" s="11" t="s">
        <v>1010</v>
      </c>
      <c r="B833" s="11" t="s">
        <v>18</v>
      </c>
      <c r="C833" s="3" t="s">
        <v>33</v>
      </c>
      <c r="D833" s="3" t="s">
        <v>39</v>
      </c>
      <c r="E833" s="3" t="s">
        <v>58</v>
      </c>
      <c r="F833" s="3" t="s">
        <v>63</v>
      </c>
      <c r="G833" s="3" t="s">
        <v>75</v>
      </c>
      <c r="H833" s="37">
        <v>47008.38</v>
      </c>
      <c r="I833" s="12">
        <v>0.15</v>
      </c>
      <c r="J833" s="37">
        <v>39957.123</v>
      </c>
      <c r="K833" s="3">
        <v>5</v>
      </c>
      <c r="L833" s="61">
        <f>Table1[[#This Row],[Final_Unit_Price]]*Table1[[#This Row],[Quantity]]</f>
        <v>199785.61499999999</v>
      </c>
      <c r="M833" s="59">
        <v>49946.400000000001</v>
      </c>
      <c r="N833" s="42">
        <v>45797</v>
      </c>
      <c r="O833" s="20" t="str">
        <f>TEXT(Table1[[#This Row],[Order_Date]],"mmm")</f>
        <v>May</v>
      </c>
      <c r="P833" s="20">
        <f t="shared" si="24"/>
        <v>2025</v>
      </c>
      <c r="Q833" s="46">
        <v>45801</v>
      </c>
      <c r="R833" s="20">
        <f>'Cleaned Data'!$Q833-'Cleaned Data'!$N833</f>
        <v>4</v>
      </c>
      <c r="S833" s="19" t="str">
        <f t="shared" si="25"/>
        <v>Summer</v>
      </c>
    </row>
    <row r="834" spans="1:19" x14ac:dyDescent="0.3">
      <c r="A834" s="13" t="s">
        <v>1011</v>
      </c>
      <c r="B834" s="13" t="s">
        <v>21</v>
      </c>
      <c r="C834" s="5" t="s">
        <v>34</v>
      </c>
      <c r="D834" s="5" t="s">
        <v>55</v>
      </c>
      <c r="E834" s="5" t="s">
        <v>58</v>
      </c>
      <c r="F834" s="5" t="s">
        <v>63</v>
      </c>
      <c r="G834" s="5" t="s">
        <v>68</v>
      </c>
      <c r="H834" s="38">
        <v>2764.87</v>
      </c>
      <c r="I834" s="14">
        <v>0.1</v>
      </c>
      <c r="J834" s="38">
        <v>2488.3829999999998</v>
      </c>
      <c r="K834" s="5">
        <v>3</v>
      </c>
      <c r="L834" s="62">
        <f>Table1[[#This Row],[Final_Unit_Price]]*Table1[[#This Row],[Quantity]]</f>
        <v>7465.1489999999994</v>
      </c>
      <c r="M834" s="60">
        <v>1866.29</v>
      </c>
      <c r="N834" s="43">
        <v>45529</v>
      </c>
      <c r="O834" s="18" t="str">
        <f>TEXT(Table1[[#This Row],[Order_Date]],"mmm")</f>
        <v>Aug</v>
      </c>
      <c r="P834" s="18">
        <f t="shared" si="24"/>
        <v>2024</v>
      </c>
      <c r="Q834" s="45">
        <v>45536</v>
      </c>
      <c r="R834" s="19">
        <f>'Cleaned Data'!$Q834-'Cleaned Data'!$N834</f>
        <v>7</v>
      </c>
      <c r="S834" s="19" t="str">
        <f t="shared" si="25"/>
        <v>Monsoon</v>
      </c>
    </row>
    <row r="835" spans="1:19" x14ac:dyDescent="0.3">
      <c r="A835" s="11" t="s">
        <v>1012</v>
      </c>
      <c r="B835" s="11" t="s">
        <v>26</v>
      </c>
      <c r="C835" s="3" t="s">
        <v>32</v>
      </c>
      <c r="D835" s="3" t="s">
        <v>40</v>
      </c>
      <c r="E835" s="3" t="s">
        <v>59</v>
      </c>
      <c r="F835" s="3" t="s">
        <v>64</v>
      </c>
      <c r="G835" s="3" t="s">
        <v>74</v>
      </c>
      <c r="H835" s="37">
        <v>45530.49</v>
      </c>
      <c r="I835" s="12">
        <v>0.2</v>
      </c>
      <c r="J835" s="37">
        <v>36424.392</v>
      </c>
      <c r="K835" s="3">
        <v>5</v>
      </c>
      <c r="L835" s="61">
        <f>Table1[[#This Row],[Final_Unit_Price]]*Table1[[#This Row],[Quantity]]</f>
        <v>182121.96</v>
      </c>
      <c r="M835" s="59">
        <v>63742.69</v>
      </c>
      <c r="N835" s="42">
        <v>45302</v>
      </c>
      <c r="O835" s="20" t="str">
        <f>TEXT(Table1[[#This Row],[Order_Date]],"mmm")</f>
        <v>Jan</v>
      </c>
      <c r="P835" s="20">
        <f t="shared" ref="P835:P898" si="26">YEAR(N835)</f>
        <v>2024</v>
      </c>
      <c r="Q835" s="46">
        <v>45304</v>
      </c>
      <c r="R835" s="20">
        <f>'Cleaned Data'!$Q835-'Cleaned Data'!$N835</f>
        <v>2</v>
      </c>
      <c r="S835" s="19" t="str">
        <f t="shared" ref="S835:S898" si="27">IF(OR(O835="Feb",O835="Mar",O835="Apr",O835="May"),"Summer",
   IF(OR(O835="Jun",O835="Jul",O835="Aug",O835="Sep"),"Monsoon",
   IF(OR(O835="Oct",O835="Nov",O835="Dec",O835= "Jan"),"Winter","Invalid")))</f>
        <v>Winter</v>
      </c>
    </row>
    <row r="836" spans="1:19" x14ac:dyDescent="0.3">
      <c r="A836" s="13" t="s">
        <v>1013</v>
      </c>
      <c r="B836" s="13" t="s">
        <v>23</v>
      </c>
      <c r="C836" s="5" t="s">
        <v>35</v>
      </c>
      <c r="D836" s="5" t="s">
        <v>48</v>
      </c>
      <c r="E836" s="5" t="s">
        <v>58</v>
      </c>
      <c r="F836" s="5" t="s">
        <v>61</v>
      </c>
      <c r="G836" s="5" t="s">
        <v>71</v>
      </c>
      <c r="H836" s="38">
        <v>23565.38</v>
      </c>
      <c r="I836" s="14">
        <v>0.2</v>
      </c>
      <c r="J836" s="38">
        <v>18852.304</v>
      </c>
      <c r="K836" s="5">
        <v>3</v>
      </c>
      <c r="L836" s="62">
        <f>Table1[[#This Row],[Final_Unit_Price]]*Table1[[#This Row],[Quantity]]</f>
        <v>56556.911999999997</v>
      </c>
      <c r="M836" s="60">
        <v>14139.23</v>
      </c>
      <c r="N836" s="43">
        <v>45718</v>
      </c>
      <c r="O836" s="18" t="str">
        <f>TEXT(Table1[[#This Row],[Order_Date]],"mmm")</f>
        <v>Mar</v>
      </c>
      <c r="P836" s="18">
        <f t="shared" si="26"/>
        <v>2025</v>
      </c>
      <c r="Q836" s="45">
        <v>45721</v>
      </c>
      <c r="R836" s="19">
        <f>'Cleaned Data'!$Q836-'Cleaned Data'!$N836</f>
        <v>3</v>
      </c>
      <c r="S836" s="19" t="str">
        <f t="shared" si="27"/>
        <v>Summer</v>
      </c>
    </row>
    <row r="837" spans="1:19" x14ac:dyDescent="0.3">
      <c r="A837" s="11" t="s">
        <v>1014</v>
      </c>
      <c r="B837" s="11" t="s">
        <v>16</v>
      </c>
      <c r="C837" s="3" t="s">
        <v>31</v>
      </c>
      <c r="D837" s="3" t="s">
        <v>42</v>
      </c>
      <c r="E837" s="3" t="s">
        <v>60</v>
      </c>
      <c r="F837" s="3" t="s">
        <v>63</v>
      </c>
      <c r="G837" s="3" t="s">
        <v>75</v>
      </c>
      <c r="H837" s="37">
        <v>2025.12</v>
      </c>
      <c r="I837" s="12">
        <v>0.25</v>
      </c>
      <c r="J837" s="37">
        <v>1518.84</v>
      </c>
      <c r="K837" s="3">
        <v>5</v>
      </c>
      <c r="L837" s="61">
        <f>Table1[[#This Row],[Final_Unit_Price]]*Table1[[#This Row],[Quantity]]</f>
        <v>7594.2</v>
      </c>
      <c r="M837" s="59">
        <v>911.3</v>
      </c>
      <c r="N837" s="42">
        <v>45449</v>
      </c>
      <c r="O837" s="20" t="str">
        <f>TEXT(Table1[[#This Row],[Order_Date]],"mmm")</f>
        <v>Jun</v>
      </c>
      <c r="P837" s="20">
        <f t="shared" si="26"/>
        <v>2024</v>
      </c>
      <c r="Q837" s="46">
        <v>45454</v>
      </c>
      <c r="R837" s="20">
        <f>'Cleaned Data'!$Q837-'Cleaned Data'!$N837</f>
        <v>5</v>
      </c>
      <c r="S837" s="19" t="str">
        <f t="shared" si="27"/>
        <v>Monsoon</v>
      </c>
    </row>
    <row r="838" spans="1:19" x14ac:dyDescent="0.3">
      <c r="A838" s="13" t="s">
        <v>1015</v>
      </c>
      <c r="B838" s="13" t="s">
        <v>18</v>
      </c>
      <c r="C838" s="5" t="s">
        <v>33</v>
      </c>
      <c r="D838" s="5" t="s">
        <v>56</v>
      </c>
      <c r="E838" s="5" t="s">
        <v>60</v>
      </c>
      <c r="F838" s="5" t="s">
        <v>61</v>
      </c>
      <c r="G838" s="5" t="s">
        <v>70</v>
      </c>
      <c r="H838" s="38">
        <v>40674.18</v>
      </c>
      <c r="I838" s="14">
        <v>0.1</v>
      </c>
      <c r="J838" s="38">
        <v>36606.762000000002</v>
      </c>
      <c r="K838" s="5">
        <v>3</v>
      </c>
      <c r="L838" s="62">
        <f>Table1[[#This Row],[Final_Unit_Price]]*Table1[[#This Row],[Quantity]]</f>
        <v>109820.28600000001</v>
      </c>
      <c r="M838" s="60">
        <v>16473.04</v>
      </c>
      <c r="N838" s="43">
        <v>45350</v>
      </c>
      <c r="O838" s="18" t="str">
        <f>TEXT(Table1[[#This Row],[Order_Date]],"mmm")</f>
        <v>Feb</v>
      </c>
      <c r="P838" s="18">
        <f t="shared" si="26"/>
        <v>2024</v>
      </c>
      <c r="Q838" s="45">
        <v>45360</v>
      </c>
      <c r="R838" s="19">
        <f>'Cleaned Data'!$Q838-'Cleaned Data'!$N838</f>
        <v>10</v>
      </c>
      <c r="S838" s="19" t="str">
        <f t="shared" si="27"/>
        <v>Summer</v>
      </c>
    </row>
    <row r="839" spans="1:19" x14ac:dyDescent="0.3">
      <c r="A839" s="11" t="s">
        <v>1016</v>
      </c>
      <c r="B839" s="11" t="s">
        <v>21</v>
      </c>
      <c r="C839" s="3" t="s">
        <v>34</v>
      </c>
      <c r="D839" s="3" t="s">
        <v>41</v>
      </c>
      <c r="E839" s="3" t="s">
        <v>60</v>
      </c>
      <c r="F839" s="3" t="s">
        <v>61</v>
      </c>
      <c r="G839" s="3" t="s">
        <v>70</v>
      </c>
      <c r="H839" s="37">
        <v>2594.5100000000002</v>
      </c>
      <c r="I839" s="12">
        <v>0.15</v>
      </c>
      <c r="J839" s="37">
        <v>2205.3335000000002</v>
      </c>
      <c r="K839" s="3">
        <v>5</v>
      </c>
      <c r="L839" s="61">
        <f>Table1[[#This Row],[Final_Unit_Price]]*Table1[[#This Row],[Quantity]]</f>
        <v>11026.667500000001</v>
      </c>
      <c r="M839" s="59">
        <v>1654</v>
      </c>
      <c r="N839" s="42">
        <v>45394</v>
      </c>
      <c r="O839" s="20" t="str">
        <f>TEXT(Table1[[#This Row],[Order_Date]],"mmm")</f>
        <v>Apr</v>
      </c>
      <c r="P839" s="20">
        <f t="shared" si="26"/>
        <v>2024</v>
      </c>
      <c r="Q839" s="46">
        <v>45398</v>
      </c>
      <c r="R839" s="20">
        <f>'Cleaned Data'!$Q839-'Cleaned Data'!$N839</f>
        <v>4</v>
      </c>
      <c r="S839" s="19" t="str">
        <f t="shared" si="27"/>
        <v>Summer</v>
      </c>
    </row>
    <row r="840" spans="1:19" x14ac:dyDescent="0.3">
      <c r="A840" s="13" t="s">
        <v>1017</v>
      </c>
      <c r="B840" s="13" t="s">
        <v>19</v>
      </c>
      <c r="C840" s="5" t="s">
        <v>33</v>
      </c>
      <c r="D840" s="5" t="s">
        <v>56</v>
      </c>
      <c r="E840" s="5" t="s">
        <v>60</v>
      </c>
      <c r="F840" s="5" t="s">
        <v>62</v>
      </c>
      <c r="G840" s="5" t="s">
        <v>66</v>
      </c>
      <c r="H840" s="38">
        <v>1758.56</v>
      </c>
      <c r="I840" s="14">
        <v>0</v>
      </c>
      <c r="J840" s="38">
        <v>1758.56</v>
      </c>
      <c r="K840" s="5">
        <v>4</v>
      </c>
      <c r="L840" s="62">
        <f>Table1[[#This Row],[Final_Unit_Price]]*Table1[[#This Row],[Quantity]]</f>
        <v>7034.24</v>
      </c>
      <c r="M840" s="60">
        <v>1055.1400000000001</v>
      </c>
      <c r="N840" s="43">
        <v>45837</v>
      </c>
      <c r="O840" s="18" t="str">
        <f>TEXT(Table1[[#This Row],[Order_Date]],"mmm")</f>
        <v>Jun</v>
      </c>
      <c r="P840" s="18">
        <f t="shared" si="26"/>
        <v>2025</v>
      </c>
      <c r="Q840" s="45">
        <v>45845</v>
      </c>
      <c r="R840" s="19">
        <f>'Cleaned Data'!$Q840-'Cleaned Data'!$N840</f>
        <v>8</v>
      </c>
      <c r="S840" s="19" t="str">
        <f t="shared" si="27"/>
        <v>Monsoon</v>
      </c>
    </row>
    <row r="841" spans="1:19" x14ac:dyDescent="0.3">
      <c r="A841" s="11" t="s">
        <v>1018</v>
      </c>
      <c r="B841" s="11" t="s">
        <v>21</v>
      </c>
      <c r="C841" s="3" t="s">
        <v>34</v>
      </c>
      <c r="D841" s="3" t="s">
        <v>55</v>
      </c>
      <c r="E841" s="3" t="s">
        <v>58</v>
      </c>
      <c r="F841" s="3" t="s">
        <v>64</v>
      </c>
      <c r="G841" s="3" t="s">
        <v>76</v>
      </c>
      <c r="H841" s="37">
        <v>3386.87</v>
      </c>
      <c r="I841" s="12">
        <v>0.25</v>
      </c>
      <c r="J841" s="37">
        <v>2540.1525000000001</v>
      </c>
      <c r="K841" s="3">
        <v>4</v>
      </c>
      <c r="L841" s="61">
        <f>Table1[[#This Row],[Final_Unit_Price]]*Table1[[#This Row],[Quantity]]</f>
        <v>10160.61</v>
      </c>
      <c r="M841" s="59">
        <v>2540.15</v>
      </c>
      <c r="N841" s="42">
        <v>45386</v>
      </c>
      <c r="O841" s="20" t="str">
        <f>TEXT(Table1[[#This Row],[Order_Date]],"mmm")</f>
        <v>Apr</v>
      </c>
      <c r="P841" s="20">
        <f t="shared" si="26"/>
        <v>2024</v>
      </c>
      <c r="Q841" s="46">
        <v>45395</v>
      </c>
      <c r="R841" s="20">
        <f>'Cleaned Data'!$Q841-'Cleaned Data'!$N841</f>
        <v>9</v>
      </c>
      <c r="S841" s="19" t="str">
        <f t="shared" si="27"/>
        <v>Summer</v>
      </c>
    </row>
    <row r="842" spans="1:19" x14ac:dyDescent="0.3">
      <c r="A842" s="13" t="s">
        <v>1019</v>
      </c>
      <c r="B842" s="13" t="s">
        <v>21</v>
      </c>
      <c r="C842" s="5" t="s">
        <v>34</v>
      </c>
      <c r="D842" s="5" t="s">
        <v>52</v>
      </c>
      <c r="E842" s="5" t="s">
        <v>60</v>
      </c>
      <c r="F842" s="5" t="s">
        <v>62</v>
      </c>
      <c r="G842" s="5" t="s">
        <v>67</v>
      </c>
      <c r="H842" s="38">
        <v>2592.42</v>
      </c>
      <c r="I842" s="14">
        <v>0.1</v>
      </c>
      <c r="J842" s="38">
        <v>2333.1779999999999</v>
      </c>
      <c r="K842" s="5">
        <v>7</v>
      </c>
      <c r="L842" s="62">
        <f>Table1[[#This Row],[Final_Unit_Price]]*Table1[[#This Row],[Quantity]]</f>
        <v>16332.245999999999</v>
      </c>
      <c r="M842" s="60">
        <v>1049.93</v>
      </c>
      <c r="N842" s="43">
        <v>45628</v>
      </c>
      <c r="O842" s="18" t="str">
        <f>TEXT(Table1[[#This Row],[Order_Date]],"mmm")</f>
        <v>Dec</v>
      </c>
      <c r="P842" s="18">
        <f t="shared" si="26"/>
        <v>2024</v>
      </c>
      <c r="Q842" s="45">
        <v>45635</v>
      </c>
      <c r="R842" s="19">
        <f>'Cleaned Data'!$Q842-'Cleaned Data'!$N842</f>
        <v>7</v>
      </c>
      <c r="S842" s="19" t="str">
        <f t="shared" si="27"/>
        <v>Winter</v>
      </c>
    </row>
    <row r="843" spans="1:19" x14ac:dyDescent="0.3">
      <c r="A843" s="11" t="s">
        <v>1020</v>
      </c>
      <c r="B843" s="11" t="s">
        <v>26</v>
      </c>
      <c r="C843" s="3" t="s">
        <v>32</v>
      </c>
      <c r="D843" s="3" t="s">
        <v>37</v>
      </c>
      <c r="E843" s="3" t="s">
        <v>59</v>
      </c>
      <c r="F843" s="3" t="s">
        <v>64</v>
      </c>
      <c r="G843" s="3" t="s">
        <v>74</v>
      </c>
      <c r="H843" s="37">
        <v>44387.42</v>
      </c>
      <c r="I843" s="12">
        <v>0</v>
      </c>
      <c r="J843" s="37">
        <v>44387.42</v>
      </c>
      <c r="K843" s="3">
        <v>1</v>
      </c>
      <c r="L843" s="61">
        <f>Table1[[#This Row],[Final_Unit_Price]]*Table1[[#This Row],[Quantity]]</f>
        <v>44387.42</v>
      </c>
      <c r="M843" s="59">
        <v>15535.6</v>
      </c>
      <c r="N843" s="42">
        <v>45567</v>
      </c>
      <c r="O843" s="20" t="str">
        <f>TEXT(Table1[[#This Row],[Order_Date]],"mmm")</f>
        <v>Oct</v>
      </c>
      <c r="P843" s="20">
        <f t="shared" si="26"/>
        <v>2024</v>
      </c>
      <c r="Q843" s="46">
        <v>45570</v>
      </c>
      <c r="R843" s="20">
        <f>'Cleaned Data'!$Q843-'Cleaned Data'!$N843</f>
        <v>3</v>
      </c>
      <c r="S843" s="19" t="str">
        <f t="shared" si="27"/>
        <v>Winter</v>
      </c>
    </row>
    <row r="844" spans="1:19" x14ac:dyDescent="0.3">
      <c r="A844" s="13" t="s">
        <v>1021</v>
      </c>
      <c r="B844" s="13" t="s">
        <v>19</v>
      </c>
      <c r="C844" s="5" t="s">
        <v>33</v>
      </c>
      <c r="D844" s="5" t="s">
        <v>50</v>
      </c>
      <c r="E844" s="5" t="s">
        <v>59</v>
      </c>
      <c r="F844" s="5" t="s">
        <v>64</v>
      </c>
      <c r="G844" s="5" t="s">
        <v>76</v>
      </c>
      <c r="H844" s="38">
        <v>2573.5300000000002</v>
      </c>
      <c r="I844" s="14">
        <v>0</v>
      </c>
      <c r="J844" s="38">
        <v>2573.5300000000002</v>
      </c>
      <c r="K844" s="5">
        <v>5</v>
      </c>
      <c r="L844" s="62">
        <f>Table1[[#This Row],[Final_Unit_Price]]*Table1[[#This Row],[Quantity]]</f>
        <v>12867.650000000001</v>
      </c>
      <c r="M844" s="60">
        <v>4503.68</v>
      </c>
      <c r="N844" s="43">
        <v>45770</v>
      </c>
      <c r="O844" s="18" t="str">
        <f>TEXT(Table1[[#This Row],[Order_Date]],"mmm")</f>
        <v>Apr</v>
      </c>
      <c r="P844" s="18">
        <f t="shared" si="26"/>
        <v>2025</v>
      </c>
      <c r="Q844" s="45">
        <v>45775</v>
      </c>
      <c r="R844" s="19">
        <f>'Cleaned Data'!$Q844-'Cleaned Data'!$N844</f>
        <v>5</v>
      </c>
      <c r="S844" s="19" t="str">
        <f t="shared" si="27"/>
        <v>Summer</v>
      </c>
    </row>
    <row r="845" spans="1:19" x14ac:dyDescent="0.3">
      <c r="A845" s="11" t="s">
        <v>1022</v>
      </c>
      <c r="B845" s="11" t="s">
        <v>22</v>
      </c>
      <c r="C845" s="3" t="s">
        <v>31</v>
      </c>
      <c r="D845" s="3" t="s">
        <v>47</v>
      </c>
      <c r="E845" s="3" t="s">
        <v>59</v>
      </c>
      <c r="F845" s="3" t="s">
        <v>64</v>
      </c>
      <c r="G845" s="3" t="s">
        <v>76</v>
      </c>
      <c r="H845" s="37">
        <v>4407.32</v>
      </c>
      <c r="I845" s="12">
        <v>0.1</v>
      </c>
      <c r="J845" s="37">
        <v>3966.5880000000002</v>
      </c>
      <c r="K845" s="3">
        <v>5</v>
      </c>
      <c r="L845" s="61">
        <f>Table1[[#This Row],[Final_Unit_Price]]*Table1[[#This Row],[Quantity]]</f>
        <v>19832.940000000002</v>
      </c>
      <c r="M845" s="59">
        <v>6941.53</v>
      </c>
      <c r="N845" s="42">
        <v>45521</v>
      </c>
      <c r="O845" s="20" t="str">
        <f>TEXT(Table1[[#This Row],[Order_Date]],"mmm")</f>
        <v>Aug</v>
      </c>
      <c r="P845" s="20">
        <f t="shared" si="26"/>
        <v>2024</v>
      </c>
      <c r="Q845" s="46">
        <v>45524</v>
      </c>
      <c r="R845" s="20">
        <f>'Cleaned Data'!$Q845-'Cleaned Data'!$N845</f>
        <v>3</v>
      </c>
      <c r="S845" s="19" t="str">
        <f t="shared" si="27"/>
        <v>Monsoon</v>
      </c>
    </row>
    <row r="846" spans="1:19" x14ac:dyDescent="0.3">
      <c r="A846" s="13" t="s">
        <v>1023</v>
      </c>
      <c r="B846" s="13" t="s">
        <v>22</v>
      </c>
      <c r="C846" s="5" t="s">
        <v>31</v>
      </c>
      <c r="D846" s="5" t="s">
        <v>36</v>
      </c>
      <c r="E846" s="5" t="s">
        <v>58</v>
      </c>
      <c r="F846" s="5" t="s">
        <v>63</v>
      </c>
      <c r="G846" s="5" t="s">
        <v>68</v>
      </c>
      <c r="H846" s="38">
        <v>3206.66</v>
      </c>
      <c r="I846" s="14">
        <v>0.1</v>
      </c>
      <c r="J846" s="38">
        <v>2885.9940000000001</v>
      </c>
      <c r="K846" s="5">
        <v>5</v>
      </c>
      <c r="L846" s="62">
        <f>Table1[[#This Row],[Final_Unit_Price]]*Table1[[#This Row],[Quantity]]</f>
        <v>14429.970000000001</v>
      </c>
      <c r="M846" s="60">
        <v>3607.49</v>
      </c>
      <c r="N846" s="43">
        <v>45672</v>
      </c>
      <c r="O846" s="18" t="str">
        <f>TEXT(Table1[[#This Row],[Order_Date]],"mmm")</f>
        <v>Jan</v>
      </c>
      <c r="P846" s="18">
        <f t="shared" si="26"/>
        <v>2025</v>
      </c>
      <c r="Q846" s="45">
        <v>45678</v>
      </c>
      <c r="R846" s="19">
        <f>'Cleaned Data'!$Q846-'Cleaned Data'!$N846</f>
        <v>6</v>
      </c>
      <c r="S846" s="19" t="str">
        <f t="shared" si="27"/>
        <v>Winter</v>
      </c>
    </row>
    <row r="847" spans="1:19" x14ac:dyDescent="0.3">
      <c r="A847" s="11" t="s">
        <v>1024</v>
      </c>
      <c r="B847" s="11" t="s">
        <v>27</v>
      </c>
      <c r="C847" s="3" t="s">
        <v>35</v>
      </c>
      <c r="D847" s="3" t="s">
        <v>44</v>
      </c>
      <c r="E847" s="3" t="s">
        <v>60</v>
      </c>
      <c r="F847" s="3" t="s">
        <v>61</v>
      </c>
      <c r="G847" s="3" t="s">
        <v>65</v>
      </c>
      <c r="H847" s="37">
        <v>6705.75</v>
      </c>
      <c r="I847" s="12">
        <v>0.1</v>
      </c>
      <c r="J847" s="37">
        <v>6035.1750000000002</v>
      </c>
      <c r="K847" s="3">
        <v>2</v>
      </c>
      <c r="L847" s="61">
        <f>Table1[[#This Row],[Final_Unit_Price]]*Table1[[#This Row],[Quantity]]</f>
        <v>12070.35</v>
      </c>
      <c r="M847" s="59">
        <v>1810.55</v>
      </c>
      <c r="N847" s="42">
        <v>45698</v>
      </c>
      <c r="O847" s="20" t="str">
        <f>TEXT(Table1[[#This Row],[Order_Date]],"mmm")</f>
        <v>Feb</v>
      </c>
      <c r="P847" s="20">
        <f t="shared" si="26"/>
        <v>2025</v>
      </c>
      <c r="Q847" s="46">
        <v>45706</v>
      </c>
      <c r="R847" s="20">
        <f>'Cleaned Data'!$Q847-'Cleaned Data'!$N847</f>
        <v>8</v>
      </c>
      <c r="S847" s="19" t="str">
        <f t="shared" si="27"/>
        <v>Summer</v>
      </c>
    </row>
    <row r="848" spans="1:19" x14ac:dyDescent="0.3">
      <c r="A848" s="13" t="s">
        <v>1025</v>
      </c>
      <c r="B848" s="13" t="s">
        <v>16</v>
      </c>
      <c r="C848" s="5" t="s">
        <v>31</v>
      </c>
      <c r="D848" s="5" t="s">
        <v>42</v>
      </c>
      <c r="E848" s="5" t="s">
        <v>60</v>
      </c>
      <c r="F848" s="5" t="s">
        <v>62</v>
      </c>
      <c r="G848" s="5" t="s">
        <v>69</v>
      </c>
      <c r="H848" s="38">
        <v>2257</v>
      </c>
      <c r="I848" s="14">
        <v>0.2</v>
      </c>
      <c r="J848" s="38">
        <v>1805.6</v>
      </c>
      <c r="K848" s="5">
        <v>5</v>
      </c>
      <c r="L848" s="62">
        <f>Table1[[#This Row],[Final_Unit_Price]]*Table1[[#This Row],[Quantity]]</f>
        <v>9028</v>
      </c>
      <c r="M848" s="60">
        <v>1354.2</v>
      </c>
      <c r="N848" s="43">
        <v>45807</v>
      </c>
      <c r="O848" s="18" t="str">
        <f>TEXT(Table1[[#This Row],[Order_Date]],"mmm")</f>
        <v>May</v>
      </c>
      <c r="P848" s="18">
        <f t="shared" si="26"/>
        <v>2025</v>
      </c>
      <c r="Q848" s="45">
        <v>45817</v>
      </c>
      <c r="R848" s="19">
        <f>'Cleaned Data'!$Q848-'Cleaned Data'!$N848</f>
        <v>10</v>
      </c>
      <c r="S848" s="19" t="str">
        <f t="shared" si="27"/>
        <v>Summer</v>
      </c>
    </row>
    <row r="849" spans="1:19" x14ac:dyDescent="0.3">
      <c r="A849" s="11" t="s">
        <v>1026</v>
      </c>
      <c r="B849" s="11" t="s">
        <v>28</v>
      </c>
      <c r="C849" s="3" t="s">
        <v>34</v>
      </c>
      <c r="D849" s="3" t="s">
        <v>41</v>
      </c>
      <c r="E849" s="3" t="s">
        <v>60</v>
      </c>
      <c r="F849" s="3" t="s">
        <v>62</v>
      </c>
      <c r="G849" s="3" t="s">
        <v>69</v>
      </c>
      <c r="H849" s="37">
        <v>1337.08</v>
      </c>
      <c r="I849" s="12">
        <v>0.15</v>
      </c>
      <c r="J849" s="37">
        <v>1136.518</v>
      </c>
      <c r="K849" s="3">
        <v>4</v>
      </c>
      <c r="L849" s="61">
        <f>Table1[[#This Row],[Final_Unit_Price]]*Table1[[#This Row],[Quantity]]</f>
        <v>4546.0720000000001</v>
      </c>
      <c r="M849" s="59">
        <v>681.91</v>
      </c>
      <c r="N849" s="42">
        <v>45342</v>
      </c>
      <c r="O849" s="20" t="str">
        <f>TEXT(Table1[[#This Row],[Order_Date]],"mmm")</f>
        <v>Feb</v>
      </c>
      <c r="P849" s="20">
        <f t="shared" si="26"/>
        <v>2024</v>
      </c>
      <c r="Q849" s="46">
        <v>45348</v>
      </c>
      <c r="R849" s="20">
        <f>'Cleaned Data'!$Q849-'Cleaned Data'!$N849</f>
        <v>6</v>
      </c>
      <c r="S849" s="19" t="str">
        <f t="shared" si="27"/>
        <v>Summer</v>
      </c>
    </row>
    <row r="850" spans="1:19" x14ac:dyDescent="0.3">
      <c r="A850" s="13" t="s">
        <v>1027</v>
      </c>
      <c r="B850" s="13" t="s">
        <v>19</v>
      </c>
      <c r="C850" s="5" t="s">
        <v>33</v>
      </c>
      <c r="D850" s="5" t="s">
        <v>38</v>
      </c>
      <c r="E850" s="5" t="s">
        <v>59</v>
      </c>
      <c r="F850" s="5" t="s">
        <v>64</v>
      </c>
      <c r="G850" s="5" t="s">
        <v>72</v>
      </c>
      <c r="H850" s="38">
        <v>2466.15</v>
      </c>
      <c r="I850" s="14">
        <v>0.05</v>
      </c>
      <c r="J850" s="38">
        <v>2342.8425000000002</v>
      </c>
      <c r="K850" s="5">
        <v>1</v>
      </c>
      <c r="L850" s="62">
        <f>Table1[[#This Row],[Final_Unit_Price]]*Table1[[#This Row],[Quantity]]</f>
        <v>2342.8425000000002</v>
      </c>
      <c r="M850" s="60">
        <v>819.99</v>
      </c>
      <c r="N850" s="43">
        <v>45560</v>
      </c>
      <c r="O850" s="18" t="str">
        <f>TEXT(Table1[[#This Row],[Order_Date]],"mmm")</f>
        <v>Sep</v>
      </c>
      <c r="P850" s="18">
        <f t="shared" si="26"/>
        <v>2024</v>
      </c>
      <c r="Q850" s="45">
        <v>45562</v>
      </c>
      <c r="R850" s="19">
        <f>'Cleaned Data'!$Q850-'Cleaned Data'!$N850</f>
        <v>2</v>
      </c>
      <c r="S850" s="19" t="str">
        <f t="shared" si="27"/>
        <v>Monsoon</v>
      </c>
    </row>
    <row r="851" spans="1:19" x14ac:dyDescent="0.3">
      <c r="A851" s="11" t="s">
        <v>1028</v>
      </c>
      <c r="B851" s="11" t="s">
        <v>21</v>
      </c>
      <c r="C851" s="3" t="s">
        <v>34</v>
      </c>
      <c r="D851" s="3" t="s">
        <v>41</v>
      </c>
      <c r="E851" s="3" t="s">
        <v>60</v>
      </c>
      <c r="F851" s="3" t="s">
        <v>63</v>
      </c>
      <c r="G851" s="3" t="s">
        <v>68</v>
      </c>
      <c r="H851" s="37">
        <v>2455.08</v>
      </c>
      <c r="I851" s="12">
        <v>0.05</v>
      </c>
      <c r="J851" s="37">
        <v>2332.326</v>
      </c>
      <c r="K851" s="3">
        <v>4</v>
      </c>
      <c r="L851" s="61">
        <f>Table1[[#This Row],[Final_Unit_Price]]*Table1[[#This Row],[Quantity]]</f>
        <v>9329.3040000000001</v>
      </c>
      <c r="M851" s="59">
        <v>1399.39</v>
      </c>
      <c r="N851" s="42">
        <v>45357</v>
      </c>
      <c r="O851" s="20" t="str">
        <f>TEXT(Table1[[#This Row],[Order_Date]],"mmm")</f>
        <v>Mar</v>
      </c>
      <c r="P851" s="20">
        <f t="shared" si="26"/>
        <v>2024</v>
      </c>
      <c r="Q851" s="46">
        <v>45367</v>
      </c>
      <c r="R851" s="20">
        <f>'Cleaned Data'!$Q851-'Cleaned Data'!$N851</f>
        <v>10</v>
      </c>
      <c r="S851" s="19" t="str">
        <f t="shared" si="27"/>
        <v>Summer</v>
      </c>
    </row>
    <row r="852" spans="1:19" x14ac:dyDescent="0.3">
      <c r="A852" s="13" t="s">
        <v>1029</v>
      </c>
      <c r="B852" s="13" t="s">
        <v>21</v>
      </c>
      <c r="C852" s="5" t="s">
        <v>34</v>
      </c>
      <c r="D852" s="5" t="s">
        <v>51</v>
      </c>
      <c r="E852" s="5" t="s">
        <v>59</v>
      </c>
      <c r="F852" s="5" t="s">
        <v>64</v>
      </c>
      <c r="G852" s="5" t="s">
        <v>72</v>
      </c>
      <c r="H852" s="38">
        <v>3719.55</v>
      </c>
      <c r="I852" s="14">
        <v>0.05</v>
      </c>
      <c r="J852" s="38">
        <v>3533.5725000000002</v>
      </c>
      <c r="K852" s="5">
        <v>5</v>
      </c>
      <c r="L852" s="62">
        <f>Table1[[#This Row],[Final_Unit_Price]]*Table1[[#This Row],[Quantity]]</f>
        <v>17667.862500000003</v>
      </c>
      <c r="M852" s="60">
        <v>6183.75</v>
      </c>
      <c r="N852" s="43">
        <v>45375</v>
      </c>
      <c r="O852" s="18" t="str">
        <f>TEXT(Table1[[#This Row],[Order_Date]],"mmm")</f>
        <v>Mar</v>
      </c>
      <c r="P852" s="18">
        <f t="shared" si="26"/>
        <v>2024</v>
      </c>
      <c r="Q852" s="45">
        <v>45384</v>
      </c>
      <c r="R852" s="19">
        <f>'Cleaned Data'!$Q852-'Cleaned Data'!$N852</f>
        <v>9</v>
      </c>
      <c r="S852" s="19" t="str">
        <f t="shared" si="27"/>
        <v>Summer</v>
      </c>
    </row>
    <row r="853" spans="1:19" x14ac:dyDescent="0.3">
      <c r="A853" s="11" t="s">
        <v>1030</v>
      </c>
      <c r="B853" s="11" t="s">
        <v>24</v>
      </c>
      <c r="C853" s="3" t="s">
        <v>32</v>
      </c>
      <c r="D853" s="3" t="s">
        <v>37</v>
      </c>
      <c r="E853" s="3" t="s">
        <v>59</v>
      </c>
      <c r="F853" s="3" t="s">
        <v>64</v>
      </c>
      <c r="G853" s="3" t="s">
        <v>76</v>
      </c>
      <c r="H853" s="37">
        <v>33481.089999999997</v>
      </c>
      <c r="I853" s="12">
        <v>0.1</v>
      </c>
      <c r="J853" s="37">
        <v>30132.981</v>
      </c>
      <c r="K853" s="3">
        <v>2</v>
      </c>
      <c r="L853" s="61">
        <f>Table1[[#This Row],[Final_Unit_Price]]*Table1[[#This Row],[Quantity]]</f>
        <v>60265.962</v>
      </c>
      <c r="M853" s="59">
        <v>21093.09</v>
      </c>
      <c r="N853" s="42">
        <v>45568</v>
      </c>
      <c r="O853" s="20" t="str">
        <f>TEXT(Table1[[#This Row],[Order_Date]],"mmm")</f>
        <v>Oct</v>
      </c>
      <c r="P853" s="20">
        <f t="shared" si="26"/>
        <v>2024</v>
      </c>
      <c r="Q853" s="46">
        <v>45571</v>
      </c>
      <c r="R853" s="20">
        <f>'Cleaned Data'!$Q853-'Cleaned Data'!$N853</f>
        <v>3</v>
      </c>
      <c r="S853" s="19" t="str">
        <f t="shared" si="27"/>
        <v>Winter</v>
      </c>
    </row>
    <row r="854" spans="1:19" x14ac:dyDescent="0.3">
      <c r="A854" s="13" t="s">
        <v>1031</v>
      </c>
      <c r="B854" s="13" t="s">
        <v>28</v>
      </c>
      <c r="C854" s="5" t="s">
        <v>34</v>
      </c>
      <c r="D854" s="5" t="s">
        <v>52</v>
      </c>
      <c r="E854" s="5" t="s">
        <v>60</v>
      </c>
      <c r="F854" s="5" t="s">
        <v>63</v>
      </c>
      <c r="G854" s="5" t="s">
        <v>73</v>
      </c>
      <c r="H854" s="38">
        <v>1170.1500000000001</v>
      </c>
      <c r="I854" s="14">
        <v>0.1</v>
      </c>
      <c r="J854" s="38">
        <v>1053.135</v>
      </c>
      <c r="K854" s="5">
        <v>5</v>
      </c>
      <c r="L854" s="62">
        <f>Table1[[#This Row],[Final_Unit_Price]]*Table1[[#This Row],[Quantity]]</f>
        <v>5265.6750000000002</v>
      </c>
      <c r="M854" s="60">
        <v>789.85</v>
      </c>
      <c r="N854" s="43">
        <v>45808</v>
      </c>
      <c r="O854" s="18" t="str">
        <f>TEXT(Table1[[#This Row],[Order_Date]],"mmm")</f>
        <v>May</v>
      </c>
      <c r="P854" s="18">
        <f t="shared" si="26"/>
        <v>2025</v>
      </c>
      <c r="Q854" s="45">
        <v>45814</v>
      </c>
      <c r="R854" s="19">
        <f>'Cleaned Data'!$Q854-'Cleaned Data'!$N854</f>
        <v>6</v>
      </c>
      <c r="S854" s="19" t="str">
        <f t="shared" si="27"/>
        <v>Summer</v>
      </c>
    </row>
    <row r="855" spans="1:19" x14ac:dyDescent="0.3">
      <c r="A855" s="11" t="s">
        <v>1032</v>
      </c>
      <c r="B855" s="11" t="s">
        <v>25</v>
      </c>
      <c r="C855" s="3" t="s">
        <v>34</v>
      </c>
      <c r="D855" s="3" t="s">
        <v>51</v>
      </c>
      <c r="E855" s="3" t="s">
        <v>59</v>
      </c>
      <c r="F855" s="3" t="s">
        <v>63</v>
      </c>
      <c r="G855" s="3" t="s">
        <v>68</v>
      </c>
      <c r="H855" s="37">
        <v>894.4</v>
      </c>
      <c r="I855" s="12">
        <v>0.2</v>
      </c>
      <c r="J855" s="37">
        <v>715.52</v>
      </c>
      <c r="K855" s="3">
        <v>5</v>
      </c>
      <c r="L855" s="61">
        <f>Table1[[#This Row],[Final_Unit_Price]]*Table1[[#This Row],[Quantity]]</f>
        <v>3577.6</v>
      </c>
      <c r="M855" s="59">
        <v>1252.1600000000001</v>
      </c>
      <c r="N855" s="42">
        <v>45502</v>
      </c>
      <c r="O855" s="20" t="str">
        <f>TEXT(Table1[[#This Row],[Order_Date]],"mmm")</f>
        <v>Jul</v>
      </c>
      <c r="P855" s="20">
        <f t="shared" si="26"/>
        <v>2024</v>
      </c>
      <c r="Q855" s="46">
        <v>45509</v>
      </c>
      <c r="R855" s="20">
        <f>'Cleaned Data'!$Q855-'Cleaned Data'!$N855</f>
        <v>7</v>
      </c>
      <c r="S855" s="19" t="str">
        <f t="shared" si="27"/>
        <v>Monsoon</v>
      </c>
    </row>
    <row r="856" spans="1:19" x14ac:dyDescent="0.3">
      <c r="A856" s="13" t="s">
        <v>1033</v>
      </c>
      <c r="B856" s="13" t="s">
        <v>30</v>
      </c>
      <c r="C856" s="5" t="s">
        <v>33</v>
      </c>
      <c r="D856" s="5" t="s">
        <v>38</v>
      </c>
      <c r="E856" s="5" t="s">
        <v>59</v>
      </c>
      <c r="F856" s="5" t="s">
        <v>64</v>
      </c>
      <c r="G856" s="5" t="s">
        <v>72</v>
      </c>
      <c r="H856" s="38">
        <v>20115.96</v>
      </c>
      <c r="I856" s="14">
        <v>0.3</v>
      </c>
      <c r="J856" s="38">
        <v>14081.172</v>
      </c>
      <c r="K856" s="5">
        <v>2</v>
      </c>
      <c r="L856" s="62">
        <f>Table1[[#This Row],[Final_Unit_Price]]*Table1[[#This Row],[Quantity]]</f>
        <v>28162.344000000001</v>
      </c>
      <c r="M856" s="60">
        <v>9856.82</v>
      </c>
      <c r="N856" s="43">
        <v>45825</v>
      </c>
      <c r="O856" s="18" t="str">
        <f>TEXT(Table1[[#This Row],[Order_Date]],"mmm")</f>
        <v>Jun</v>
      </c>
      <c r="P856" s="18">
        <f t="shared" si="26"/>
        <v>2025</v>
      </c>
      <c r="Q856" s="45">
        <v>45832</v>
      </c>
      <c r="R856" s="19">
        <f>'Cleaned Data'!$Q856-'Cleaned Data'!$N856</f>
        <v>7</v>
      </c>
      <c r="S856" s="19" t="str">
        <f t="shared" si="27"/>
        <v>Monsoon</v>
      </c>
    </row>
    <row r="857" spans="1:19" x14ac:dyDescent="0.3">
      <c r="A857" s="11" t="s">
        <v>1034</v>
      </c>
      <c r="B857" s="11" t="s">
        <v>22</v>
      </c>
      <c r="C857" s="3" t="s">
        <v>31</v>
      </c>
      <c r="D857" s="3" t="s">
        <v>47</v>
      </c>
      <c r="E857" s="3" t="s">
        <v>59</v>
      </c>
      <c r="F857" s="3" t="s">
        <v>63</v>
      </c>
      <c r="G857" s="3" t="s">
        <v>68</v>
      </c>
      <c r="H857" s="37">
        <v>3896.85</v>
      </c>
      <c r="I857" s="12">
        <v>0.1</v>
      </c>
      <c r="J857" s="37">
        <v>3507.165</v>
      </c>
      <c r="K857" s="3">
        <v>5</v>
      </c>
      <c r="L857" s="61">
        <f>Table1[[#This Row],[Final_Unit_Price]]*Table1[[#This Row],[Quantity]]</f>
        <v>17535.825000000001</v>
      </c>
      <c r="M857" s="59">
        <v>6137.54</v>
      </c>
      <c r="N857" s="42">
        <v>45705</v>
      </c>
      <c r="O857" s="20" t="str">
        <f>TEXT(Table1[[#This Row],[Order_Date]],"mmm")</f>
        <v>Feb</v>
      </c>
      <c r="P857" s="20">
        <f t="shared" si="26"/>
        <v>2025</v>
      </c>
      <c r="Q857" s="46">
        <v>45708</v>
      </c>
      <c r="R857" s="20">
        <f>'Cleaned Data'!$Q857-'Cleaned Data'!$N857</f>
        <v>3</v>
      </c>
      <c r="S857" s="19" t="str">
        <f t="shared" si="27"/>
        <v>Summer</v>
      </c>
    </row>
    <row r="858" spans="1:19" x14ac:dyDescent="0.3">
      <c r="A858" s="13" t="s">
        <v>1035</v>
      </c>
      <c r="B858" s="13" t="s">
        <v>27</v>
      </c>
      <c r="C858" s="5" t="s">
        <v>35</v>
      </c>
      <c r="D858" s="5" t="s">
        <v>44</v>
      </c>
      <c r="E858" s="5" t="s">
        <v>60</v>
      </c>
      <c r="F858" s="5" t="s">
        <v>63</v>
      </c>
      <c r="G858" s="5" t="s">
        <v>75</v>
      </c>
      <c r="H858" s="38">
        <v>6140.51</v>
      </c>
      <c r="I858" s="14">
        <v>0.2</v>
      </c>
      <c r="J858" s="38">
        <v>4912.4080000000004</v>
      </c>
      <c r="K858" s="5">
        <v>2</v>
      </c>
      <c r="L858" s="62">
        <f>Table1[[#This Row],[Final_Unit_Price]]*Table1[[#This Row],[Quantity]]</f>
        <v>9824.8160000000007</v>
      </c>
      <c r="M858" s="60">
        <v>1473.72</v>
      </c>
      <c r="N858" s="43">
        <v>45476</v>
      </c>
      <c r="O858" s="18" t="str">
        <f>TEXT(Table1[[#This Row],[Order_Date]],"mmm")</f>
        <v>Jul</v>
      </c>
      <c r="P858" s="18">
        <f t="shared" si="26"/>
        <v>2024</v>
      </c>
      <c r="Q858" s="45">
        <v>45483</v>
      </c>
      <c r="R858" s="19">
        <f>'Cleaned Data'!$Q858-'Cleaned Data'!$N858</f>
        <v>7</v>
      </c>
      <c r="S858" s="19" t="str">
        <f t="shared" si="27"/>
        <v>Monsoon</v>
      </c>
    </row>
    <row r="859" spans="1:19" x14ac:dyDescent="0.3">
      <c r="A859" s="11" t="s">
        <v>1036</v>
      </c>
      <c r="B859" s="11" t="s">
        <v>17</v>
      </c>
      <c r="C859" s="3" t="s">
        <v>32</v>
      </c>
      <c r="D859" s="3" t="s">
        <v>43</v>
      </c>
      <c r="E859" s="3" t="s">
        <v>58</v>
      </c>
      <c r="F859" s="3" t="s">
        <v>62</v>
      </c>
      <c r="G859" s="3" t="s">
        <v>67</v>
      </c>
      <c r="H859" s="37">
        <v>8096.26</v>
      </c>
      <c r="I859" s="12">
        <v>0.1</v>
      </c>
      <c r="J859" s="37">
        <v>7286.634</v>
      </c>
      <c r="K859" s="3">
        <v>1</v>
      </c>
      <c r="L859" s="61">
        <f>Table1[[#This Row],[Final_Unit_Price]]*Table1[[#This Row],[Quantity]]</f>
        <v>7286.634</v>
      </c>
      <c r="M859" s="59">
        <v>1821.66</v>
      </c>
      <c r="N859" s="42">
        <v>45811</v>
      </c>
      <c r="O859" s="20" t="str">
        <f>TEXT(Table1[[#This Row],[Order_Date]],"mmm")</f>
        <v>Jun</v>
      </c>
      <c r="P859" s="20">
        <f t="shared" si="26"/>
        <v>2025</v>
      </c>
      <c r="Q859" s="46">
        <v>45816</v>
      </c>
      <c r="R859" s="20">
        <f>'Cleaned Data'!$Q859-'Cleaned Data'!$N859</f>
        <v>5</v>
      </c>
      <c r="S859" s="19" t="str">
        <f t="shared" si="27"/>
        <v>Monsoon</v>
      </c>
    </row>
    <row r="860" spans="1:19" x14ac:dyDescent="0.3">
      <c r="A860" s="13" t="s">
        <v>1037</v>
      </c>
      <c r="B860" s="13" t="s">
        <v>25</v>
      </c>
      <c r="C860" s="5" t="s">
        <v>34</v>
      </c>
      <c r="D860" s="5" t="s">
        <v>45</v>
      </c>
      <c r="E860" s="5" t="s">
        <v>59</v>
      </c>
      <c r="F860" s="5" t="s">
        <v>61</v>
      </c>
      <c r="G860" s="5" t="s">
        <v>70</v>
      </c>
      <c r="H860" s="38">
        <v>917.72</v>
      </c>
      <c r="I860" s="14">
        <v>0</v>
      </c>
      <c r="J860" s="38">
        <v>917.72</v>
      </c>
      <c r="K860" s="5">
        <v>2</v>
      </c>
      <c r="L860" s="62">
        <f>Table1[[#This Row],[Final_Unit_Price]]*Table1[[#This Row],[Quantity]]</f>
        <v>1835.44</v>
      </c>
      <c r="M860" s="60">
        <v>642.4</v>
      </c>
      <c r="N860" s="43">
        <v>45406</v>
      </c>
      <c r="O860" s="18" t="str">
        <f>TEXT(Table1[[#This Row],[Order_Date]],"mmm")</f>
        <v>Apr</v>
      </c>
      <c r="P860" s="18">
        <f t="shared" si="26"/>
        <v>2024</v>
      </c>
      <c r="Q860" s="45">
        <v>45415</v>
      </c>
      <c r="R860" s="19">
        <f>'Cleaned Data'!$Q860-'Cleaned Data'!$N860</f>
        <v>9</v>
      </c>
      <c r="S860" s="19" t="str">
        <f t="shared" si="27"/>
        <v>Summer</v>
      </c>
    </row>
    <row r="861" spans="1:19" x14ac:dyDescent="0.3">
      <c r="A861" s="11" t="s">
        <v>1038</v>
      </c>
      <c r="B861" s="11" t="s">
        <v>23</v>
      </c>
      <c r="C861" s="3" t="s">
        <v>35</v>
      </c>
      <c r="D861" s="3" t="s">
        <v>38</v>
      </c>
      <c r="E861" s="3" t="s">
        <v>59</v>
      </c>
      <c r="F861" s="3" t="s">
        <v>62</v>
      </c>
      <c r="G861" s="3" t="s">
        <v>67</v>
      </c>
      <c r="H861" s="37">
        <v>30434.34</v>
      </c>
      <c r="I861" s="12">
        <v>0.05</v>
      </c>
      <c r="J861" s="37">
        <v>28912.623</v>
      </c>
      <c r="K861" s="3">
        <v>4</v>
      </c>
      <c r="L861" s="61">
        <f>Table1[[#This Row],[Final_Unit_Price]]*Table1[[#This Row],[Quantity]]</f>
        <v>115650.492</v>
      </c>
      <c r="M861" s="59">
        <v>40477.67</v>
      </c>
      <c r="N861" s="42">
        <v>45683</v>
      </c>
      <c r="O861" s="20" t="str">
        <f>TEXT(Table1[[#This Row],[Order_Date]],"mmm")</f>
        <v>Jan</v>
      </c>
      <c r="P861" s="20">
        <f t="shared" si="26"/>
        <v>2025</v>
      </c>
      <c r="Q861" s="46">
        <v>45690</v>
      </c>
      <c r="R861" s="20">
        <f>'Cleaned Data'!$Q861-'Cleaned Data'!$N861</f>
        <v>7</v>
      </c>
      <c r="S861" s="19" t="str">
        <f t="shared" si="27"/>
        <v>Winter</v>
      </c>
    </row>
    <row r="862" spans="1:19" x14ac:dyDescent="0.3">
      <c r="A862" s="13" t="s">
        <v>1039</v>
      </c>
      <c r="B862" s="13" t="s">
        <v>22</v>
      </c>
      <c r="C862" s="5" t="s">
        <v>31</v>
      </c>
      <c r="D862" s="5" t="s">
        <v>42</v>
      </c>
      <c r="E862" s="5" t="s">
        <v>60</v>
      </c>
      <c r="F862" s="5" t="s">
        <v>62</v>
      </c>
      <c r="G862" s="5" t="s">
        <v>69</v>
      </c>
      <c r="H862" s="38">
        <v>3019.33</v>
      </c>
      <c r="I862" s="14">
        <v>0.05</v>
      </c>
      <c r="J862" s="38">
        <v>2868.3634999999999</v>
      </c>
      <c r="K862" s="5">
        <v>2</v>
      </c>
      <c r="L862" s="62">
        <f>Table1[[#This Row],[Final_Unit_Price]]*Table1[[#This Row],[Quantity]]</f>
        <v>5736.7269999999999</v>
      </c>
      <c r="M862" s="60">
        <v>860.51</v>
      </c>
      <c r="N862" s="43">
        <v>45697</v>
      </c>
      <c r="O862" s="18" t="str">
        <f>TEXT(Table1[[#This Row],[Order_Date]],"mmm")</f>
        <v>Feb</v>
      </c>
      <c r="P862" s="18">
        <f t="shared" si="26"/>
        <v>2025</v>
      </c>
      <c r="Q862" s="45">
        <v>45701</v>
      </c>
      <c r="R862" s="19">
        <f>'Cleaned Data'!$Q862-'Cleaned Data'!$N862</f>
        <v>4</v>
      </c>
      <c r="S862" s="19" t="str">
        <f t="shared" si="27"/>
        <v>Summer</v>
      </c>
    </row>
    <row r="863" spans="1:19" x14ac:dyDescent="0.3">
      <c r="A863" s="11" t="s">
        <v>1040</v>
      </c>
      <c r="B863" s="11" t="s">
        <v>22</v>
      </c>
      <c r="C863" s="3" t="s">
        <v>31</v>
      </c>
      <c r="D863" s="3" t="s">
        <v>36</v>
      </c>
      <c r="E863" s="3" t="s">
        <v>58</v>
      </c>
      <c r="F863" s="3" t="s">
        <v>61</v>
      </c>
      <c r="G863" s="3" t="s">
        <v>65</v>
      </c>
      <c r="H863" s="37">
        <v>3335.19</v>
      </c>
      <c r="I863" s="12">
        <v>0.25</v>
      </c>
      <c r="J863" s="37">
        <v>2501.3924999999999</v>
      </c>
      <c r="K863" s="3">
        <v>3</v>
      </c>
      <c r="L863" s="61">
        <f>Table1[[#This Row],[Final_Unit_Price]]*Table1[[#This Row],[Quantity]]</f>
        <v>7504.1774999999998</v>
      </c>
      <c r="M863" s="59">
        <v>1876.05</v>
      </c>
      <c r="N863" s="42">
        <v>45553</v>
      </c>
      <c r="O863" s="20" t="str">
        <f>TEXT(Table1[[#This Row],[Order_Date]],"mmm")</f>
        <v>Sep</v>
      </c>
      <c r="P863" s="20">
        <f t="shared" si="26"/>
        <v>2024</v>
      </c>
      <c r="Q863" s="46">
        <v>45559</v>
      </c>
      <c r="R863" s="20">
        <f>'Cleaned Data'!$Q863-'Cleaned Data'!$N863</f>
        <v>6</v>
      </c>
      <c r="S863" s="19" t="str">
        <f t="shared" si="27"/>
        <v>Monsoon</v>
      </c>
    </row>
    <row r="864" spans="1:19" x14ac:dyDescent="0.3">
      <c r="A864" s="13" t="s">
        <v>1041</v>
      </c>
      <c r="B864" s="13" t="s">
        <v>19</v>
      </c>
      <c r="C864" s="5" t="s">
        <v>33</v>
      </c>
      <c r="D864" s="5" t="s">
        <v>39</v>
      </c>
      <c r="E864" s="5" t="s">
        <v>58</v>
      </c>
      <c r="F864" s="5" t="s">
        <v>61</v>
      </c>
      <c r="G864" s="5" t="s">
        <v>65</v>
      </c>
      <c r="H864" s="38">
        <v>1896.86</v>
      </c>
      <c r="I864" s="14">
        <v>0.3</v>
      </c>
      <c r="J864" s="38">
        <v>1327.8019999999999</v>
      </c>
      <c r="K864" s="5">
        <v>3</v>
      </c>
      <c r="L864" s="62">
        <f>Table1[[#This Row],[Final_Unit_Price]]*Table1[[#This Row],[Quantity]]</f>
        <v>3983.4059999999999</v>
      </c>
      <c r="M864" s="60">
        <v>995.85</v>
      </c>
      <c r="N864" s="43">
        <v>45818</v>
      </c>
      <c r="O864" s="18" t="str">
        <f>TEXT(Table1[[#This Row],[Order_Date]],"mmm")</f>
        <v>Jun</v>
      </c>
      <c r="P864" s="18">
        <f t="shared" si="26"/>
        <v>2025</v>
      </c>
      <c r="Q864" s="45">
        <v>45826</v>
      </c>
      <c r="R864" s="19">
        <f>'Cleaned Data'!$Q864-'Cleaned Data'!$N864</f>
        <v>8</v>
      </c>
      <c r="S864" s="19" t="str">
        <f t="shared" si="27"/>
        <v>Monsoon</v>
      </c>
    </row>
    <row r="865" spans="1:19" x14ac:dyDescent="0.3">
      <c r="A865" s="11" t="s">
        <v>1042</v>
      </c>
      <c r="B865" s="11" t="s">
        <v>26</v>
      </c>
      <c r="C865" s="3" t="s">
        <v>32</v>
      </c>
      <c r="D865" s="3" t="s">
        <v>43</v>
      </c>
      <c r="E865" s="3" t="s">
        <v>58</v>
      </c>
      <c r="F865" s="3" t="s">
        <v>61</v>
      </c>
      <c r="G865" s="3" t="s">
        <v>70</v>
      </c>
      <c r="H865" s="37">
        <v>32758.22</v>
      </c>
      <c r="I865" s="12">
        <v>0.15</v>
      </c>
      <c r="J865" s="37">
        <v>27844.487000000001</v>
      </c>
      <c r="K865" s="3">
        <v>1</v>
      </c>
      <c r="L865" s="61">
        <f>Table1[[#This Row],[Final_Unit_Price]]*Table1[[#This Row],[Quantity]]</f>
        <v>27844.487000000001</v>
      </c>
      <c r="M865" s="59">
        <v>6961.12</v>
      </c>
      <c r="N865" s="42">
        <v>45674</v>
      </c>
      <c r="O865" s="20" t="str">
        <f>TEXT(Table1[[#This Row],[Order_Date]],"mmm")</f>
        <v>Jan</v>
      </c>
      <c r="P865" s="20">
        <f t="shared" si="26"/>
        <v>2025</v>
      </c>
      <c r="Q865" s="46">
        <v>45676</v>
      </c>
      <c r="R865" s="20">
        <f>'Cleaned Data'!$Q865-'Cleaned Data'!$N865</f>
        <v>2</v>
      </c>
      <c r="S865" s="19" t="str">
        <f t="shared" si="27"/>
        <v>Winter</v>
      </c>
    </row>
    <row r="866" spans="1:19" x14ac:dyDescent="0.3">
      <c r="A866" s="13" t="s">
        <v>1043</v>
      </c>
      <c r="B866" s="13" t="s">
        <v>24</v>
      </c>
      <c r="C866" s="5" t="s">
        <v>32</v>
      </c>
      <c r="D866" s="5" t="s">
        <v>40</v>
      </c>
      <c r="E866" s="5" t="s">
        <v>59</v>
      </c>
      <c r="F866" s="5" t="s">
        <v>63</v>
      </c>
      <c r="G866" s="5" t="s">
        <v>75</v>
      </c>
      <c r="H866" s="38">
        <v>27188.53</v>
      </c>
      <c r="I866" s="14">
        <v>0</v>
      </c>
      <c r="J866" s="38">
        <v>27188.53</v>
      </c>
      <c r="K866" s="5">
        <v>4</v>
      </c>
      <c r="L866" s="62">
        <f>Table1[[#This Row],[Final_Unit_Price]]*Table1[[#This Row],[Quantity]]</f>
        <v>108754.12</v>
      </c>
      <c r="M866" s="60">
        <v>38063.94</v>
      </c>
      <c r="N866" s="43">
        <v>45804</v>
      </c>
      <c r="O866" s="18" t="str">
        <f>TEXT(Table1[[#This Row],[Order_Date]],"mmm")</f>
        <v>May</v>
      </c>
      <c r="P866" s="18">
        <f t="shared" si="26"/>
        <v>2025</v>
      </c>
      <c r="Q866" s="45">
        <v>45811</v>
      </c>
      <c r="R866" s="19">
        <f>'Cleaned Data'!$Q866-'Cleaned Data'!$N866</f>
        <v>7</v>
      </c>
      <c r="S866" s="19" t="str">
        <f t="shared" si="27"/>
        <v>Summer</v>
      </c>
    </row>
    <row r="867" spans="1:19" x14ac:dyDescent="0.3">
      <c r="A867" s="11" t="s">
        <v>1044</v>
      </c>
      <c r="B867" s="11" t="s">
        <v>27</v>
      </c>
      <c r="C867" s="3" t="s">
        <v>35</v>
      </c>
      <c r="D867" s="3" t="s">
        <v>46</v>
      </c>
      <c r="E867" s="3" t="s">
        <v>59</v>
      </c>
      <c r="F867" s="3" t="s">
        <v>64</v>
      </c>
      <c r="G867" s="3" t="s">
        <v>72</v>
      </c>
      <c r="H867" s="37">
        <v>10732.6</v>
      </c>
      <c r="I867" s="12">
        <v>0.1</v>
      </c>
      <c r="J867" s="37">
        <v>9659.34</v>
      </c>
      <c r="K867" s="3">
        <v>1</v>
      </c>
      <c r="L867" s="61">
        <f>Table1[[#This Row],[Final_Unit_Price]]*Table1[[#This Row],[Quantity]]</f>
        <v>9659.34</v>
      </c>
      <c r="M867" s="59">
        <v>3380.77</v>
      </c>
      <c r="N867" s="42">
        <v>45563</v>
      </c>
      <c r="O867" s="20" t="str">
        <f>TEXT(Table1[[#This Row],[Order_Date]],"mmm")</f>
        <v>Sep</v>
      </c>
      <c r="P867" s="20">
        <f t="shared" si="26"/>
        <v>2024</v>
      </c>
      <c r="Q867" s="46">
        <v>45571</v>
      </c>
      <c r="R867" s="20">
        <f>'Cleaned Data'!$Q867-'Cleaned Data'!$N867</f>
        <v>8</v>
      </c>
      <c r="S867" s="19" t="str">
        <f t="shared" si="27"/>
        <v>Monsoon</v>
      </c>
    </row>
    <row r="868" spans="1:19" x14ac:dyDescent="0.3">
      <c r="A868" s="13" t="s">
        <v>1045</v>
      </c>
      <c r="B868" s="13" t="s">
        <v>24</v>
      </c>
      <c r="C868" s="5" t="s">
        <v>32</v>
      </c>
      <c r="D868" s="5" t="s">
        <v>37</v>
      </c>
      <c r="E868" s="5" t="s">
        <v>59</v>
      </c>
      <c r="F868" s="5" t="s">
        <v>62</v>
      </c>
      <c r="G868" s="5" t="s">
        <v>69</v>
      </c>
      <c r="H868" s="38">
        <v>31944.45</v>
      </c>
      <c r="I868" s="14">
        <v>0.15</v>
      </c>
      <c r="J868" s="38">
        <v>27152.782500000001</v>
      </c>
      <c r="K868" s="5">
        <v>4</v>
      </c>
      <c r="L868" s="62">
        <f>Table1[[#This Row],[Final_Unit_Price]]*Table1[[#This Row],[Quantity]]</f>
        <v>108611.13</v>
      </c>
      <c r="M868" s="60">
        <v>38013.9</v>
      </c>
      <c r="N868" s="43">
        <v>45814</v>
      </c>
      <c r="O868" s="18" t="str">
        <f>TEXT(Table1[[#This Row],[Order_Date]],"mmm")</f>
        <v>Jun</v>
      </c>
      <c r="P868" s="18">
        <f t="shared" si="26"/>
        <v>2025</v>
      </c>
      <c r="Q868" s="45">
        <v>45820</v>
      </c>
      <c r="R868" s="19">
        <f>'Cleaned Data'!$Q868-'Cleaned Data'!$N868</f>
        <v>6</v>
      </c>
      <c r="S868" s="19" t="str">
        <f t="shared" si="27"/>
        <v>Monsoon</v>
      </c>
    </row>
    <row r="869" spans="1:19" x14ac:dyDescent="0.3">
      <c r="A869" s="11" t="s">
        <v>1046</v>
      </c>
      <c r="B869" s="11" t="s">
        <v>25</v>
      </c>
      <c r="C869" s="3" t="s">
        <v>34</v>
      </c>
      <c r="D869" s="3" t="s">
        <v>55</v>
      </c>
      <c r="E869" s="3" t="s">
        <v>58</v>
      </c>
      <c r="F869" s="3" t="s">
        <v>63</v>
      </c>
      <c r="G869" s="3" t="s">
        <v>73</v>
      </c>
      <c r="H869" s="37">
        <v>730.11</v>
      </c>
      <c r="I869" s="12">
        <v>0.05</v>
      </c>
      <c r="J869" s="37">
        <v>693.60450000000003</v>
      </c>
      <c r="K869" s="3">
        <v>5</v>
      </c>
      <c r="L869" s="61">
        <f>Table1[[#This Row],[Final_Unit_Price]]*Table1[[#This Row],[Quantity]]</f>
        <v>3468.0225</v>
      </c>
      <c r="M869" s="59">
        <v>867</v>
      </c>
      <c r="N869" s="42">
        <v>45476</v>
      </c>
      <c r="O869" s="20" t="str">
        <f>TEXT(Table1[[#This Row],[Order_Date]],"mmm")</f>
        <v>Jul</v>
      </c>
      <c r="P869" s="20">
        <f t="shared" si="26"/>
        <v>2024</v>
      </c>
      <c r="Q869" s="46">
        <v>45480</v>
      </c>
      <c r="R869" s="20">
        <f>'Cleaned Data'!$Q869-'Cleaned Data'!$N869</f>
        <v>4</v>
      </c>
      <c r="S869" s="19" t="str">
        <f t="shared" si="27"/>
        <v>Monsoon</v>
      </c>
    </row>
    <row r="870" spans="1:19" x14ac:dyDescent="0.3">
      <c r="A870" s="13" t="s">
        <v>1047</v>
      </c>
      <c r="B870" s="13" t="s">
        <v>18</v>
      </c>
      <c r="C870" s="5" t="s">
        <v>33</v>
      </c>
      <c r="D870" s="5" t="s">
        <v>56</v>
      </c>
      <c r="E870" s="5" t="s">
        <v>60</v>
      </c>
      <c r="F870" s="5" t="s">
        <v>61</v>
      </c>
      <c r="G870" s="5" t="s">
        <v>65</v>
      </c>
      <c r="H870" s="38">
        <v>43701.13</v>
      </c>
      <c r="I870" s="14">
        <v>0.2</v>
      </c>
      <c r="J870" s="38">
        <v>34960.904000000002</v>
      </c>
      <c r="K870" s="5">
        <v>4</v>
      </c>
      <c r="L870" s="62">
        <f>Table1[[#This Row],[Final_Unit_Price]]*Table1[[#This Row],[Quantity]]</f>
        <v>139843.61600000001</v>
      </c>
      <c r="M870" s="60">
        <v>20976.54</v>
      </c>
      <c r="N870" s="43">
        <v>45299</v>
      </c>
      <c r="O870" s="18" t="str">
        <f>TEXT(Table1[[#This Row],[Order_Date]],"mmm")</f>
        <v>Jan</v>
      </c>
      <c r="P870" s="18">
        <f t="shared" si="26"/>
        <v>2024</v>
      </c>
      <c r="Q870" s="45">
        <v>45306</v>
      </c>
      <c r="R870" s="19">
        <f>'Cleaned Data'!$Q870-'Cleaned Data'!$N870</f>
        <v>7</v>
      </c>
      <c r="S870" s="19" t="str">
        <f t="shared" si="27"/>
        <v>Winter</v>
      </c>
    </row>
    <row r="871" spans="1:19" x14ac:dyDescent="0.3">
      <c r="A871" s="11" t="s">
        <v>1048</v>
      </c>
      <c r="B871" s="11" t="s">
        <v>22</v>
      </c>
      <c r="C871" s="3" t="s">
        <v>31</v>
      </c>
      <c r="D871" s="3" t="s">
        <v>42</v>
      </c>
      <c r="E871" s="3" t="s">
        <v>60</v>
      </c>
      <c r="F871" s="3" t="s">
        <v>64</v>
      </c>
      <c r="G871" s="3" t="s">
        <v>76</v>
      </c>
      <c r="H871" s="37">
        <v>3117.07</v>
      </c>
      <c r="I871" s="12">
        <v>0</v>
      </c>
      <c r="J871" s="37">
        <v>3117.07</v>
      </c>
      <c r="K871" s="3">
        <v>4</v>
      </c>
      <c r="L871" s="61">
        <f>Table1[[#This Row],[Final_Unit_Price]]*Table1[[#This Row],[Quantity]]</f>
        <v>12468.28</v>
      </c>
      <c r="M871" s="59">
        <v>1870.24</v>
      </c>
      <c r="N871" s="42">
        <v>45853</v>
      </c>
      <c r="O871" s="20" t="str">
        <f>TEXT(Table1[[#This Row],[Order_Date]],"mmm")</f>
        <v>Jul</v>
      </c>
      <c r="P871" s="20">
        <f t="shared" si="26"/>
        <v>2025</v>
      </c>
      <c r="Q871" s="46">
        <v>45855</v>
      </c>
      <c r="R871" s="20">
        <f>'Cleaned Data'!$Q871-'Cleaned Data'!$N871</f>
        <v>2</v>
      </c>
      <c r="S871" s="19" t="str">
        <f t="shared" si="27"/>
        <v>Monsoon</v>
      </c>
    </row>
    <row r="872" spans="1:19" x14ac:dyDescent="0.3">
      <c r="A872" s="13" t="s">
        <v>1049</v>
      </c>
      <c r="B872" s="13" t="s">
        <v>16</v>
      </c>
      <c r="C872" s="5" t="s">
        <v>31</v>
      </c>
      <c r="D872" s="5" t="s">
        <v>36</v>
      </c>
      <c r="E872" s="5" t="s">
        <v>58</v>
      </c>
      <c r="F872" s="5" t="s">
        <v>62</v>
      </c>
      <c r="G872" s="5" t="s">
        <v>69</v>
      </c>
      <c r="H872" s="38">
        <v>2567.2600000000002</v>
      </c>
      <c r="I872" s="14">
        <v>0.2</v>
      </c>
      <c r="J872" s="38">
        <v>2053.808</v>
      </c>
      <c r="K872" s="5">
        <v>1</v>
      </c>
      <c r="L872" s="62">
        <f>Table1[[#This Row],[Final_Unit_Price]]*Table1[[#This Row],[Quantity]]</f>
        <v>2053.808</v>
      </c>
      <c r="M872" s="60">
        <v>513.45000000000005</v>
      </c>
      <c r="N872" s="43">
        <v>45595</v>
      </c>
      <c r="O872" s="18" t="str">
        <f>TEXT(Table1[[#This Row],[Order_Date]],"mmm")</f>
        <v>Oct</v>
      </c>
      <c r="P872" s="18">
        <f t="shared" si="26"/>
        <v>2024</v>
      </c>
      <c r="Q872" s="45">
        <v>45604</v>
      </c>
      <c r="R872" s="19">
        <f>'Cleaned Data'!$Q872-'Cleaned Data'!$N872</f>
        <v>9</v>
      </c>
      <c r="S872" s="19" t="str">
        <f t="shared" si="27"/>
        <v>Winter</v>
      </c>
    </row>
    <row r="873" spans="1:19" x14ac:dyDescent="0.3">
      <c r="A873" s="11" t="s">
        <v>1050</v>
      </c>
      <c r="B873" s="11" t="s">
        <v>25</v>
      </c>
      <c r="C873" s="3" t="s">
        <v>34</v>
      </c>
      <c r="D873" s="3" t="s">
        <v>51</v>
      </c>
      <c r="E873" s="3" t="s">
        <v>59</v>
      </c>
      <c r="F873" s="3" t="s">
        <v>61</v>
      </c>
      <c r="G873" s="3" t="s">
        <v>71</v>
      </c>
      <c r="H873" s="37">
        <v>919.64</v>
      </c>
      <c r="I873" s="12">
        <v>0</v>
      </c>
      <c r="J873" s="37">
        <v>919.64</v>
      </c>
      <c r="K873" s="3">
        <v>8</v>
      </c>
      <c r="L873" s="61">
        <f>Table1[[#This Row],[Final_Unit_Price]]*Table1[[#This Row],[Quantity]]</f>
        <v>7357.12</v>
      </c>
      <c r="M873" s="59">
        <v>643.75</v>
      </c>
      <c r="N873" s="42">
        <v>45687</v>
      </c>
      <c r="O873" s="20" t="str">
        <f>TEXT(Table1[[#This Row],[Order_Date]],"mmm")</f>
        <v>Jan</v>
      </c>
      <c r="P873" s="20">
        <f t="shared" si="26"/>
        <v>2025</v>
      </c>
      <c r="Q873" s="46">
        <v>45690</v>
      </c>
      <c r="R873" s="20">
        <f>'Cleaned Data'!$Q873-'Cleaned Data'!$N873</f>
        <v>3</v>
      </c>
      <c r="S873" s="19" t="str">
        <f t="shared" si="27"/>
        <v>Winter</v>
      </c>
    </row>
    <row r="874" spans="1:19" x14ac:dyDescent="0.3">
      <c r="A874" s="13" t="s">
        <v>1051</v>
      </c>
      <c r="B874" s="13" t="s">
        <v>26</v>
      </c>
      <c r="C874" s="5" t="s">
        <v>32</v>
      </c>
      <c r="D874" s="5" t="s">
        <v>54</v>
      </c>
      <c r="E874" s="5" t="s">
        <v>60</v>
      </c>
      <c r="F874" s="5" t="s">
        <v>64</v>
      </c>
      <c r="G874" s="5" t="s">
        <v>76</v>
      </c>
      <c r="H874" s="38">
        <v>31289.71</v>
      </c>
      <c r="I874" s="14">
        <v>0.2</v>
      </c>
      <c r="J874" s="38">
        <v>25031.768</v>
      </c>
      <c r="K874" s="5">
        <v>3</v>
      </c>
      <c r="L874" s="62">
        <f>Table1[[#This Row],[Final_Unit_Price]]*Table1[[#This Row],[Quantity]]</f>
        <v>75095.304000000004</v>
      </c>
      <c r="M874" s="60">
        <v>11264.3</v>
      </c>
      <c r="N874" s="43">
        <v>45706</v>
      </c>
      <c r="O874" s="18" t="str">
        <f>TEXT(Table1[[#This Row],[Order_Date]],"mmm")</f>
        <v>Feb</v>
      </c>
      <c r="P874" s="18">
        <f t="shared" si="26"/>
        <v>2025</v>
      </c>
      <c r="Q874" s="45">
        <v>45715</v>
      </c>
      <c r="R874" s="19">
        <f>'Cleaned Data'!$Q874-'Cleaned Data'!$N874</f>
        <v>9</v>
      </c>
      <c r="S874" s="19" t="str">
        <f t="shared" si="27"/>
        <v>Summer</v>
      </c>
    </row>
    <row r="875" spans="1:19" x14ac:dyDescent="0.3">
      <c r="A875" s="11" t="s">
        <v>1052</v>
      </c>
      <c r="B875" s="11" t="s">
        <v>20</v>
      </c>
      <c r="C875" s="3" t="s">
        <v>32</v>
      </c>
      <c r="D875" s="3" t="s">
        <v>54</v>
      </c>
      <c r="E875" s="3" t="s">
        <v>60</v>
      </c>
      <c r="F875" s="3" t="s">
        <v>61</v>
      </c>
      <c r="G875" s="3" t="s">
        <v>71</v>
      </c>
      <c r="H875" s="37">
        <v>24311.62</v>
      </c>
      <c r="I875" s="12">
        <v>0.2</v>
      </c>
      <c r="J875" s="37">
        <v>19449.295999999998</v>
      </c>
      <c r="K875" s="3">
        <v>3</v>
      </c>
      <c r="L875" s="61">
        <f>Table1[[#This Row],[Final_Unit_Price]]*Table1[[#This Row],[Quantity]]</f>
        <v>58347.887999999992</v>
      </c>
      <c r="M875" s="59">
        <v>8752.18</v>
      </c>
      <c r="N875" s="42">
        <v>45393</v>
      </c>
      <c r="O875" s="20" t="str">
        <f>TEXT(Table1[[#This Row],[Order_Date]],"mmm")</f>
        <v>Apr</v>
      </c>
      <c r="P875" s="20">
        <f t="shared" si="26"/>
        <v>2024</v>
      </c>
      <c r="Q875" s="46">
        <v>45396</v>
      </c>
      <c r="R875" s="20">
        <f>'Cleaned Data'!$Q875-'Cleaned Data'!$N875</f>
        <v>3</v>
      </c>
      <c r="S875" s="19" t="str">
        <f t="shared" si="27"/>
        <v>Summer</v>
      </c>
    </row>
    <row r="876" spans="1:19" x14ac:dyDescent="0.3">
      <c r="A876" s="13" t="s">
        <v>1053</v>
      </c>
      <c r="B876" s="13" t="s">
        <v>28</v>
      </c>
      <c r="C876" s="5" t="s">
        <v>34</v>
      </c>
      <c r="D876" s="5" t="s">
        <v>41</v>
      </c>
      <c r="E876" s="5" t="s">
        <v>60</v>
      </c>
      <c r="F876" s="5" t="s">
        <v>63</v>
      </c>
      <c r="G876" s="5" t="s">
        <v>75</v>
      </c>
      <c r="H876" s="38">
        <v>1261.67</v>
      </c>
      <c r="I876" s="14">
        <v>0.15</v>
      </c>
      <c r="J876" s="38">
        <v>1072.4195</v>
      </c>
      <c r="K876" s="5">
        <v>3</v>
      </c>
      <c r="L876" s="62">
        <f>Table1[[#This Row],[Final_Unit_Price]]*Table1[[#This Row],[Quantity]]</f>
        <v>3217.2584999999999</v>
      </c>
      <c r="M876" s="60">
        <v>482.59</v>
      </c>
      <c r="N876" s="43">
        <v>45383</v>
      </c>
      <c r="O876" s="18" t="str">
        <f>TEXT(Table1[[#This Row],[Order_Date]],"mmm")</f>
        <v>Apr</v>
      </c>
      <c r="P876" s="18">
        <f t="shared" si="26"/>
        <v>2024</v>
      </c>
      <c r="Q876" s="45">
        <v>45391</v>
      </c>
      <c r="R876" s="19">
        <f>'Cleaned Data'!$Q876-'Cleaned Data'!$N876</f>
        <v>8</v>
      </c>
      <c r="S876" s="19" t="str">
        <f t="shared" si="27"/>
        <v>Summer</v>
      </c>
    </row>
    <row r="877" spans="1:19" x14ac:dyDescent="0.3">
      <c r="A877" s="11" t="s">
        <v>1054</v>
      </c>
      <c r="B877" s="11" t="s">
        <v>30</v>
      </c>
      <c r="C877" s="3" t="s">
        <v>33</v>
      </c>
      <c r="D877" s="3" t="s">
        <v>57</v>
      </c>
      <c r="E877" s="3" t="s">
        <v>60</v>
      </c>
      <c r="F877" s="3" t="s">
        <v>61</v>
      </c>
      <c r="G877" s="3" t="s">
        <v>71</v>
      </c>
      <c r="H877" s="37">
        <v>12428.68</v>
      </c>
      <c r="I877" s="12">
        <v>0.2</v>
      </c>
      <c r="J877" s="37">
        <v>9942.9440000000013</v>
      </c>
      <c r="K877" s="3">
        <v>4</v>
      </c>
      <c r="L877" s="61">
        <f>Table1[[#This Row],[Final_Unit_Price]]*Table1[[#This Row],[Quantity]]</f>
        <v>39771.776000000005</v>
      </c>
      <c r="M877" s="59">
        <v>5965.77</v>
      </c>
      <c r="N877" s="42">
        <v>45473</v>
      </c>
      <c r="O877" s="20" t="str">
        <f>TEXT(Table1[[#This Row],[Order_Date]],"mmm")</f>
        <v>Jun</v>
      </c>
      <c r="P877" s="20">
        <f t="shared" si="26"/>
        <v>2024</v>
      </c>
      <c r="Q877" s="46">
        <v>45483</v>
      </c>
      <c r="R877" s="20">
        <f>'Cleaned Data'!$Q877-'Cleaned Data'!$N877</f>
        <v>10</v>
      </c>
      <c r="S877" s="19" t="str">
        <f t="shared" si="27"/>
        <v>Monsoon</v>
      </c>
    </row>
    <row r="878" spans="1:19" x14ac:dyDescent="0.3">
      <c r="A878" s="13" t="s">
        <v>1055</v>
      </c>
      <c r="B878" s="13" t="s">
        <v>21</v>
      </c>
      <c r="C878" s="5" t="s">
        <v>34</v>
      </c>
      <c r="D878" s="5" t="s">
        <v>52</v>
      </c>
      <c r="E878" s="5" t="s">
        <v>60</v>
      </c>
      <c r="F878" s="5" t="s">
        <v>61</v>
      </c>
      <c r="G878" s="5" t="s">
        <v>70</v>
      </c>
      <c r="H878" s="38">
        <v>2593.5</v>
      </c>
      <c r="I878" s="14">
        <v>0.3</v>
      </c>
      <c r="J878" s="38">
        <v>1815.45</v>
      </c>
      <c r="K878" s="5">
        <v>5</v>
      </c>
      <c r="L878" s="62">
        <f>Table1[[#This Row],[Final_Unit_Price]]*Table1[[#This Row],[Quantity]]</f>
        <v>9077.25</v>
      </c>
      <c r="M878" s="60">
        <v>1361.59</v>
      </c>
      <c r="N878" s="43">
        <v>45505</v>
      </c>
      <c r="O878" s="18" t="str">
        <f>TEXT(Table1[[#This Row],[Order_Date]],"mmm")</f>
        <v>Aug</v>
      </c>
      <c r="P878" s="18">
        <f t="shared" si="26"/>
        <v>2024</v>
      </c>
      <c r="Q878" s="45">
        <v>45511</v>
      </c>
      <c r="R878" s="19">
        <f>'Cleaned Data'!$Q878-'Cleaned Data'!$N878</f>
        <v>6</v>
      </c>
      <c r="S878" s="19" t="str">
        <f t="shared" si="27"/>
        <v>Monsoon</v>
      </c>
    </row>
    <row r="879" spans="1:19" x14ac:dyDescent="0.3">
      <c r="A879" s="11" t="s">
        <v>1056</v>
      </c>
      <c r="B879" s="11" t="s">
        <v>17</v>
      </c>
      <c r="C879" s="3" t="s">
        <v>32</v>
      </c>
      <c r="D879" s="3" t="s">
        <v>43</v>
      </c>
      <c r="E879" s="3" t="s">
        <v>58</v>
      </c>
      <c r="F879" s="3" t="s">
        <v>61</v>
      </c>
      <c r="G879" s="3" t="s">
        <v>71</v>
      </c>
      <c r="H879" s="37">
        <v>7529.98</v>
      </c>
      <c r="I879" s="12">
        <v>0.05</v>
      </c>
      <c r="J879" s="37">
        <v>7153.4809999999989</v>
      </c>
      <c r="K879" s="3">
        <v>3</v>
      </c>
      <c r="L879" s="61">
        <f>Table1[[#This Row],[Final_Unit_Price]]*Table1[[#This Row],[Quantity]]</f>
        <v>21460.442999999996</v>
      </c>
      <c r="M879" s="59">
        <v>5365.11</v>
      </c>
      <c r="N879" s="42">
        <v>45468</v>
      </c>
      <c r="O879" s="20" t="str">
        <f>TEXT(Table1[[#This Row],[Order_Date]],"mmm")</f>
        <v>Jun</v>
      </c>
      <c r="P879" s="20">
        <f t="shared" si="26"/>
        <v>2024</v>
      </c>
      <c r="Q879" s="46">
        <v>45475</v>
      </c>
      <c r="R879" s="20">
        <f>'Cleaned Data'!$Q879-'Cleaned Data'!$N879</f>
        <v>7</v>
      </c>
      <c r="S879" s="19" t="str">
        <f t="shared" si="27"/>
        <v>Monsoon</v>
      </c>
    </row>
    <row r="880" spans="1:19" x14ac:dyDescent="0.3">
      <c r="A880" s="13" t="s">
        <v>1057</v>
      </c>
      <c r="B880" s="13" t="s">
        <v>22</v>
      </c>
      <c r="C880" s="5" t="s">
        <v>31</v>
      </c>
      <c r="D880" s="5" t="s">
        <v>36</v>
      </c>
      <c r="E880" s="5" t="s">
        <v>58</v>
      </c>
      <c r="F880" s="5" t="s">
        <v>63</v>
      </c>
      <c r="G880" s="5" t="s">
        <v>73</v>
      </c>
      <c r="H880" s="38">
        <v>3300</v>
      </c>
      <c r="I880" s="14">
        <v>0.05</v>
      </c>
      <c r="J880" s="38">
        <v>3135</v>
      </c>
      <c r="K880" s="5">
        <v>5</v>
      </c>
      <c r="L880" s="62">
        <f>Table1[[#This Row],[Final_Unit_Price]]*Table1[[#This Row],[Quantity]]</f>
        <v>15675</v>
      </c>
      <c r="M880" s="60">
        <v>3918.75</v>
      </c>
      <c r="N880" s="43">
        <v>45641</v>
      </c>
      <c r="O880" s="18" t="str">
        <f>TEXT(Table1[[#This Row],[Order_Date]],"mmm")</f>
        <v>Dec</v>
      </c>
      <c r="P880" s="18">
        <f t="shared" si="26"/>
        <v>2024</v>
      </c>
      <c r="Q880" s="45">
        <v>45645</v>
      </c>
      <c r="R880" s="19">
        <f>'Cleaned Data'!$Q880-'Cleaned Data'!$N880</f>
        <v>4</v>
      </c>
      <c r="S880" s="19" t="str">
        <f t="shared" si="27"/>
        <v>Winter</v>
      </c>
    </row>
    <row r="881" spans="1:19" x14ac:dyDescent="0.3">
      <c r="A881" s="11" t="s">
        <v>1058</v>
      </c>
      <c r="B881" s="11" t="s">
        <v>28</v>
      </c>
      <c r="C881" s="3" t="s">
        <v>34</v>
      </c>
      <c r="D881" s="3" t="s">
        <v>45</v>
      </c>
      <c r="E881" s="3" t="s">
        <v>59</v>
      </c>
      <c r="F881" s="3" t="s">
        <v>61</v>
      </c>
      <c r="G881" s="3" t="s">
        <v>65</v>
      </c>
      <c r="H881" s="37">
        <v>1812.85</v>
      </c>
      <c r="I881" s="12">
        <v>0.15</v>
      </c>
      <c r="J881" s="37">
        <v>1540.9224999999999</v>
      </c>
      <c r="K881" s="3">
        <v>3</v>
      </c>
      <c r="L881" s="61">
        <f>Table1[[#This Row],[Final_Unit_Price]]*Table1[[#This Row],[Quantity]]</f>
        <v>4622.7674999999999</v>
      </c>
      <c r="M881" s="59">
        <v>1617.97</v>
      </c>
      <c r="N881" s="42">
        <v>45552</v>
      </c>
      <c r="O881" s="20" t="str">
        <f>TEXT(Table1[[#This Row],[Order_Date]],"mmm")</f>
        <v>Sep</v>
      </c>
      <c r="P881" s="20">
        <f t="shared" si="26"/>
        <v>2024</v>
      </c>
      <c r="Q881" s="46">
        <v>45561</v>
      </c>
      <c r="R881" s="20">
        <f>'Cleaned Data'!$Q881-'Cleaned Data'!$N881</f>
        <v>9</v>
      </c>
      <c r="S881" s="19" t="str">
        <f t="shared" si="27"/>
        <v>Monsoon</v>
      </c>
    </row>
    <row r="882" spans="1:19" x14ac:dyDescent="0.3">
      <c r="A882" s="13" t="s">
        <v>1059</v>
      </c>
      <c r="B882" s="13" t="s">
        <v>16</v>
      </c>
      <c r="C882" s="5" t="s">
        <v>31</v>
      </c>
      <c r="D882" s="5" t="s">
        <v>42</v>
      </c>
      <c r="E882" s="5" t="s">
        <v>60</v>
      </c>
      <c r="F882" s="5" t="s">
        <v>62</v>
      </c>
      <c r="G882" s="5" t="s">
        <v>66</v>
      </c>
      <c r="H882" s="38">
        <v>2208.19</v>
      </c>
      <c r="I882" s="14">
        <v>0.3</v>
      </c>
      <c r="J882" s="38">
        <v>1545.7329999999999</v>
      </c>
      <c r="K882" s="5">
        <v>5</v>
      </c>
      <c r="L882" s="62">
        <f>Table1[[#This Row],[Final_Unit_Price]]*Table1[[#This Row],[Quantity]]</f>
        <v>7728.665</v>
      </c>
      <c r="M882" s="60">
        <v>1159.3</v>
      </c>
      <c r="N882" s="43">
        <v>45569</v>
      </c>
      <c r="O882" s="18" t="str">
        <f>TEXT(Table1[[#This Row],[Order_Date]],"mmm")</f>
        <v>Oct</v>
      </c>
      <c r="P882" s="18">
        <f t="shared" si="26"/>
        <v>2024</v>
      </c>
      <c r="Q882" s="45">
        <v>45575</v>
      </c>
      <c r="R882" s="19">
        <f>'Cleaned Data'!$Q882-'Cleaned Data'!$N882</f>
        <v>6</v>
      </c>
      <c r="S882" s="19" t="str">
        <f t="shared" si="27"/>
        <v>Winter</v>
      </c>
    </row>
    <row r="883" spans="1:19" x14ac:dyDescent="0.3">
      <c r="A883" s="11" t="s">
        <v>1060</v>
      </c>
      <c r="B883" s="11" t="s">
        <v>23</v>
      </c>
      <c r="C883" s="3" t="s">
        <v>35</v>
      </c>
      <c r="D883" s="3" t="s">
        <v>48</v>
      </c>
      <c r="E883" s="3" t="s">
        <v>58</v>
      </c>
      <c r="F883" s="3" t="s">
        <v>62</v>
      </c>
      <c r="G883" s="3" t="s">
        <v>67</v>
      </c>
      <c r="H883" s="37">
        <v>27141.48</v>
      </c>
      <c r="I883" s="12">
        <v>0</v>
      </c>
      <c r="J883" s="37">
        <v>27141.48</v>
      </c>
      <c r="K883" s="3">
        <v>3</v>
      </c>
      <c r="L883" s="61">
        <f>Table1[[#This Row],[Final_Unit_Price]]*Table1[[#This Row],[Quantity]]</f>
        <v>81424.44</v>
      </c>
      <c r="M883" s="59">
        <v>20356.11</v>
      </c>
      <c r="N883" s="42">
        <v>45482</v>
      </c>
      <c r="O883" s="20" t="str">
        <f>TEXT(Table1[[#This Row],[Order_Date]],"mmm")</f>
        <v>Jul</v>
      </c>
      <c r="P883" s="20">
        <f t="shared" si="26"/>
        <v>2024</v>
      </c>
      <c r="Q883" s="46">
        <v>45492</v>
      </c>
      <c r="R883" s="20">
        <f>'Cleaned Data'!$Q883-'Cleaned Data'!$N883</f>
        <v>10</v>
      </c>
      <c r="S883" s="19" t="str">
        <f t="shared" si="27"/>
        <v>Monsoon</v>
      </c>
    </row>
    <row r="884" spans="1:19" x14ac:dyDescent="0.3">
      <c r="A884" s="13" t="s">
        <v>1061</v>
      </c>
      <c r="B884" s="13" t="s">
        <v>20</v>
      </c>
      <c r="C884" s="5" t="s">
        <v>32</v>
      </c>
      <c r="D884" s="5" t="s">
        <v>43</v>
      </c>
      <c r="E884" s="5" t="s">
        <v>58</v>
      </c>
      <c r="F884" s="5" t="s">
        <v>61</v>
      </c>
      <c r="G884" s="5" t="s">
        <v>71</v>
      </c>
      <c r="H884" s="38">
        <v>29230.18</v>
      </c>
      <c r="I884" s="14">
        <v>0.1</v>
      </c>
      <c r="J884" s="38">
        <v>26307.162</v>
      </c>
      <c r="K884" s="5">
        <v>3</v>
      </c>
      <c r="L884" s="62">
        <f>Table1[[#This Row],[Final_Unit_Price]]*Table1[[#This Row],[Quantity]]</f>
        <v>78921.486000000004</v>
      </c>
      <c r="M884" s="60">
        <v>19730.37</v>
      </c>
      <c r="N884" s="43">
        <v>45716</v>
      </c>
      <c r="O884" s="18" t="str">
        <f>TEXT(Table1[[#This Row],[Order_Date]],"mmm")</f>
        <v>Feb</v>
      </c>
      <c r="P884" s="18">
        <f t="shared" si="26"/>
        <v>2025</v>
      </c>
      <c r="Q884" s="45">
        <v>45719</v>
      </c>
      <c r="R884" s="19">
        <f>'Cleaned Data'!$Q884-'Cleaned Data'!$N884</f>
        <v>3</v>
      </c>
      <c r="S884" s="19" t="str">
        <f t="shared" si="27"/>
        <v>Summer</v>
      </c>
    </row>
    <row r="885" spans="1:19" x14ac:dyDescent="0.3">
      <c r="A885" s="11" t="s">
        <v>1062</v>
      </c>
      <c r="B885" s="11" t="s">
        <v>28</v>
      </c>
      <c r="C885" s="3" t="s">
        <v>34</v>
      </c>
      <c r="D885" s="3" t="s">
        <v>49</v>
      </c>
      <c r="E885" s="3" t="s">
        <v>59</v>
      </c>
      <c r="F885" s="3" t="s">
        <v>61</v>
      </c>
      <c r="G885" s="3" t="s">
        <v>71</v>
      </c>
      <c r="H885" s="37">
        <v>1791.29</v>
      </c>
      <c r="I885" s="12">
        <v>0.1</v>
      </c>
      <c r="J885" s="37">
        <v>1612.1610000000001</v>
      </c>
      <c r="K885" s="3">
        <v>9</v>
      </c>
      <c r="L885" s="61">
        <f>Table1[[#This Row],[Final_Unit_Price]]*Table1[[#This Row],[Quantity]]</f>
        <v>14509.449000000001</v>
      </c>
      <c r="M885" s="59">
        <v>564.26</v>
      </c>
      <c r="N885" s="42">
        <v>45598</v>
      </c>
      <c r="O885" s="20" t="str">
        <f>TEXT(Table1[[#This Row],[Order_Date]],"mmm")</f>
        <v>Nov</v>
      </c>
      <c r="P885" s="20">
        <f t="shared" si="26"/>
        <v>2024</v>
      </c>
      <c r="Q885" s="46">
        <v>45604</v>
      </c>
      <c r="R885" s="20">
        <f>'Cleaned Data'!$Q885-'Cleaned Data'!$N885</f>
        <v>6</v>
      </c>
      <c r="S885" s="19" t="str">
        <f t="shared" si="27"/>
        <v>Winter</v>
      </c>
    </row>
    <row r="886" spans="1:19" x14ac:dyDescent="0.3">
      <c r="A886" s="13" t="s">
        <v>1063</v>
      </c>
      <c r="B886" s="13" t="s">
        <v>18</v>
      </c>
      <c r="C886" s="5" t="s">
        <v>33</v>
      </c>
      <c r="D886" s="5" t="s">
        <v>56</v>
      </c>
      <c r="E886" s="5" t="s">
        <v>60</v>
      </c>
      <c r="F886" s="5" t="s">
        <v>62</v>
      </c>
      <c r="G886" s="5" t="s">
        <v>69</v>
      </c>
      <c r="H886" s="38">
        <v>45302.17</v>
      </c>
      <c r="I886" s="14">
        <v>0.1</v>
      </c>
      <c r="J886" s="38">
        <v>40771.953000000001</v>
      </c>
      <c r="K886" s="5">
        <v>1</v>
      </c>
      <c r="L886" s="62">
        <f>Table1[[#This Row],[Final_Unit_Price]]*Table1[[#This Row],[Quantity]]</f>
        <v>40771.953000000001</v>
      </c>
      <c r="M886" s="60">
        <v>6115.79</v>
      </c>
      <c r="N886" s="43">
        <v>45776</v>
      </c>
      <c r="O886" s="18" t="str">
        <f>TEXT(Table1[[#This Row],[Order_Date]],"mmm")</f>
        <v>Apr</v>
      </c>
      <c r="P886" s="18">
        <f t="shared" si="26"/>
        <v>2025</v>
      </c>
      <c r="Q886" s="45">
        <v>45784</v>
      </c>
      <c r="R886" s="19">
        <f>'Cleaned Data'!$Q886-'Cleaned Data'!$N886</f>
        <v>8</v>
      </c>
      <c r="S886" s="19" t="str">
        <f t="shared" si="27"/>
        <v>Summer</v>
      </c>
    </row>
    <row r="887" spans="1:19" x14ac:dyDescent="0.3">
      <c r="A887" s="11" t="s">
        <v>1064</v>
      </c>
      <c r="B887" s="11" t="s">
        <v>21</v>
      </c>
      <c r="C887" s="3" t="s">
        <v>34</v>
      </c>
      <c r="D887" s="3" t="s">
        <v>41</v>
      </c>
      <c r="E887" s="3" t="s">
        <v>60</v>
      </c>
      <c r="F887" s="3" t="s">
        <v>62</v>
      </c>
      <c r="G887" s="3" t="s">
        <v>67</v>
      </c>
      <c r="H887" s="37">
        <v>2579.85</v>
      </c>
      <c r="I887" s="12">
        <v>0.2</v>
      </c>
      <c r="J887" s="37">
        <v>2063.88</v>
      </c>
      <c r="K887" s="3">
        <v>5</v>
      </c>
      <c r="L887" s="61">
        <f>Table1[[#This Row],[Final_Unit_Price]]*Table1[[#This Row],[Quantity]]</f>
        <v>10319.400000000001</v>
      </c>
      <c r="M887" s="59">
        <v>1547.91</v>
      </c>
      <c r="N887" s="42">
        <v>45348</v>
      </c>
      <c r="O887" s="20" t="str">
        <f>TEXT(Table1[[#This Row],[Order_Date]],"mmm")</f>
        <v>Feb</v>
      </c>
      <c r="P887" s="20">
        <f t="shared" si="26"/>
        <v>2024</v>
      </c>
      <c r="Q887" s="46">
        <v>45356</v>
      </c>
      <c r="R887" s="20">
        <f>'Cleaned Data'!$Q887-'Cleaned Data'!$N887</f>
        <v>8</v>
      </c>
      <c r="S887" s="19" t="str">
        <f t="shared" si="27"/>
        <v>Summer</v>
      </c>
    </row>
    <row r="888" spans="1:19" x14ac:dyDescent="0.3">
      <c r="A888" s="13" t="s">
        <v>1065</v>
      </c>
      <c r="B888" s="13" t="s">
        <v>28</v>
      </c>
      <c r="C888" s="5" t="s">
        <v>34</v>
      </c>
      <c r="D888" s="5" t="s">
        <v>52</v>
      </c>
      <c r="E888" s="5" t="s">
        <v>60</v>
      </c>
      <c r="F888" s="5" t="s">
        <v>62</v>
      </c>
      <c r="G888" s="5" t="s">
        <v>66</v>
      </c>
      <c r="H888" s="38">
        <v>1288.5</v>
      </c>
      <c r="I888" s="14">
        <v>0.1</v>
      </c>
      <c r="J888" s="38">
        <v>1159.6500000000001</v>
      </c>
      <c r="K888" s="5">
        <v>3</v>
      </c>
      <c r="L888" s="62">
        <f>Table1[[#This Row],[Final_Unit_Price]]*Table1[[#This Row],[Quantity]]</f>
        <v>3478.9500000000003</v>
      </c>
      <c r="M888" s="60">
        <v>521.84</v>
      </c>
      <c r="N888" s="43">
        <v>45457</v>
      </c>
      <c r="O888" s="18" t="str">
        <f>TEXT(Table1[[#This Row],[Order_Date]],"mmm")</f>
        <v>Jun</v>
      </c>
      <c r="P888" s="18">
        <f t="shared" si="26"/>
        <v>2024</v>
      </c>
      <c r="Q888" s="45">
        <v>45467</v>
      </c>
      <c r="R888" s="19">
        <f>'Cleaned Data'!$Q888-'Cleaned Data'!$N888</f>
        <v>10</v>
      </c>
      <c r="S888" s="19" t="str">
        <f t="shared" si="27"/>
        <v>Monsoon</v>
      </c>
    </row>
    <row r="889" spans="1:19" x14ac:dyDescent="0.3">
      <c r="A889" s="11" t="s">
        <v>1066</v>
      </c>
      <c r="B889" s="11" t="s">
        <v>25</v>
      </c>
      <c r="C889" s="3" t="s">
        <v>34</v>
      </c>
      <c r="D889" s="3" t="s">
        <v>49</v>
      </c>
      <c r="E889" s="3" t="s">
        <v>59</v>
      </c>
      <c r="F889" s="3" t="s">
        <v>64</v>
      </c>
      <c r="G889" s="3" t="s">
        <v>72</v>
      </c>
      <c r="H889" s="37">
        <v>1044.3900000000001</v>
      </c>
      <c r="I889" s="12">
        <v>0.3</v>
      </c>
      <c r="J889" s="37">
        <v>731.07299999999998</v>
      </c>
      <c r="K889" s="3">
        <v>6</v>
      </c>
      <c r="L889" s="61">
        <f>Table1[[#This Row],[Final_Unit_Price]]*Table1[[#This Row],[Quantity]]</f>
        <v>4386.4380000000001</v>
      </c>
      <c r="M889" s="59">
        <v>1023.5</v>
      </c>
      <c r="N889" s="42">
        <v>45313</v>
      </c>
      <c r="O889" s="20" t="str">
        <f>TEXT(Table1[[#This Row],[Order_Date]],"mmm")</f>
        <v>Jan</v>
      </c>
      <c r="P889" s="20">
        <f t="shared" si="26"/>
        <v>2024</v>
      </c>
      <c r="Q889" s="46">
        <v>45319</v>
      </c>
      <c r="R889" s="20">
        <f>'Cleaned Data'!$Q889-'Cleaned Data'!$N889</f>
        <v>6</v>
      </c>
      <c r="S889" s="19" t="str">
        <f t="shared" si="27"/>
        <v>Winter</v>
      </c>
    </row>
    <row r="890" spans="1:19" x14ac:dyDescent="0.3">
      <c r="A890" s="13" t="s">
        <v>1067</v>
      </c>
      <c r="B890" s="13" t="s">
        <v>22</v>
      </c>
      <c r="C890" s="5" t="s">
        <v>31</v>
      </c>
      <c r="D890" s="5" t="s">
        <v>42</v>
      </c>
      <c r="E890" s="5" t="s">
        <v>60</v>
      </c>
      <c r="F890" s="5" t="s">
        <v>61</v>
      </c>
      <c r="G890" s="5" t="s">
        <v>71</v>
      </c>
      <c r="H890" s="38">
        <v>2800.71</v>
      </c>
      <c r="I890" s="14">
        <v>0.2</v>
      </c>
      <c r="J890" s="38">
        <v>2240.5680000000002</v>
      </c>
      <c r="K890" s="5">
        <v>2</v>
      </c>
      <c r="L890" s="62">
        <f>Table1[[#This Row],[Final_Unit_Price]]*Table1[[#This Row],[Quantity]]</f>
        <v>4481.1360000000004</v>
      </c>
      <c r="M890" s="60">
        <v>672.17</v>
      </c>
      <c r="N890" s="43">
        <v>45401</v>
      </c>
      <c r="O890" s="18" t="str">
        <f>TEXT(Table1[[#This Row],[Order_Date]],"mmm")</f>
        <v>Apr</v>
      </c>
      <c r="P890" s="18">
        <f t="shared" si="26"/>
        <v>2024</v>
      </c>
      <c r="Q890" s="45">
        <v>45409</v>
      </c>
      <c r="R890" s="19">
        <f>'Cleaned Data'!$Q890-'Cleaned Data'!$N890</f>
        <v>8</v>
      </c>
      <c r="S890" s="19" t="str">
        <f t="shared" si="27"/>
        <v>Summer</v>
      </c>
    </row>
    <row r="891" spans="1:19" x14ac:dyDescent="0.3">
      <c r="A891" s="11" t="s">
        <v>1068</v>
      </c>
      <c r="B891" s="11" t="s">
        <v>26</v>
      </c>
      <c r="C891" s="3" t="s">
        <v>32</v>
      </c>
      <c r="D891" s="3" t="s">
        <v>43</v>
      </c>
      <c r="E891" s="3" t="s">
        <v>58</v>
      </c>
      <c r="F891" s="3" t="s">
        <v>62</v>
      </c>
      <c r="G891" s="3" t="s">
        <v>66</v>
      </c>
      <c r="H891" s="37">
        <v>34834.97</v>
      </c>
      <c r="I891" s="12">
        <v>0.1</v>
      </c>
      <c r="J891" s="37">
        <v>31351.473000000002</v>
      </c>
      <c r="K891" s="3">
        <v>2</v>
      </c>
      <c r="L891" s="61">
        <f>Table1[[#This Row],[Final_Unit_Price]]*Table1[[#This Row],[Quantity]]</f>
        <v>62702.946000000004</v>
      </c>
      <c r="M891" s="59">
        <v>15675.74</v>
      </c>
      <c r="N891" s="42">
        <v>45792</v>
      </c>
      <c r="O891" s="20" t="str">
        <f>TEXT(Table1[[#This Row],[Order_Date]],"mmm")</f>
        <v>May</v>
      </c>
      <c r="P891" s="20">
        <f t="shared" si="26"/>
        <v>2025</v>
      </c>
      <c r="Q891" s="46">
        <v>45800</v>
      </c>
      <c r="R891" s="20">
        <f>'Cleaned Data'!$Q891-'Cleaned Data'!$N891</f>
        <v>8</v>
      </c>
      <c r="S891" s="19" t="str">
        <f t="shared" si="27"/>
        <v>Summer</v>
      </c>
    </row>
    <row r="892" spans="1:19" x14ac:dyDescent="0.3">
      <c r="A892" s="13" t="s">
        <v>1069</v>
      </c>
      <c r="B892" s="13" t="s">
        <v>22</v>
      </c>
      <c r="C892" s="5" t="s">
        <v>31</v>
      </c>
      <c r="D892" s="5" t="s">
        <v>36</v>
      </c>
      <c r="E892" s="5" t="s">
        <v>58</v>
      </c>
      <c r="F892" s="5" t="s">
        <v>61</v>
      </c>
      <c r="G892" s="5" t="s">
        <v>71</v>
      </c>
      <c r="H892" s="38">
        <v>3574.66</v>
      </c>
      <c r="I892" s="14">
        <v>0.1</v>
      </c>
      <c r="J892" s="38">
        <v>3217.194</v>
      </c>
      <c r="K892" s="5">
        <v>3</v>
      </c>
      <c r="L892" s="62">
        <f>Table1[[#This Row],[Final_Unit_Price]]*Table1[[#This Row],[Quantity]]</f>
        <v>9651.5820000000003</v>
      </c>
      <c r="M892" s="60">
        <v>2412.89</v>
      </c>
      <c r="N892" s="43">
        <v>45762</v>
      </c>
      <c r="O892" s="18" t="str">
        <f>TEXT(Table1[[#This Row],[Order_Date]],"mmm")</f>
        <v>Apr</v>
      </c>
      <c r="P892" s="18">
        <f t="shared" si="26"/>
        <v>2025</v>
      </c>
      <c r="Q892" s="45">
        <v>45771</v>
      </c>
      <c r="R892" s="19">
        <f>'Cleaned Data'!$Q892-'Cleaned Data'!$N892</f>
        <v>9</v>
      </c>
      <c r="S892" s="19" t="str">
        <f t="shared" si="27"/>
        <v>Summer</v>
      </c>
    </row>
    <row r="893" spans="1:19" x14ac:dyDescent="0.3">
      <c r="A893" s="11" t="s">
        <v>1070</v>
      </c>
      <c r="B893" s="11" t="s">
        <v>25</v>
      </c>
      <c r="C893" s="3" t="s">
        <v>34</v>
      </c>
      <c r="D893" s="3" t="s">
        <v>51</v>
      </c>
      <c r="E893" s="3" t="s">
        <v>59</v>
      </c>
      <c r="F893" s="3" t="s">
        <v>64</v>
      </c>
      <c r="G893" s="3" t="s">
        <v>72</v>
      </c>
      <c r="H893" s="37">
        <v>1040.1400000000001</v>
      </c>
      <c r="I893" s="12">
        <v>0.25</v>
      </c>
      <c r="J893" s="37">
        <v>780.10500000000002</v>
      </c>
      <c r="K893" s="3">
        <v>4</v>
      </c>
      <c r="L893" s="61">
        <f>Table1[[#This Row],[Final_Unit_Price]]*Table1[[#This Row],[Quantity]]</f>
        <v>3120.42</v>
      </c>
      <c r="M893" s="59">
        <v>1092.1500000000001</v>
      </c>
      <c r="N893" s="42">
        <v>45440</v>
      </c>
      <c r="O893" s="20" t="str">
        <f>TEXT(Table1[[#This Row],[Order_Date]],"mmm")</f>
        <v>May</v>
      </c>
      <c r="P893" s="20">
        <f t="shared" si="26"/>
        <v>2024</v>
      </c>
      <c r="Q893" s="46">
        <v>45443</v>
      </c>
      <c r="R893" s="20">
        <f>'Cleaned Data'!$Q893-'Cleaned Data'!$N893</f>
        <v>3</v>
      </c>
      <c r="S893" s="19" t="str">
        <f t="shared" si="27"/>
        <v>Summer</v>
      </c>
    </row>
    <row r="894" spans="1:19" x14ac:dyDescent="0.3">
      <c r="A894" s="13" t="s">
        <v>1071</v>
      </c>
      <c r="B894" s="13" t="s">
        <v>20</v>
      </c>
      <c r="C894" s="5" t="s">
        <v>32</v>
      </c>
      <c r="D894" s="5" t="s">
        <v>40</v>
      </c>
      <c r="E894" s="5" t="s">
        <v>59</v>
      </c>
      <c r="F894" s="5" t="s">
        <v>63</v>
      </c>
      <c r="G894" s="5" t="s">
        <v>75</v>
      </c>
      <c r="H894" s="38">
        <v>33620.99</v>
      </c>
      <c r="I894" s="14">
        <v>0.1</v>
      </c>
      <c r="J894" s="38">
        <v>30258.891</v>
      </c>
      <c r="K894" s="5">
        <v>5</v>
      </c>
      <c r="L894" s="62">
        <f>Table1[[#This Row],[Final_Unit_Price]]*Table1[[#This Row],[Quantity]]</f>
        <v>151294.45499999999</v>
      </c>
      <c r="M894" s="60">
        <v>52953.06</v>
      </c>
      <c r="N894" s="43">
        <v>45705</v>
      </c>
      <c r="O894" s="18" t="str">
        <f>TEXT(Table1[[#This Row],[Order_Date]],"mmm")</f>
        <v>Feb</v>
      </c>
      <c r="P894" s="18">
        <f t="shared" si="26"/>
        <v>2025</v>
      </c>
      <c r="Q894" s="45">
        <v>45708</v>
      </c>
      <c r="R894" s="19">
        <f>'Cleaned Data'!$Q894-'Cleaned Data'!$N894</f>
        <v>3</v>
      </c>
      <c r="S894" s="19" t="str">
        <f t="shared" si="27"/>
        <v>Summer</v>
      </c>
    </row>
    <row r="895" spans="1:19" x14ac:dyDescent="0.3">
      <c r="A895" s="11" t="s">
        <v>1072</v>
      </c>
      <c r="B895" s="11" t="s">
        <v>28</v>
      </c>
      <c r="C895" s="3" t="s">
        <v>34</v>
      </c>
      <c r="D895" s="3" t="s">
        <v>55</v>
      </c>
      <c r="E895" s="3" t="s">
        <v>58</v>
      </c>
      <c r="F895" s="3" t="s">
        <v>63</v>
      </c>
      <c r="G895" s="3" t="s">
        <v>73</v>
      </c>
      <c r="H895" s="37">
        <v>1439.05</v>
      </c>
      <c r="I895" s="12">
        <v>0.15</v>
      </c>
      <c r="J895" s="37">
        <v>1223.1925000000001</v>
      </c>
      <c r="K895" s="3">
        <v>5</v>
      </c>
      <c r="L895" s="61">
        <f>Table1[[#This Row],[Final_Unit_Price]]*Table1[[#This Row],[Quantity]]</f>
        <v>6115.9625000000005</v>
      </c>
      <c r="M895" s="59">
        <v>305.8</v>
      </c>
      <c r="N895" s="42">
        <v>45622</v>
      </c>
      <c r="O895" s="20" t="str">
        <f>TEXT(Table1[[#This Row],[Order_Date]],"mmm")</f>
        <v>Nov</v>
      </c>
      <c r="P895" s="20">
        <f t="shared" si="26"/>
        <v>2024</v>
      </c>
      <c r="Q895" s="46">
        <v>45626</v>
      </c>
      <c r="R895" s="20">
        <f>'Cleaned Data'!$Q895-'Cleaned Data'!$N895</f>
        <v>4</v>
      </c>
      <c r="S895" s="19" t="str">
        <f t="shared" si="27"/>
        <v>Winter</v>
      </c>
    </row>
    <row r="896" spans="1:19" x14ac:dyDescent="0.3">
      <c r="A896" s="13" t="s">
        <v>1073</v>
      </c>
      <c r="B896" s="13" t="s">
        <v>28</v>
      </c>
      <c r="C896" s="5" t="s">
        <v>34</v>
      </c>
      <c r="D896" s="5" t="s">
        <v>55</v>
      </c>
      <c r="E896" s="5" t="s">
        <v>58</v>
      </c>
      <c r="F896" s="5" t="s">
        <v>63</v>
      </c>
      <c r="G896" s="5" t="s">
        <v>73</v>
      </c>
      <c r="H896" s="38">
        <v>1479.83</v>
      </c>
      <c r="I896" s="14">
        <v>0.1</v>
      </c>
      <c r="J896" s="38">
        <v>1331.847</v>
      </c>
      <c r="K896" s="5">
        <v>3</v>
      </c>
      <c r="L896" s="62">
        <f>Table1[[#This Row],[Final_Unit_Price]]*Table1[[#This Row],[Quantity]]</f>
        <v>3995.5410000000002</v>
      </c>
      <c r="M896" s="60">
        <v>998.88</v>
      </c>
      <c r="N896" s="43">
        <v>45800</v>
      </c>
      <c r="O896" s="18" t="str">
        <f>TEXT(Table1[[#This Row],[Order_Date]],"mmm")</f>
        <v>May</v>
      </c>
      <c r="P896" s="18">
        <f t="shared" si="26"/>
        <v>2025</v>
      </c>
      <c r="Q896" s="45">
        <v>45807</v>
      </c>
      <c r="R896" s="19">
        <f>'Cleaned Data'!$Q896-'Cleaned Data'!$N896</f>
        <v>7</v>
      </c>
      <c r="S896" s="19" t="str">
        <f t="shared" si="27"/>
        <v>Summer</v>
      </c>
    </row>
    <row r="897" spans="1:19" x14ac:dyDescent="0.3">
      <c r="A897" s="11" t="s">
        <v>1074</v>
      </c>
      <c r="B897" s="11" t="s">
        <v>26</v>
      </c>
      <c r="C897" s="3" t="s">
        <v>32</v>
      </c>
      <c r="D897" s="3" t="s">
        <v>54</v>
      </c>
      <c r="E897" s="3" t="s">
        <v>60</v>
      </c>
      <c r="F897" s="3" t="s">
        <v>62</v>
      </c>
      <c r="G897" s="3" t="s">
        <v>67</v>
      </c>
      <c r="H897" s="37">
        <v>30790.03</v>
      </c>
      <c r="I897" s="12">
        <v>0.1</v>
      </c>
      <c r="J897" s="37">
        <v>27711.026999999998</v>
      </c>
      <c r="K897" s="3">
        <v>1</v>
      </c>
      <c r="L897" s="61">
        <f>Table1[[#This Row],[Final_Unit_Price]]*Table1[[#This Row],[Quantity]]</f>
        <v>27711.026999999998</v>
      </c>
      <c r="M897" s="59">
        <v>4156.6499999999996</v>
      </c>
      <c r="N897" s="42">
        <v>45852</v>
      </c>
      <c r="O897" s="20" t="str">
        <f>TEXT(Table1[[#This Row],[Order_Date]],"mmm")</f>
        <v>Jul</v>
      </c>
      <c r="P897" s="20">
        <f t="shared" si="26"/>
        <v>2025</v>
      </c>
      <c r="Q897" s="46">
        <v>45857</v>
      </c>
      <c r="R897" s="20">
        <f>'Cleaned Data'!$Q897-'Cleaned Data'!$N897</f>
        <v>5</v>
      </c>
      <c r="S897" s="19" t="str">
        <f t="shared" si="27"/>
        <v>Monsoon</v>
      </c>
    </row>
    <row r="898" spans="1:19" x14ac:dyDescent="0.3">
      <c r="A898" s="13" t="s">
        <v>1075</v>
      </c>
      <c r="B898" s="13" t="s">
        <v>20</v>
      </c>
      <c r="C898" s="5" t="s">
        <v>32</v>
      </c>
      <c r="D898" s="5" t="s">
        <v>37</v>
      </c>
      <c r="E898" s="5" t="s">
        <v>59</v>
      </c>
      <c r="F898" s="5" t="s">
        <v>63</v>
      </c>
      <c r="G898" s="5" t="s">
        <v>73</v>
      </c>
      <c r="H898" s="38">
        <v>35167.82</v>
      </c>
      <c r="I898" s="14">
        <v>0.3</v>
      </c>
      <c r="J898" s="38">
        <v>24617.473999999998</v>
      </c>
      <c r="K898" s="5">
        <v>1</v>
      </c>
      <c r="L898" s="62">
        <f>Table1[[#This Row],[Final_Unit_Price]]*Table1[[#This Row],[Quantity]]</f>
        <v>24617.473999999998</v>
      </c>
      <c r="M898" s="60">
        <v>8616.11</v>
      </c>
      <c r="N898" s="43">
        <v>45384</v>
      </c>
      <c r="O898" s="18" t="str">
        <f>TEXT(Table1[[#This Row],[Order_Date]],"mmm")</f>
        <v>Apr</v>
      </c>
      <c r="P898" s="18">
        <f t="shared" si="26"/>
        <v>2024</v>
      </c>
      <c r="Q898" s="45">
        <v>45388</v>
      </c>
      <c r="R898" s="19">
        <f>'Cleaned Data'!$Q898-'Cleaned Data'!$N898</f>
        <v>4</v>
      </c>
      <c r="S898" s="19" t="str">
        <f t="shared" si="27"/>
        <v>Summer</v>
      </c>
    </row>
    <row r="899" spans="1:19" x14ac:dyDescent="0.3">
      <c r="A899" s="11" t="s">
        <v>1076</v>
      </c>
      <c r="B899" s="11" t="s">
        <v>23</v>
      </c>
      <c r="C899" s="3" t="s">
        <v>35</v>
      </c>
      <c r="D899" s="3" t="s">
        <v>48</v>
      </c>
      <c r="E899" s="3" t="s">
        <v>58</v>
      </c>
      <c r="F899" s="3" t="s">
        <v>64</v>
      </c>
      <c r="G899" s="3" t="s">
        <v>74</v>
      </c>
      <c r="H899" s="37">
        <v>27640.67</v>
      </c>
      <c r="I899" s="12">
        <v>0.25</v>
      </c>
      <c r="J899" s="37">
        <v>20730.502499999999</v>
      </c>
      <c r="K899" s="3">
        <v>4</v>
      </c>
      <c r="L899" s="61">
        <f>Table1[[#This Row],[Final_Unit_Price]]*Table1[[#This Row],[Quantity]]</f>
        <v>82922.009999999995</v>
      </c>
      <c r="M899" s="59">
        <v>20730.5</v>
      </c>
      <c r="N899" s="42">
        <v>45356</v>
      </c>
      <c r="O899" s="20" t="str">
        <f>TEXT(Table1[[#This Row],[Order_Date]],"mmm")</f>
        <v>Mar</v>
      </c>
      <c r="P899" s="20">
        <f t="shared" ref="P899:P962" si="28">YEAR(N899)</f>
        <v>2024</v>
      </c>
      <c r="Q899" s="46">
        <v>45360</v>
      </c>
      <c r="R899" s="20">
        <f>'Cleaned Data'!$Q899-'Cleaned Data'!$N899</f>
        <v>4</v>
      </c>
      <c r="S899" s="19" t="str">
        <f t="shared" ref="S899:S962" si="29">IF(OR(O899="Feb",O899="Mar",O899="Apr",O899="May"),"Summer",
   IF(OR(O899="Jun",O899="Jul",O899="Aug",O899="Sep"),"Monsoon",
   IF(OR(O899="Oct",O899="Nov",O899="Dec",O899= "Jan"),"Winter","Invalid")))</f>
        <v>Summer</v>
      </c>
    </row>
    <row r="900" spans="1:19" x14ac:dyDescent="0.3">
      <c r="A900" s="13" t="s">
        <v>1077</v>
      </c>
      <c r="B900" s="13" t="s">
        <v>19</v>
      </c>
      <c r="C900" s="5" t="s">
        <v>33</v>
      </c>
      <c r="D900" s="5" t="s">
        <v>57</v>
      </c>
      <c r="E900" s="5" t="s">
        <v>60</v>
      </c>
      <c r="F900" s="5" t="s">
        <v>63</v>
      </c>
      <c r="G900" s="5" t="s">
        <v>75</v>
      </c>
      <c r="H900" s="38">
        <v>1604.33</v>
      </c>
      <c r="I900" s="14">
        <v>0.05</v>
      </c>
      <c r="J900" s="38">
        <v>1524.1134999999999</v>
      </c>
      <c r="K900" s="5">
        <v>5</v>
      </c>
      <c r="L900" s="62">
        <f>Table1[[#This Row],[Final_Unit_Price]]*Table1[[#This Row],[Quantity]]</f>
        <v>7620.5674999999992</v>
      </c>
      <c r="M900" s="60">
        <v>1143.0899999999999</v>
      </c>
      <c r="N900" s="43">
        <v>45794</v>
      </c>
      <c r="O900" s="18" t="str">
        <f>TEXT(Table1[[#This Row],[Order_Date]],"mmm")</f>
        <v>May</v>
      </c>
      <c r="P900" s="18">
        <f t="shared" si="28"/>
        <v>2025</v>
      </c>
      <c r="Q900" s="45">
        <v>45798</v>
      </c>
      <c r="R900" s="19">
        <f>'Cleaned Data'!$Q900-'Cleaned Data'!$N900</f>
        <v>4</v>
      </c>
      <c r="S900" s="19" t="str">
        <f t="shared" si="29"/>
        <v>Summer</v>
      </c>
    </row>
    <row r="901" spans="1:19" x14ac:dyDescent="0.3">
      <c r="A901" s="11" t="s">
        <v>1078</v>
      </c>
      <c r="B901" s="11" t="s">
        <v>17</v>
      </c>
      <c r="C901" s="3" t="s">
        <v>32</v>
      </c>
      <c r="D901" s="3" t="s">
        <v>37</v>
      </c>
      <c r="E901" s="3" t="s">
        <v>59</v>
      </c>
      <c r="F901" s="3" t="s">
        <v>61</v>
      </c>
      <c r="G901" s="3" t="s">
        <v>70</v>
      </c>
      <c r="H901" s="37">
        <v>9306.68</v>
      </c>
      <c r="I901" s="12">
        <v>0.1</v>
      </c>
      <c r="J901" s="37">
        <v>8376.0120000000006</v>
      </c>
      <c r="K901" s="3">
        <v>1</v>
      </c>
      <c r="L901" s="61">
        <f>Table1[[#This Row],[Final_Unit_Price]]*Table1[[#This Row],[Quantity]]</f>
        <v>8376.0120000000006</v>
      </c>
      <c r="M901" s="59">
        <v>2931.6</v>
      </c>
      <c r="N901" s="42">
        <v>45483</v>
      </c>
      <c r="O901" s="20" t="str">
        <f>TEXT(Table1[[#This Row],[Order_Date]],"mmm")</f>
        <v>Jul</v>
      </c>
      <c r="P901" s="20">
        <f t="shared" si="28"/>
        <v>2024</v>
      </c>
      <c r="Q901" s="46">
        <v>45491</v>
      </c>
      <c r="R901" s="20">
        <f>'Cleaned Data'!$Q901-'Cleaned Data'!$N901</f>
        <v>8</v>
      </c>
      <c r="S901" s="19" t="str">
        <f t="shared" si="29"/>
        <v>Monsoon</v>
      </c>
    </row>
    <row r="902" spans="1:19" x14ac:dyDescent="0.3">
      <c r="A902" s="13" t="s">
        <v>1079</v>
      </c>
      <c r="B902" s="13" t="s">
        <v>28</v>
      </c>
      <c r="C902" s="5" t="s">
        <v>34</v>
      </c>
      <c r="D902" s="5" t="s">
        <v>41</v>
      </c>
      <c r="E902" s="5" t="s">
        <v>60</v>
      </c>
      <c r="F902" s="5" t="s">
        <v>61</v>
      </c>
      <c r="G902" s="5" t="s">
        <v>70</v>
      </c>
      <c r="H902" s="38">
        <v>1194.46</v>
      </c>
      <c r="I902" s="14">
        <v>0.2</v>
      </c>
      <c r="J902" s="38">
        <v>955.5680000000001</v>
      </c>
      <c r="K902" s="5">
        <v>2</v>
      </c>
      <c r="L902" s="62">
        <f>Table1[[#This Row],[Final_Unit_Price]]*Table1[[#This Row],[Quantity]]</f>
        <v>1911.1360000000002</v>
      </c>
      <c r="M902" s="60">
        <v>286.67</v>
      </c>
      <c r="N902" s="43">
        <v>45376</v>
      </c>
      <c r="O902" s="18" t="str">
        <f>TEXT(Table1[[#This Row],[Order_Date]],"mmm")</f>
        <v>Mar</v>
      </c>
      <c r="P902" s="18">
        <f t="shared" si="28"/>
        <v>2024</v>
      </c>
      <c r="Q902" s="45">
        <v>45383</v>
      </c>
      <c r="R902" s="19">
        <f>'Cleaned Data'!$Q902-'Cleaned Data'!$N902</f>
        <v>7</v>
      </c>
      <c r="S902" s="19" t="str">
        <f t="shared" si="29"/>
        <v>Summer</v>
      </c>
    </row>
    <row r="903" spans="1:19" x14ac:dyDescent="0.3">
      <c r="A903" s="11" t="s">
        <v>1080</v>
      </c>
      <c r="B903" s="11" t="s">
        <v>26</v>
      </c>
      <c r="C903" s="3" t="s">
        <v>32</v>
      </c>
      <c r="D903" s="3" t="s">
        <v>43</v>
      </c>
      <c r="E903" s="3" t="s">
        <v>58</v>
      </c>
      <c r="F903" s="3" t="s">
        <v>62</v>
      </c>
      <c r="G903" s="3" t="s">
        <v>67</v>
      </c>
      <c r="H903" s="37">
        <v>36965.35</v>
      </c>
      <c r="I903" s="12">
        <v>0.15</v>
      </c>
      <c r="J903" s="37">
        <v>31420.547500000001</v>
      </c>
      <c r="K903" s="3">
        <v>2</v>
      </c>
      <c r="L903" s="61">
        <f>Table1[[#This Row],[Final_Unit_Price]]*Table1[[#This Row],[Quantity]]</f>
        <v>62841.095000000001</v>
      </c>
      <c r="M903" s="59">
        <v>15710.27</v>
      </c>
      <c r="N903" s="42">
        <v>45316</v>
      </c>
      <c r="O903" s="20" t="str">
        <f>TEXT(Table1[[#This Row],[Order_Date]],"mmm")</f>
        <v>Jan</v>
      </c>
      <c r="P903" s="20">
        <f t="shared" si="28"/>
        <v>2024</v>
      </c>
      <c r="Q903" s="46">
        <v>45319</v>
      </c>
      <c r="R903" s="20">
        <f>'Cleaned Data'!$Q903-'Cleaned Data'!$N903</f>
        <v>3</v>
      </c>
      <c r="S903" s="19" t="str">
        <f t="shared" si="29"/>
        <v>Winter</v>
      </c>
    </row>
    <row r="904" spans="1:19" x14ac:dyDescent="0.3">
      <c r="A904" s="13" t="s">
        <v>1081</v>
      </c>
      <c r="B904" s="13" t="s">
        <v>27</v>
      </c>
      <c r="C904" s="5" t="s">
        <v>35</v>
      </c>
      <c r="D904" s="5" t="s">
        <v>46</v>
      </c>
      <c r="E904" s="5" t="s">
        <v>59</v>
      </c>
      <c r="F904" s="5" t="s">
        <v>61</v>
      </c>
      <c r="G904" s="5" t="s">
        <v>65</v>
      </c>
      <c r="H904" s="38">
        <v>9102.0300000000007</v>
      </c>
      <c r="I904" s="14">
        <v>0.15</v>
      </c>
      <c r="J904" s="38">
        <v>7736.7254999999996</v>
      </c>
      <c r="K904" s="5">
        <v>2</v>
      </c>
      <c r="L904" s="62">
        <f>Table1[[#This Row],[Final_Unit_Price]]*Table1[[#This Row],[Quantity]]</f>
        <v>15473.450999999999</v>
      </c>
      <c r="M904" s="60">
        <v>5415.71</v>
      </c>
      <c r="N904" s="43">
        <v>45802</v>
      </c>
      <c r="O904" s="18" t="str">
        <f>TEXT(Table1[[#This Row],[Order_Date]],"mmm")</f>
        <v>May</v>
      </c>
      <c r="P904" s="18">
        <f t="shared" si="28"/>
        <v>2025</v>
      </c>
      <c r="Q904" s="45">
        <v>45804</v>
      </c>
      <c r="R904" s="19">
        <f>'Cleaned Data'!$Q904-'Cleaned Data'!$N904</f>
        <v>2</v>
      </c>
      <c r="S904" s="19" t="str">
        <f t="shared" si="29"/>
        <v>Summer</v>
      </c>
    </row>
    <row r="905" spans="1:19" x14ac:dyDescent="0.3">
      <c r="A905" s="11" t="s">
        <v>1082</v>
      </c>
      <c r="B905" s="11" t="s">
        <v>17</v>
      </c>
      <c r="C905" s="3" t="s">
        <v>32</v>
      </c>
      <c r="D905" s="3" t="s">
        <v>40</v>
      </c>
      <c r="E905" s="3" t="s">
        <v>59</v>
      </c>
      <c r="F905" s="3" t="s">
        <v>62</v>
      </c>
      <c r="G905" s="3" t="s">
        <v>69</v>
      </c>
      <c r="H905" s="37">
        <v>10320.73</v>
      </c>
      <c r="I905" s="12">
        <v>0.3</v>
      </c>
      <c r="J905" s="37">
        <v>7224.5110000000004</v>
      </c>
      <c r="K905" s="3">
        <v>5</v>
      </c>
      <c r="L905" s="61">
        <f>Table1[[#This Row],[Final_Unit_Price]]*Table1[[#This Row],[Quantity]]</f>
        <v>36122.555</v>
      </c>
      <c r="M905" s="59">
        <v>12642.9</v>
      </c>
      <c r="N905" s="42">
        <v>45445</v>
      </c>
      <c r="O905" s="20" t="str">
        <f>TEXT(Table1[[#This Row],[Order_Date]],"mmm")</f>
        <v>Jun</v>
      </c>
      <c r="P905" s="20">
        <f t="shared" si="28"/>
        <v>2024</v>
      </c>
      <c r="Q905" s="46">
        <v>45451</v>
      </c>
      <c r="R905" s="20">
        <f>'Cleaned Data'!$Q905-'Cleaned Data'!$N905</f>
        <v>6</v>
      </c>
      <c r="S905" s="19" t="str">
        <f t="shared" si="29"/>
        <v>Monsoon</v>
      </c>
    </row>
    <row r="906" spans="1:19" x14ac:dyDescent="0.3">
      <c r="A906" s="13" t="s">
        <v>1083</v>
      </c>
      <c r="B906" s="13" t="s">
        <v>27</v>
      </c>
      <c r="C906" s="5" t="s">
        <v>35</v>
      </c>
      <c r="D906" s="5" t="s">
        <v>46</v>
      </c>
      <c r="E906" s="5" t="s">
        <v>59</v>
      </c>
      <c r="F906" s="5" t="s">
        <v>62</v>
      </c>
      <c r="G906" s="5" t="s">
        <v>66</v>
      </c>
      <c r="H906" s="38">
        <v>9764.31</v>
      </c>
      <c r="I906" s="14">
        <v>0.25</v>
      </c>
      <c r="J906" s="38">
        <v>7323.2325000000001</v>
      </c>
      <c r="K906" s="5">
        <v>2</v>
      </c>
      <c r="L906" s="62">
        <f>Table1[[#This Row],[Final_Unit_Price]]*Table1[[#This Row],[Quantity]]</f>
        <v>14646.465</v>
      </c>
      <c r="M906" s="60">
        <v>5126.26</v>
      </c>
      <c r="N906" s="43">
        <v>45762</v>
      </c>
      <c r="O906" s="18" t="str">
        <f>TEXT(Table1[[#This Row],[Order_Date]],"mmm")</f>
        <v>Apr</v>
      </c>
      <c r="P906" s="18">
        <f t="shared" si="28"/>
        <v>2025</v>
      </c>
      <c r="Q906" s="45">
        <v>45764</v>
      </c>
      <c r="R906" s="19">
        <f>'Cleaned Data'!$Q906-'Cleaned Data'!$N906</f>
        <v>2</v>
      </c>
      <c r="S906" s="19" t="str">
        <f t="shared" si="29"/>
        <v>Summer</v>
      </c>
    </row>
    <row r="907" spans="1:19" x14ac:dyDescent="0.3">
      <c r="A907" s="11" t="s">
        <v>1084</v>
      </c>
      <c r="B907" s="11" t="s">
        <v>24</v>
      </c>
      <c r="C907" s="3" t="s">
        <v>32</v>
      </c>
      <c r="D907" s="3" t="s">
        <v>54</v>
      </c>
      <c r="E907" s="3" t="s">
        <v>60</v>
      </c>
      <c r="F907" s="3" t="s">
        <v>63</v>
      </c>
      <c r="G907" s="3" t="s">
        <v>68</v>
      </c>
      <c r="H907" s="37">
        <v>20571.11</v>
      </c>
      <c r="I907" s="12">
        <v>0.1</v>
      </c>
      <c r="J907" s="37">
        <v>18513.999</v>
      </c>
      <c r="K907" s="3">
        <v>2</v>
      </c>
      <c r="L907" s="61">
        <f>Table1[[#This Row],[Final_Unit_Price]]*Table1[[#This Row],[Quantity]]</f>
        <v>37027.998</v>
      </c>
      <c r="M907" s="59">
        <v>5554.2</v>
      </c>
      <c r="N907" s="42">
        <v>45338</v>
      </c>
      <c r="O907" s="20" t="str">
        <f>TEXT(Table1[[#This Row],[Order_Date]],"mmm")</f>
        <v>Feb</v>
      </c>
      <c r="P907" s="20">
        <f t="shared" si="28"/>
        <v>2024</v>
      </c>
      <c r="Q907" s="46">
        <v>45348</v>
      </c>
      <c r="R907" s="20">
        <f>'Cleaned Data'!$Q907-'Cleaned Data'!$N907</f>
        <v>10</v>
      </c>
      <c r="S907" s="19" t="str">
        <f t="shared" si="29"/>
        <v>Summer</v>
      </c>
    </row>
    <row r="908" spans="1:19" x14ac:dyDescent="0.3">
      <c r="A908" s="13" t="s">
        <v>1085</v>
      </c>
      <c r="B908" s="13" t="s">
        <v>21</v>
      </c>
      <c r="C908" s="5" t="s">
        <v>34</v>
      </c>
      <c r="D908" s="5" t="s">
        <v>41</v>
      </c>
      <c r="E908" s="5" t="s">
        <v>60</v>
      </c>
      <c r="F908" s="5" t="s">
        <v>62</v>
      </c>
      <c r="G908" s="5" t="s">
        <v>66</v>
      </c>
      <c r="H908" s="38">
        <v>2643.8</v>
      </c>
      <c r="I908" s="14">
        <v>0.3</v>
      </c>
      <c r="J908" s="38">
        <v>1850.66</v>
      </c>
      <c r="K908" s="5">
        <v>3</v>
      </c>
      <c r="L908" s="62">
        <f>Table1[[#This Row],[Final_Unit_Price]]*Table1[[#This Row],[Quantity]]</f>
        <v>5551.9800000000005</v>
      </c>
      <c r="M908" s="60">
        <v>832.8</v>
      </c>
      <c r="N908" s="43">
        <v>45718</v>
      </c>
      <c r="O908" s="18" t="str">
        <f>TEXT(Table1[[#This Row],[Order_Date]],"mmm")</f>
        <v>Mar</v>
      </c>
      <c r="P908" s="18">
        <f t="shared" si="28"/>
        <v>2025</v>
      </c>
      <c r="Q908" s="45">
        <v>45721</v>
      </c>
      <c r="R908" s="19">
        <f>'Cleaned Data'!$Q908-'Cleaned Data'!$N908</f>
        <v>3</v>
      </c>
      <c r="S908" s="19" t="str">
        <f t="shared" si="29"/>
        <v>Summer</v>
      </c>
    </row>
    <row r="909" spans="1:19" x14ac:dyDescent="0.3">
      <c r="A909" s="11" t="s">
        <v>1086</v>
      </c>
      <c r="B909" s="11" t="s">
        <v>23</v>
      </c>
      <c r="C909" s="3" t="s">
        <v>35</v>
      </c>
      <c r="D909" s="3" t="s">
        <v>48</v>
      </c>
      <c r="E909" s="3" t="s">
        <v>58</v>
      </c>
      <c r="F909" s="3" t="s">
        <v>64</v>
      </c>
      <c r="G909" s="3" t="s">
        <v>74</v>
      </c>
      <c r="H909" s="37">
        <v>27347.03</v>
      </c>
      <c r="I909" s="12">
        <v>0.2</v>
      </c>
      <c r="J909" s="37">
        <v>21877.624</v>
      </c>
      <c r="K909" s="3">
        <v>4</v>
      </c>
      <c r="L909" s="61">
        <f>Table1[[#This Row],[Final_Unit_Price]]*Table1[[#This Row],[Quantity]]</f>
        <v>87510.495999999999</v>
      </c>
      <c r="M909" s="59">
        <v>21877.62</v>
      </c>
      <c r="N909" s="42">
        <v>45452</v>
      </c>
      <c r="O909" s="20" t="str">
        <f>TEXT(Table1[[#This Row],[Order_Date]],"mmm")</f>
        <v>Jun</v>
      </c>
      <c r="P909" s="20">
        <f t="shared" si="28"/>
        <v>2024</v>
      </c>
      <c r="Q909" s="46">
        <v>45458</v>
      </c>
      <c r="R909" s="20">
        <f>'Cleaned Data'!$Q909-'Cleaned Data'!$N909</f>
        <v>6</v>
      </c>
      <c r="S909" s="19" t="str">
        <f t="shared" si="29"/>
        <v>Monsoon</v>
      </c>
    </row>
    <row r="910" spans="1:19" x14ac:dyDescent="0.3">
      <c r="A910" s="13" t="s">
        <v>1087</v>
      </c>
      <c r="B910" s="13" t="s">
        <v>22</v>
      </c>
      <c r="C910" s="5" t="s">
        <v>31</v>
      </c>
      <c r="D910" s="5" t="s">
        <v>42</v>
      </c>
      <c r="E910" s="5" t="s">
        <v>60</v>
      </c>
      <c r="F910" s="5" t="s">
        <v>64</v>
      </c>
      <c r="G910" s="5" t="s">
        <v>76</v>
      </c>
      <c r="H910" s="38">
        <v>3246.47</v>
      </c>
      <c r="I910" s="14">
        <v>0.15</v>
      </c>
      <c r="J910" s="38">
        <v>2759.4994999999999</v>
      </c>
      <c r="K910" s="5">
        <v>4</v>
      </c>
      <c r="L910" s="62">
        <f>Table1[[#This Row],[Final_Unit_Price]]*Table1[[#This Row],[Quantity]]</f>
        <v>11037.998</v>
      </c>
      <c r="M910" s="60">
        <v>1655.7</v>
      </c>
      <c r="N910" s="43">
        <v>45378</v>
      </c>
      <c r="O910" s="18" t="str">
        <f>TEXT(Table1[[#This Row],[Order_Date]],"mmm")</f>
        <v>Mar</v>
      </c>
      <c r="P910" s="18">
        <f t="shared" si="28"/>
        <v>2024</v>
      </c>
      <c r="Q910" s="45">
        <v>45384</v>
      </c>
      <c r="R910" s="19">
        <f>'Cleaned Data'!$Q910-'Cleaned Data'!$N910</f>
        <v>6</v>
      </c>
      <c r="S910" s="19" t="str">
        <f t="shared" si="29"/>
        <v>Summer</v>
      </c>
    </row>
    <row r="911" spans="1:19" x14ac:dyDescent="0.3">
      <c r="A911" s="11" t="s">
        <v>1088</v>
      </c>
      <c r="B911" s="11" t="s">
        <v>17</v>
      </c>
      <c r="C911" s="3" t="s">
        <v>32</v>
      </c>
      <c r="D911" s="3" t="s">
        <v>40</v>
      </c>
      <c r="E911" s="3" t="s">
        <v>59</v>
      </c>
      <c r="F911" s="3" t="s">
        <v>64</v>
      </c>
      <c r="G911" s="3" t="s">
        <v>76</v>
      </c>
      <c r="H911" s="37">
        <v>10344.61</v>
      </c>
      <c r="I911" s="12">
        <v>0.1</v>
      </c>
      <c r="J911" s="37">
        <v>9310.1490000000013</v>
      </c>
      <c r="K911" s="3">
        <v>5</v>
      </c>
      <c r="L911" s="61">
        <f>Table1[[#This Row],[Final_Unit_Price]]*Table1[[#This Row],[Quantity]]</f>
        <v>46550.74500000001</v>
      </c>
      <c r="M911" s="59">
        <v>16292.76</v>
      </c>
      <c r="N911" s="42">
        <v>45796</v>
      </c>
      <c r="O911" s="20" t="str">
        <f>TEXT(Table1[[#This Row],[Order_Date]],"mmm")</f>
        <v>May</v>
      </c>
      <c r="P911" s="20">
        <f t="shared" si="28"/>
        <v>2025</v>
      </c>
      <c r="Q911" s="46">
        <v>45801</v>
      </c>
      <c r="R911" s="20">
        <f>'Cleaned Data'!$Q911-'Cleaned Data'!$N911</f>
        <v>5</v>
      </c>
      <c r="S911" s="19" t="str">
        <f t="shared" si="29"/>
        <v>Summer</v>
      </c>
    </row>
    <row r="912" spans="1:19" x14ac:dyDescent="0.3">
      <c r="A912" s="13" t="s">
        <v>1089</v>
      </c>
      <c r="B912" s="13" t="s">
        <v>21</v>
      </c>
      <c r="C912" s="5" t="s">
        <v>34</v>
      </c>
      <c r="D912" s="5" t="s">
        <v>45</v>
      </c>
      <c r="E912" s="5" t="s">
        <v>59</v>
      </c>
      <c r="F912" s="5" t="s">
        <v>63</v>
      </c>
      <c r="G912" s="5" t="s">
        <v>68</v>
      </c>
      <c r="H912" s="38">
        <v>3255.13</v>
      </c>
      <c r="I912" s="14">
        <v>0.15</v>
      </c>
      <c r="J912" s="38">
        <v>2766.8604999999998</v>
      </c>
      <c r="K912" s="5">
        <v>9</v>
      </c>
      <c r="L912" s="62">
        <f>Table1[[#This Row],[Final_Unit_Price]]*Table1[[#This Row],[Quantity]]</f>
        <v>24901.744499999997</v>
      </c>
      <c r="M912" s="60">
        <v>1936.8</v>
      </c>
      <c r="N912" s="43">
        <v>45300</v>
      </c>
      <c r="O912" s="18" t="str">
        <f>TEXT(Table1[[#This Row],[Order_Date]],"mmm")</f>
        <v>Jan</v>
      </c>
      <c r="P912" s="18">
        <f t="shared" si="28"/>
        <v>2024</v>
      </c>
      <c r="Q912" s="45">
        <v>45306</v>
      </c>
      <c r="R912" s="19">
        <f>'Cleaned Data'!$Q912-'Cleaned Data'!$N912</f>
        <v>6</v>
      </c>
      <c r="S912" s="19" t="str">
        <f t="shared" si="29"/>
        <v>Winter</v>
      </c>
    </row>
    <row r="913" spans="1:19" x14ac:dyDescent="0.3">
      <c r="A913" s="11" t="s">
        <v>1090</v>
      </c>
      <c r="B913" s="11" t="s">
        <v>24</v>
      </c>
      <c r="C913" s="3" t="s">
        <v>32</v>
      </c>
      <c r="D913" s="3" t="s">
        <v>40</v>
      </c>
      <c r="E913" s="3" t="s">
        <v>59</v>
      </c>
      <c r="F913" s="3" t="s">
        <v>61</v>
      </c>
      <c r="G913" s="3" t="s">
        <v>70</v>
      </c>
      <c r="H913" s="37">
        <v>30691.98</v>
      </c>
      <c r="I913" s="12">
        <v>0.2</v>
      </c>
      <c r="J913" s="37">
        <v>24553.583999999999</v>
      </c>
      <c r="K913" s="3">
        <v>1</v>
      </c>
      <c r="L913" s="61">
        <f>Table1[[#This Row],[Final_Unit_Price]]*Table1[[#This Row],[Quantity]]</f>
        <v>24553.583999999999</v>
      </c>
      <c r="M913" s="59">
        <v>8593.75</v>
      </c>
      <c r="N913" s="42">
        <v>45338</v>
      </c>
      <c r="O913" s="20" t="str">
        <f>TEXT(Table1[[#This Row],[Order_Date]],"mmm")</f>
        <v>Feb</v>
      </c>
      <c r="P913" s="20">
        <f t="shared" si="28"/>
        <v>2024</v>
      </c>
      <c r="Q913" s="46">
        <v>45342</v>
      </c>
      <c r="R913" s="20">
        <f>'Cleaned Data'!$Q913-'Cleaned Data'!$N913</f>
        <v>4</v>
      </c>
      <c r="S913" s="19" t="str">
        <f t="shared" si="29"/>
        <v>Summer</v>
      </c>
    </row>
    <row r="914" spans="1:19" x14ac:dyDescent="0.3">
      <c r="A914" s="13" t="s">
        <v>1091</v>
      </c>
      <c r="B914" s="13" t="s">
        <v>28</v>
      </c>
      <c r="C914" s="5" t="s">
        <v>34</v>
      </c>
      <c r="D914" s="5" t="s">
        <v>51</v>
      </c>
      <c r="E914" s="5" t="s">
        <v>59</v>
      </c>
      <c r="F914" s="5" t="s">
        <v>63</v>
      </c>
      <c r="G914" s="5" t="s">
        <v>73</v>
      </c>
      <c r="H914" s="38">
        <v>1753.48</v>
      </c>
      <c r="I914" s="14">
        <v>0</v>
      </c>
      <c r="J914" s="38">
        <v>1753.48</v>
      </c>
      <c r="K914" s="5">
        <v>2</v>
      </c>
      <c r="L914" s="62">
        <f>Table1[[#This Row],[Final_Unit_Price]]*Table1[[#This Row],[Quantity]]</f>
        <v>3506.96</v>
      </c>
      <c r="M914" s="60">
        <v>1227.44</v>
      </c>
      <c r="N914" s="43">
        <v>45327</v>
      </c>
      <c r="O914" s="18" t="str">
        <f>TEXT(Table1[[#This Row],[Order_Date]],"mmm")</f>
        <v>Feb</v>
      </c>
      <c r="P914" s="18">
        <f t="shared" si="28"/>
        <v>2024</v>
      </c>
      <c r="Q914" s="45">
        <v>45333</v>
      </c>
      <c r="R914" s="19">
        <f>'Cleaned Data'!$Q914-'Cleaned Data'!$N914</f>
        <v>6</v>
      </c>
      <c r="S914" s="19" t="str">
        <f t="shared" si="29"/>
        <v>Summer</v>
      </c>
    </row>
    <row r="915" spans="1:19" x14ac:dyDescent="0.3">
      <c r="A915" s="11" t="s">
        <v>1092</v>
      </c>
      <c r="B915" s="11" t="s">
        <v>30</v>
      </c>
      <c r="C915" s="3" t="s">
        <v>33</v>
      </c>
      <c r="D915" s="3" t="s">
        <v>57</v>
      </c>
      <c r="E915" s="3" t="s">
        <v>60</v>
      </c>
      <c r="F915" s="3" t="s">
        <v>63</v>
      </c>
      <c r="G915" s="3" t="s">
        <v>73</v>
      </c>
      <c r="H915" s="37">
        <v>12680.53</v>
      </c>
      <c r="I915" s="12">
        <v>0.1</v>
      </c>
      <c r="J915" s="37">
        <v>11412.477000000001</v>
      </c>
      <c r="K915" s="3">
        <v>4</v>
      </c>
      <c r="L915" s="61">
        <f>Table1[[#This Row],[Final_Unit_Price]]*Table1[[#This Row],[Quantity]]</f>
        <v>45649.908000000003</v>
      </c>
      <c r="M915" s="59">
        <v>6847.49</v>
      </c>
      <c r="N915" s="42">
        <v>45561</v>
      </c>
      <c r="O915" s="20" t="str">
        <f>TEXT(Table1[[#This Row],[Order_Date]],"mmm")</f>
        <v>Sep</v>
      </c>
      <c r="P915" s="20">
        <f t="shared" si="28"/>
        <v>2024</v>
      </c>
      <c r="Q915" s="46">
        <v>45569</v>
      </c>
      <c r="R915" s="20">
        <f>'Cleaned Data'!$Q915-'Cleaned Data'!$N915</f>
        <v>8</v>
      </c>
      <c r="S915" s="19" t="str">
        <f t="shared" si="29"/>
        <v>Monsoon</v>
      </c>
    </row>
    <row r="916" spans="1:19" x14ac:dyDescent="0.3">
      <c r="A916" s="13" t="s">
        <v>1093</v>
      </c>
      <c r="B916" s="13" t="s">
        <v>23</v>
      </c>
      <c r="C916" s="5" t="s">
        <v>35</v>
      </c>
      <c r="D916" s="5" t="s">
        <v>48</v>
      </c>
      <c r="E916" s="5" t="s">
        <v>58</v>
      </c>
      <c r="F916" s="5" t="s">
        <v>61</v>
      </c>
      <c r="G916" s="5" t="s">
        <v>65</v>
      </c>
      <c r="H916" s="38">
        <v>25625.37</v>
      </c>
      <c r="I916" s="14">
        <v>0.3</v>
      </c>
      <c r="J916" s="38">
        <v>17937.758999999998</v>
      </c>
      <c r="K916" s="5">
        <v>2</v>
      </c>
      <c r="L916" s="62">
        <f>Table1[[#This Row],[Final_Unit_Price]]*Table1[[#This Row],[Quantity]]</f>
        <v>35875.517999999996</v>
      </c>
      <c r="M916" s="60">
        <v>8968.8799999999992</v>
      </c>
      <c r="N916" s="43">
        <v>45557</v>
      </c>
      <c r="O916" s="18" t="str">
        <f>TEXT(Table1[[#This Row],[Order_Date]],"mmm")</f>
        <v>Sep</v>
      </c>
      <c r="P916" s="18">
        <f t="shared" si="28"/>
        <v>2024</v>
      </c>
      <c r="Q916" s="45">
        <v>45559</v>
      </c>
      <c r="R916" s="19">
        <f>'Cleaned Data'!$Q916-'Cleaned Data'!$N916</f>
        <v>2</v>
      </c>
      <c r="S916" s="19" t="str">
        <f t="shared" si="29"/>
        <v>Monsoon</v>
      </c>
    </row>
    <row r="917" spans="1:19" x14ac:dyDescent="0.3">
      <c r="A917" s="11" t="s">
        <v>1094</v>
      </c>
      <c r="B917" s="11" t="s">
        <v>27</v>
      </c>
      <c r="C917" s="3" t="s">
        <v>35</v>
      </c>
      <c r="D917" s="3" t="s">
        <v>38</v>
      </c>
      <c r="E917" s="3" t="s">
        <v>59</v>
      </c>
      <c r="F917" s="3" t="s">
        <v>61</v>
      </c>
      <c r="G917" s="3" t="s">
        <v>71</v>
      </c>
      <c r="H917" s="37">
        <v>9247.58</v>
      </c>
      <c r="I917" s="12">
        <v>0.25</v>
      </c>
      <c r="J917" s="37">
        <v>6935.6849999999986</v>
      </c>
      <c r="K917" s="3">
        <v>2</v>
      </c>
      <c r="L917" s="61">
        <f>Table1[[#This Row],[Final_Unit_Price]]*Table1[[#This Row],[Quantity]]</f>
        <v>13871.369999999997</v>
      </c>
      <c r="M917" s="59">
        <v>4854.9799999999996</v>
      </c>
      <c r="N917" s="42">
        <v>45778</v>
      </c>
      <c r="O917" s="20" t="str">
        <f>TEXT(Table1[[#This Row],[Order_Date]],"mmm")</f>
        <v>May</v>
      </c>
      <c r="P917" s="20">
        <f t="shared" si="28"/>
        <v>2025</v>
      </c>
      <c r="Q917" s="46">
        <v>45781</v>
      </c>
      <c r="R917" s="20">
        <f>'Cleaned Data'!$Q917-'Cleaned Data'!$N917</f>
        <v>3</v>
      </c>
      <c r="S917" s="19" t="str">
        <f t="shared" si="29"/>
        <v>Summer</v>
      </c>
    </row>
    <row r="918" spans="1:19" x14ac:dyDescent="0.3">
      <c r="A918" s="13" t="s">
        <v>1095</v>
      </c>
      <c r="B918" s="13" t="s">
        <v>24</v>
      </c>
      <c r="C918" s="5" t="s">
        <v>32</v>
      </c>
      <c r="D918" s="5" t="s">
        <v>43</v>
      </c>
      <c r="E918" s="5" t="s">
        <v>58</v>
      </c>
      <c r="F918" s="5" t="s">
        <v>63</v>
      </c>
      <c r="G918" s="5" t="s">
        <v>68</v>
      </c>
      <c r="H918" s="38">
        <v>23371.81</v>
      </c>
      <c r="I918" s="14">
        <v>0.05</v>
      </c>
      <c r="J918" s="38">
        <v>22203.219499999999</v>
      </c>
      <c r="K918" s="5">
        <v>2</v>
      </c>
      <c r="L918" s="62">
        <f>Table1[[#This Row],[Final_Unit_Price]]*Table1[[#This Row],[Quantity]]</f>
        <v>44406.438999999998</v>
      </c>
      <c r="M918" s="60">
        <v>11101.61</v>
      </c>
      <c r="N918" s="43">
        <v>45853</v>
      </c>
      <c r="O918" s="18" t="str">
        <f>TEXT(Table1[[#This Row],[Order_Date]],"mmm")</f>
        <v>Jul</v>
      </c>
      <c r="P918" s="18">
        <f t="shared" si="28"/>
        <v>2025</v>
      </c>
      <c r="Q918" s="45">
        <v>45856</v>
      </c>
      <c r="R918" s="19">
        <f>'Cleaned Data'!$Q918-'Cleaned Data'!$N918</f>
        <v>3</v>
      </c>
      <c r="S918" s="19" t="str">
        <f t="shared" si="29"/>
        <v>Monsoon</v>
      </c>
    </row>
    <row r="919" spans="1:19" x14ac:dyDescent="0.3">
      <c r="A919" s="11" t="s">
        <v>1096</v>
      </c>
      <c r="B919" s="11" t="s">
        <v>29</v>
      </c>
      <c r="C919" s="3" t="s">
        <v>35</v>
      </c>
      <c r="D919" s="3" t="s">
        <v>44</v>
      </c>
      <c r="E919" s="3" t="s">
        <v>60</v>
      </c>
      <c r="F919" s="3" t="s">
        <v>61</v>
      </c>
      <c r="G919" s="3" t="s">
        <v>70</v>
      </c>
      <c r="H919" s="37">
        <v>14345.16</v>
      </c>
      <c r="I919" s="12">
        <v>0.3</v>
      </c>
      <c r="J919" s="37">
        <v>10041.611999999999</v>
      </c>
      <c r="K919" s="3">
        <v>1</v>
      </c>
      <c r="L919" s="61">
        <f>Table1[[#This Row],[Final_Unit_Price]]*Table1[[#This Row],[Quantity]]</f>
        <v>10041.611999999999</v>
      </c>
      <c r="M919" s="59">
        <v>1506.24</v>
      </c>
      <c r="N919" s="42">
        <v>45458</v>
      </c>
      <c r="O919" s="20" t="str">
        <f>TEXT(Table1[[#This Row],[Order_Date]],"mmm")</f>
        <v>Jun</v>
      </c>
      <c r="P919" s="20">
        <f t="shared" si="28"/>
        <v>2024</v>
      </c>
      <c r="Q919" s="46">
        <v>45461</v>
      </c>
      <c r="R919" s="20">
        <f>'Cleaned Data'!$Q919-'Cleaned Data'!$N919</f>
        <v>3</v>
      </c>
      <c r="S919" s="19" t="str">
        <f t="shared" si="29"/>
        <v>Monsoon</v>
      </c>
    </row>
    <row r="920" spans="1:19" x14ac:dyDescent="0.3">
      <c r="A920" s="13" t="s">
        <v>1097</v>
      </c>
      <c r="B920" s="13" t="s">
        <v>27</v>
      </c>
      <c r="C920" s="5" t="s">
        <v>35</v>
      </c>
      <c r="D920" s="5" t="s">
        <v>48</v>
      </c>
      <c r="E920" s="5" t="s">
        <v>58</v>
      </c>
      <c r="F920" s="5" t="s">
        <v>62</v>
      </c>
      <c r="G920" s="5" t="s">
        <v>66</v>
      </c>
      <c r="H920" s="38">
        <v>7970.79</v>
      </c>
      <c r="I920" s="14">
        <v>0.25</v>
      </c>
      <c r="J920" s="38">
        <v>5978.0924999999997</v>
      </c>
      <c r="K920" s="5">
        <v>1</v>
      </c>
      <c r="L920" s="62">
        <f>Table1[[#This Row],[Final_Unit_Price]]*Table1[[#This Row],[Quantity]]</f>
        <v>5978.0924999999997</v>
      </c>
      <c r="M920" s="60">
        <v>1494.52</v>
      </c>
      <c r="N920" s="43">
        <v>45464</v>
      </c>
      <c r="O920" s="18" t="str">
        <f>TEXT(Table1[[#This Row],[Order_Date]],"mmm")</f>
        <v>Jun</v>
      </c>
      <c r="P920" s="18">
        <f t="shared" si="28"/>
        <v>2024</v>
      </c>
      <c r="Q920" s="45">
        <v>45471</v>
      </c>
      <c r="R920" s="19">
        <f>'Cleaned Data'!$Q920-'Cleaned Data'!$N920</f>
        <v>7</v>
      </c>
      <c r="S920" s="19" t="str">
        <f t="shared" si="29"/>
        <v>Monsoon</v>
      </c>
    </row>
    <row r="921" spans="1:19" x14ac:dyDescent="0.3">
      <c r="A921" s="11" t="s">
        <v>1098</v>
      </c>
      <c r="B921" s="11" t="s">
        <v>30</v>
      </c>
      <c r="C921" s="3" t="s">
        <v>33</v>
      </c>
      <c r="D921" s="3" t="s">
        <v>38</v>
      </c>
      <c r="E921" s="3" t="s">
        <v>59</v>
      </c>
      <c r="F921" s="3" t="s">
        <v>64</v>
      </c>
      <c r="G921" s="3" t="s">
        <v>72</v>
      </c>
      <c r="H921" s="37">
        <v>19459.650000000001</v>
      </c>
      <c r="I921" s="12">
        <v>0.3</v>
      </c>
      <c r="J921" s="37">
        <v>13621.754999999999</v>
      </c>
      <c r="K921" s="3">
        <v>1</v>
      </c>
      <c r="L921" s="61">
        <f>Table1[[#This Row],[Final_Unit_Price]]*Table1[[#This Row],[Quantity]]</f>
        <v>13621.754999999999</v>
      </c>
      <c r="M921" s="59">
        <v>4767.62</v>
      </c>
      <c r="N921" s="42">
        <v>45669</v>
      </c>
      <c r="O921" s="20" t="str">
        <f>TEXT(Table1[[#This Row],[Order_Date]],"mmm")</f>
        <v>Jan</v>
      </c>
      <c r="P921" s="20">
        <f t="shared" si="28"/>
        <v>2025</v>
      </c>
      <c r="Q921" s="46">
        <v>45671</v>
      </c>
      <c r="R921" s="20">
        <f>'Cleaned Data'!$Q921-'Cleaned Data'!$N921</f>
        <v>2</v>
      </c>
      <c r="S921" s="19" t="str">
        <f t="shared" si="29"/>
        <v>Winter</v>
      </c>
    </row>
    <row r="922" spans="1:19" x14ac:dyDescent="0.3">
      <c r="A922" s="13" t="s">
        <v>1099</v>
      </c>
      <c r="B922" s="13" t="s">
        <v>19</v>
      </c>
      <c r="C922" s="5" t="s">
        <v>33</v>
      </c>
      <c r="D922" s="5" t="s">
        <v>50</v>
      </c>
      <c r="E922" s="5" t="s">
        <v>59</v>
      </c>
      <c r="F922" s="5" t="s">
        <v>63</v>
      </c>
      <c r="G922" s="5" t="s">
        <v>68</v>
      </c>
      <c r="H922" s="38">
        <v>2343.69</v>
      </c>
      <c r="I922" s="14">
        <v>0.3</v>
      </c>
      <c r="J922" s="38">
        <v>1640.5830000000001</v>
      </c>
      <c r="K922" s="5">
        <v>5</v>
      </c>
      <c r="L922" s="62">
        <f>Table1[[#This Row],[Final_Unit_Price]]*Table1[[#This Row],[Quantity]]</f>
        <v>8202.9150000000009</v>
      </c>
      <c r="M922" s="60">
        <v>2871.02</v>
      </c>
      <c r="N922" s="43">
        <v>45552</v>
      </c>
      <c r="O922" s="18" t="str">
        <f>TEXT(Table1[[#This Row],[Order_Date]],"mmm")</f>
        <v>Sep</v>
      </c>
      <c r="P922" s="18">
        <f t="shared" si="28"/>
        <v>2024</v>
      </c>
      <c r="Q922" s="45">
        <v>45555</v>
      </c>
      <c r="R922" s="19">
        <f>'Cleaned Data'!$Q922-'Cleaned Data'!$N922</f>
        <v>3</v>
      </c>
      <c r="S922" s="19" t="str">
        <f t="shared" si="29"/>
        <v>Monsoon</v>
      </c>
    </row>
    <row r="923" spans="1:19" x14ac:dyDescent="0.3">
      <c r="A923" s="11" t="s">
        <v>1100</v>
      </c>
      <c r="B923" s="11" t="s">
        <v>21</v>
      </c>
      <c r="C923" s="3" t="s">
        <v>34</v>
      </c>
      <c r="D923" s="3" t="s">
        <v>45</v>
      </c>
      <c r="E923" s="3" t="s">
        <v>59</v>
      </c>
      <c r="F923" s="3" t="s">
        <v>63</v>
      </c>
      <c r="G923" s="3" t="s">
        <v>68</v>
      </c>
      <c r="H923" s="37">
        <v>3330.77</v>
      </c>
      <c r="I923" s="12">
        <v>0.15</v>
      </c>
      <c r="J923" s="37">
        <v>2831.1545000000001</v>
      </c>
      <c r="K923" s="3">
        <v>2</v>
      </c>
      <c r="L923" s="61">
        <f>Table1[[#This Row],[Final_Unit_Price]]*Table1[[#This Row],[Quantity]]</f>
        <v>5662.3090000000002</v>
      </c>
      <c r="M923" s="59">
        <v>1981.81</v>
      </c>
      <c r="N923" s="42">
        <v>45830</v>
      </c>
      <c r="O923" s="20" t="str">
        <f>TEXT(Table1[[#This Row],[Order_Date]],"mmm")</f>
        <v>Jun</v>
      </c>
      <c r="P923" s="20">
        <f t="shared" si="28"/>
        <v>2025</v>
      </c>
      <c r="Q923" s="46">
        <v>45836</v>
      </c>
      <c r="R923" s="20">
        <f>'Cleaned Data'!$Q923-'Cleaned Data'!$N923</f>
        <v>6</v>
      </c>
      <c r="S923" s="19" t="str">
        <f t="shared" si="29"/>
        <v>Monsoon</v>
      </c>
    </row>
    <row r="924" spans="1:19" x14ac:dyDescent="0.3">
      <c r="A924" s="13" t="s">
        <v>1101</v>
      </c>
      <c r="B924" s="13" t="s">
        <v>27</v>
      </c>
      <c r="C924" s="5" t="s">
        <v>35</v>
      </c>
      <c r="D924" s="5" t="s">
        <v>48</v>
      </c>
      <c r="E924" s="5" t="s">
        <v>58</v>
      </c>
      <c r="F924" s="5" t="s">
        <v>63</v>
      </c>
      <c r="G924" s="5" t="s">
        <v>73</v>
      </c>
      <c r="H924" s="38">
        <v>7509.12</v>
      </c>
      <c r="I924" s="14">
        <v>0</v>
      </c>
      <c r="J924" s="38">
        <v>7509.12</v>
      </c>
      <c r="K924" s="5">
        <v>4</v>
      </c>
      <c r="L924" s="62">
        <f>Table1[[#This Row],[Final_Unit_Price]]*Table1[[#This Row],[Quantity]]</f>
        <v>30036.48</v>
      </c>
      <c r="M924" s="60">
        <v>7509.12</v>
      </c>
      <c r="N924" s="43">
        <v>45294</v>
      </c>
      <c r="O924" s="18" t="str">
        <f>TEXT(Table1[[#This Row],[Order_Date]],"mmm")</f>
        <v>Jan</v>
      </c>
      <c r="P924" s="18">
        <f t="shared" si="28"/>
        <v>2024</v>
      </c>
      <c r="Q924" s="45">
        <v>45302</v>
      </c>
      <c r="R924" s="19">
        <f>'Cleaned Data'!$Q924-'Cleaned Data'!$N924</f>
        <v>8</v>
      </c>
      <c r="S924" s="19" t="str">
        <f t="shared" si="29"/>
        <v>Winter</v>
      </c>
    </row>
    <row r="925" spans="1:19" x14ac:dyDescent="0.3">
      <c r="A925" s="11" t="s">
        <v>1102</v>
      </c>
      <c r="B925" s="11" t="s">
        <v>29</v>
      </c>
      <c r="C925" s="3" t="s">
        <v>35</v>
      </c>
      <c r="D925" s="3" t="s">
        <v>46</v>
      </c>
      <c r="E925" s="3" t="s">
        <v>59</v>
      </c>
      <c r="F925" s="3" t="s">
        <v>63</v>
      </c>
      <c r="G925" s="3" t="s">
        <v>68</v>
      </c>
      <c r="H925" s="37">
        <v>21330.99</v>
      </c>
      <c r="I925" s="12">
        <v>0.05</v>
      </c>
      <c r="J925" s="37">
        <v>20264.440500000001</v>
      </c>
      <c r="K925" s="3">
        <v>3</v>
      </c>
      <c r="L925" s="61">
        <f>Table1[[#This Row],[Final_Unit_Price]]*Table1[[#This Row],[Quantity]]</f>
        <v>60793.321500000005</v>
      </c>
      <c r="M925" s="59">
        <v>21277.66</v>
      </c>
      <c r="N925" s="42">
        <v>45500</v>
      </c>
      <c r="O925" s="20" t="str">
        <f>TEXT(Table1[[#This Row],[Order_Date]],"mmm")</f>
        <v>Jul</v>
      </c>
      <c r="P925" s="20">
        <f t="shared" si="28"/>
        <v>2024</v>
      </c>
      <c r="Q925" s="46">
        <v>45505</v>
      </c>
      <c r="R925" s="20">
        <f>'Cleaned Data'!$Q925-'Cleaned Data'!$N925</f>
        <v>5</v>
      </c>
      <c r="S925" s="19" t="str">
        <f t="shared" si="29"/>
        <v>Monsoon</v>
      </c>
    </row>
    <row r="926" spans="1:19" x14ac:dyDescent="0.3">
      <c r="A926" s="13" t="s">
        <v>1103</v>
      </c>
      <c r="B926" s="13" t="s">
        <v>25</v>
      </c>
      <c r="C926" s="5" t="s">
        <v>34</v>
      </c>
      <c r="D926" s="5" t="s">
        <v>49</v>
      </c>
      <c r="E926" s="5" t="s">
        <v>59</v>
      </c>
      <c r="F926" s="5" t="s">
        <v>63</v>
      </c>
      <c r="G926" s="5" t="s">
        <v>68</v>
      </c>
      <c r="H926" s="38">
        <v>923.53</v>
      </c>
      <c r="I926" s="14">
        <v>0.3</v>
      </c>
      <c r="J926" s="38">
        <v>646.47099999999989</v>
      </c>
      <c r="K926" s="5">
        <v>3</v>
      </c>
      <c r="L926" s="62">
        <f>Table1[[#This Row],[Final_Unit_Price]]*Table1[[#This Row],[Quantity]]</f>
        <v>1939.4129999999996</v>
      </c>
      <c r="M926" s="60">
        <v>678.79</v>
      </c>
      <c r="N926" s="43">
        <v>45656</v>
      </c>
      <c r="O926" s="18" t="str">
        <f>TEXT(Table1[[#This Row],[Order_Date]],"mmm")</f>
        <v>Dec</v>
      </c>
      <c r="P926" s="18">
        <f t="shared" si="28"/>
        <v>2024</v>
      </c>
      <c r="Q926" s="45">
        <v>45664</v>
      </c>
      <c r="R926" s="19">
        <f>'Cleaned Data'!$Q926-'Cleaned Data'!$N926</f>
        <v>8</v>
      </c>
      <c r="S926" s="19" t="str">
        <f t="shared" si="29"/>
        <v>Winter</v>
      </c>
    </row>
    <row r="927" spans="1:19" x14ac:dyDescent="0.3">
      <c r="A927" s="11" t="s">
        <v>1104</v>
      </c>
      <c r="B927" s="11" t="s">
        <v>26</v>
      </c>
      <c r="C927" s="3" t="s">
        <v>32</v>
      </c>
      <c r="D927" s="3" t="s">
        <v>40</v>
      </c>
      <c r="E927" s="3" t="s">
        <v>59</v>
      </c>
      <c r="F927" s="3" t="s">
        <v>61</v>
      </c>
      <c r="G927" s="3" t="s">
        <v>71</v>
      </c>
      <c r="H927" s="37">
        <v>39515.58</v>
      </c>
      <c r="I927" s="12">
        <v>0</v>
      </c>
      <c r="J927" s="37">
        <v>39515.58</v>
      </c>
      <c r="K927" s="3">
        <v>5</v>
      </c>
      <c r="L927" s="61">
        <f>Table1[[#This Row],[Final_Unit_Price]]*Table1[[#This Row],[Quantity]]</f>
        <v>197577.90000000002</v>
      </c>
      <c r="M927" s="59">
        <v>69152.259999999995</v>
      </c>
      <c r="N927" s="42">
        <v>45518</v>
      </c>
      <c r="O927" s="20" t="str">
        <f>TEXT(Table1[[#This Row],[Order_Date]],"mmm")</f>
        <v>Aug</v>
      </c>
      <c r="P927" s="20">
        <f t="shared" si="28"/>
        <v>2024</v>
      </c>
      <c r="Q927" s="46">
        <v>45522</v>
      </c>
      <c r="R927" s="20">
        <f>'Cleaned Data'!$Q927-'Cleaned Data'!$N927</f>
        <v>4</v>
      </c>
      <c r="S927" s="19" t="str">
        <f t="shared" si="29"/>
        <v>Monsoon</v>
      </c>
    </row>
    <row r="928" spans="1:19" x14ac:dyDescent="0.3">
      <c r="A928" s="13" t="s">
        <v>1105</v>
      </c>
      <c r="B928" s="13" t="s">
        <v>23</v>
      </c>
      <c r="C928" s="5" t="s">
        <v>35</v>
      </c>
      <c r="D928" s="5" t="s">
        <v>44</v>
      </c>
      <c r="E928" s="5" t="s">
        <v>60</v>
      </c>
      <c r="F928" s="5" t="s">
        <v>61</v>
      </c>
      <c r="G928" s="5" t="s">
        <v>71</v>
      </c>
      <c r="H928" s="38">
        <v>19843.96</v>
      </c>
      <c r="I928" s="14">
        <v>0.25</v>
      </c>
      <c r="J928" s="38">
        <v>14882.97</v>
      </c>
      <c r="K928" s="5">
        <v>1</v>
      </c>
      <c r="L928" s="62">
        <f>Table1[[#This Row],[Final_Unit_Price]]*Table1[[#This Row],[Quantity]]</f>
        <v>14882.97</v>
      </c>
      <c r="M928" s="60">
        <v>2232.4499999999998</v>
      </c>
      <c r="N928" s="43">
        <v>45793</v>
      </c>
      <c r="O928" s="18" t="str">
        <f>TEXT(Table1[[#This Row],[Order_Date]],"mmm")</f>
        <v>May</v>
      </c>
      <c r="P928" s="18">
        <f t="shared" si="28"/>
        <v>2025</v>
      </c>
      <c r="Q928" s="45">
        <v>45803</v>
      </c>
      <c r="R928" s="19">
        <f>'Cleaned Data'!$Q928-'Cleaned Data'!$N928</f>
        <v>10</v>
      </c>
      <c r="S928" s="19" t="str">
        <f t="shared" si="29"/>
        <v>Summer</v>
      </c>
    </row>
    <row r="929" spans="1:19" x14ac:dyDescent="0.3">
      <c r="A929" s="11" t="s">
        <v>1106</v>
      </c>
      <c r="B929" s="11" t="s">
        <v>26</v>
      </c>
      <c r="C929" s="3" t="s">
        <v>32</v>
      </c>
      <c r="D929" s="3" t="s">
        <v>37</v>
      </c>
      <c r="E929" s="3" t="s">
        <v>59</v>
      </c>
      <c r="F929" s="3" t="s">
        <v>64</v>
      </c>
      <c r="G929" s="3" t="s">
        <v>74</v>
      </c>
      <c r="H929" s="37">
        <v>43093.3</v>
      </c>
      <c r="I929" s="12">
        <v>0</v>
      </c>
      <c r="J929" s="37">
        <v>43093.3</v>
      </c>
      <c r="K929" s="3">
        <v>1</v>
      </c>
      <c r="L929" s="61">
        <f>Table1[[#This Row],[Final_Unit_Price]]*Table1[[#This Row],[Quantity]]</f>
        <v>43093.3</v>
      </c>
      <c r="M929" s="59">
        <v>15082.66</v>
      </c>
      <c r="N929" s="42">
        <v>45712</v>
      </c>
      <c r="O929" s="20" t="str">
        <f>TEXT(Table1[[#This Row],[Order_Date]],"mmm")</f>
        <v>Feb</v>
      </c>
      <c r="P929" s="20">
        <f t="shared" si="28"/>
        <v>2025</v>
      </c>
      <c r="Q929" s="46">
        <v>45716</v>
      </c>
      <c r="R929" s="20">
        <f>'Cleaned Data'!$Q929-'Cleaned Data'!$N929</f>
        <v>4</v>
      </c>
      <c r="S929" s="19" t="str">
        <f t="shared" si="29"/>
        <v>Summer</v>
      </c>
    </row>
    <row r="930" spans="1:19" x14ac:dyDescent="0.3">
      <c r="A930" s="13" t="s">
        <v>1107</v>
      </c>
      <c r="B930" s="13" t="s">
        <v>19</v>
      </c>
      <c r="C930" s="5" t="s">
        <v>33</v>
      </c>
      <c r="D930" s="5" t="s">
        <v>53</v>
      </c>
      <c r="E930" s="5" t="s">
        <v>58</v>
      </c>
      <c r="F930" s="5" t="s">
        <v>63</v>
      </c>
      <c r="G930" s="5" t="s">
        <v>68</v>
      </c>
      <c r="H930" s="38">
        <v>1924.95</v>
      </c>
      <c r="I930" s="14">
        <v>0.2</v>
      </c>
      <c r="J930" s="38">
        <v>1539.96</v>
      </c>
      <c r="K930" s="5">
        <v>3</v>
      </c>
      <c r="L930" s="62">
        <f>Table1[[#This Row],[Final_Unit_Price]]*Table1[[#This Row],[Quantity]]</f>
        <v>4619.88</v>
      </c>
      <c r="M930" s="60">
        <v>1154.97</v>
      </c>
      <c r="N930" s="43">
        <v>45473</v>
      </c>
      <c r="O930" s="18" t="str">
        <f>TEXT(Table1[[#This Row],[Order_Date]],"mmm")</f>
        <v>Jun</v>
      </c>
      <c r="P930" s="18">
        <f t="shared" si="28"/>
        <v>2024</v>
      </c>
      <c r="Q930" s="45">
        <v>45476</v>
      </c>
      <c r="R930" s="19">
        <f>'Cleaned Data'!$Q930-'Cleaned Data'!$N930</f>
        <v>3</v>
      </c>
      <c r="S930" s="19" t="str">
        <f t="shared" si="29"/>
        <v>Monsoon</v>
      </c>
    </row>
    <row r="931" spans="1:19" x14ac:dyDescent="0.3">
      <c r="A931" s="11" t="s">
        <v>1108</v>
      </c>
      <c r="B931" s="11" t="s">
        <v>18</v>
      </c>
      <c r="C931" s="3" t="s">
        <v>33</v>
      </c>
      <c r="D931" s="3" t="s">
        <v>57</v>
      </c>
      <c r="E931" s="3" t="s">
        <v>60</v>
      </c>
      <c r="F931" s="3" t="s">
        <v>64</v>
      </c>
      <c r="G931" s="3" t="s">
        <v>72</v>
      </c>
      <c r="H931" s="37">
        <v>48175.37</v>
      </c>
      <c r="I931" s="12">
        <v>0.25</v>
      </c>
      <c r="J931" s="37">
        <v>36131.527499999997</v>
      </c>
      <c r="K931" s="3">
        <v>4</v>
      </c>
      <c r="L931" s="61">
        <f>Table1[[#This Row],[Final_Unit_Price]]*Table1[[#This Row],[Quantity]]</f>
        <v>144526.10999999999</v>
      </c>
      <c r="M931" s="59">
        <v>21678.92</v>
      </c>
      <c r="N931" s="42">
        <v>45349</v>
      </c>
      <c r="O931" s="20" t="str">
        <f>TEXT(Table1[[#This Row],[Order_Date]],"mmm")</f>
        <v>Feb</v>
      </c>
      <c r="P931" s="20">
        <f t="shared" si="28"/>
        <v>2024</v>
      </c>
      <c r="Q931" s="46">
        <v>45358</v>
      </c>
      <c r="R931" s="20">
        <f>'Cleaned Data'!$Q931-'Cleaned Data'!$N931</f>
        <v>9</v>
      </c>
      <c r="S931" s="19" t="str">
        <f t="shared" si="29"/>
        <v>Summer</v>
      </c>
    </row>
    <row r="932" spans="1:19" x14ac:dyDescent="0.3">
      <c r="A932" s="13" t="s">
        <v>1109</v>
      </c>
      <c r="B932" s="13" t="s">
        <v>19</v>
      </c>
      <c r="C932" s="5" t="s">
        <v>33</v>
      </c>
      <c r="D932" s="5" t="s">
        <v>57</v>
      </c>
      <c r="E932" s="5" t="s">
        <v>60</v>
      </c>
      <c r="F932" s="5" t="s">
        <v>64</v>
      </c>
      <c r="G932" s="5" t="s">
        <v>74</v>
      </c>
      <c r="H932" s="38">
        <v>1882.33</v>
      </c>
      <c r="I932" s="14">
        <v>0.2</v>
      </c>
      <c r="J932" s="38">
        <v>1505.864</v>
      </c>
      <c r="K932" s="5">
        <v>4</v>
      </c>
      <c r="L932" s="62">
        <f>Table1[[#This Row],[Final_Unit_Price]]*Table1[[#This Row],[Quantity]]</f>
        <v>6023.4560000000001</v>
      </c>
      <c r="M932" s="60">
        <v>903.52</v>
      </c>
      <c r="N932" s="43">
        <v>45401</v>
      </c>
      <c r="O932" s="18" t="str">
        <f>TEXT(Table1[[#This Row],[Order_Date]],"mmm")</f>
        <v>Apr</v>
      </c>
      <c r="P932" s="18">
        <f t="shared" si="28"/>
        <v>2024</v>
      </c>
      <c r="Q932" s="45">
        <v>45411</v>
      </c>
      <c r="R932" s="19">
        <f>'Cleaned Data'!$Q932-'Cleaned Data'!$N932</f>
        <v>10</v>
      </c>
      <c r="S932" s="19" t="str">
        <f t="shared" si="29"/>
        <v>Summer</v>
      </c>
    </row>
    <row r="933" spans="1:19" x14ac:dyDescent="0.3">
      <c r="A933" s="11" t="s">
        <v>1110</v>
      </c>
      <c r="B933" s="11" t="s">
        <v>25</v>
      </c>
      <c r="C933" s="3" t="s">
        <v>34</v>
      </c>
      <c r="D933" s="3" t="s">
        <v>45</v>
      </c>
      <c r="E933" s="3" t="s">
        <v>59</v>
      </c>
      <c r="F933" s="3" t="s">
        <v>64</v>
      </c>
      <c r="G933" s="3" t="s">
        <v>72</v>
      </c>
      <c r="H933" s="37">
        <v>1068.5</v>
      </c>
      <c r="I933" s="12">
        <v>0.15</v>
      </c>
      <c r="J933" s="37">
        <v>908.22500000000002</v>
      </c>
      <c r="K933" s="3">
        <v>8</v>
      </c>
      <c r="L933" s="61">
        <f>Table1[[#This Row],[Final_Unit_Price]]*Table1[[#This Row],[Quantity]]</f>
        <v>7265.8</v>
      </c>
      <c r="M933" s="59">
        <v>1271.51</v>
      </c>
      <c r="N933" s="42">
        <v>45580</v>
      </c>
      <c r="O933" s="20" t="str">
        <f>TEXT(Table1[[#This Row],[Order_Date]],"mmm")</f>
        <v>Oct</v>
      </c>
      <c r="P933" s="20">
        <f t="shared" si="28"/>
        <v>2024</v>
      </c>
      <c r="Q933" s="46">
        <v>45585</v>
      </c>
      <c r="R933" s="20">
        <f>'Cleaned Data'!$Q933-'Cleaned Data'!$N933</f>
        <v>5</v>
      </c>
      <c r="S933" s="19" t="str">
        <f t="shared" si="29"/>
        <v>Winter</v>
      </c>
    </row>
    <row r="934" spans="1:19" x14ac:dyDescent="0.3">
      <c r="A934" s="13" t="s">
        <v>1111</v>
      </c>
      <c r="B934" s="13" t="s">
        <v>25</v>
      </c>
      <c r="C934" s="5" t="s">
        <v>34</v>
      </c>
      <c r="D934" s="5" t="s">
        <v>41</v>
      </c>
      <c r="E934" s="5" t="s">
        <v>60</v>
      </c>
      <c r="F934" s="5" t="s">
        <v>61</v>
      </c>
      <c r="G934" s="5" t="s">
        <v>65</v>
      </c>
      <c r="H934" s="38">
        <v>637.22</v>
      </c>
      <c r="I934" s="14">
        <v>0.15</v>
      </c>
      <c r="J934" s="38">
        <v>541.63700000000006</v>
      </c>
      <c r="K934" s="5">
        <v>9</v>
      </c>
      <c r="L934" s="62">
        <f>Table1[[#This Row],[Final_Unit_Price]]*Table1[[#This Row],[Quantity]]</f>
        <v>4874.7330000000002</v>
      </c>
      <c r="M934" s="60">
        <v>243.74</v>
      </c>
      <c r="N934" s="43">
        <v>45311</v>
      </c>
      <c r="O934" s="18" t="str">
        <f>TEXT(Table1[[#This Row],[Order_Date]],"mmm")</f>
        <v>Jan</v>
      </c>
      <c r="P934" s="18">
        <f t="shared" si="28"/>
        <v>2024</v>
      </c>
      <c r="Q934" s="45">
        <v>45320</v>
      </c>
      <c r="R934" s="19">
        <f>'Cleaned Data'!$Q934-'Cleaned Data'!$N934</f>
        <v>9</v>
      </c>
      <c r="S934" s="19" t="str">
        <f t="shared" si="29"/>
        <v>Winter</v>
      </c>
    </row>
    <row r="935" spans="1:19" x14ac:dyDescent="0.3">
      <c r="A935" s="11" t="s">
        <v>1112</v>
      </c>
      <c r="B935" s="11" t="s">
        <v>30</v>
      </c>
      <c r="C935" s="3" t="s">
        <v>33</v>
      </c>
      <c r="D935" s="3" t="s">
        <v>39</v>
      </c>
      <c r="E935" s="3" t="s">
        <v>58</v>
      </c>
      <c r="F935" s="3" t="s">
        <v>62</v>
      </c>
      <c r="G935" s="3" t="s">
        <v>67</v>
      </c>
      <c r="H935" s="37">
        <v>14965.88</v>
      </c>
      <c r="I935" s="12">
        <v>0.05</v>
      </c>
      <c r="J935" s="37">
        <v>14217.585999999999</v>
      </c>
      <c r="K935" s="3">
        <v>3</v>
      </c>
      <c r="L935" s="61">
        <f>Table1[[#This Row],[Final_Unit_Price]]*Table1[[#This Row],[Quantity]]</f>
        <v>42652.758000000002</v>
      </c>
      <c r="M935" s="59">
        <v>10663.19</v>
      </c>
      <c r="N935" s="42">
        <v>45782</v>
      </c>
      <c r="O935" s="20" t="str">
        <f>TEXT(Table1[[#This Row],[Order_Date]],"mmm")</f>
        <v>May</v>
      </c>
      <c r="P935" s="20">
        <f t="shared" si="28"/>
        <v>2025</v>
      </c>
      <c r="Q935" s="46">
        <v>45790</v>
      </c>
      <c r="R935" s="20">
        <f>'Cleaned Data'!$Q935-'Cleaned Data'!$N935</f>
        <v>8</v>
      </c>
      <c r="S935" s="19" t="str">
        <f t="shared" si="29"/>
        <v>Summer</v>
      </c>
    </row>
    <row r="936" spans="1:19" x14ac:dyDescent="0.3">
      <c r="A936" s="13" t="s">
        <v>1113</v>
      </c>
      <c r="B936" s="13" t="s">
        <v>28</v>
      </c>
      <c r="C936" s="5" t="s">
        <v>34</v>
      </c>
      <c r="D936" s="5" t="s">
        <v>49</v>
      </c>
      <c r="E936" s="5" t="s">
        <v>59</v>
      </c>
      <c r="F936" s="5" t="s">
        <v>61</v>
      </c>
      <c r="G936" s="5" t="s">
        <v>65</v>
      </c>
      <c r="H936" s="38">
        <v>1702.83</v>
      </c>
      <c r="I936" s="14">
        <v>0.3</v>
      </c>
      <c r="J936" s="38">
        <v>1191.981</v>
      </c>
      <c r="K936" s="5">
        <v>1</v>
      </c>
      <c r="L936" s="62">
        <f>Table1[[#This Row],[Final_Unit_Price]]*Table1[[#This Row],[Quantity]]</f>
        <v>1191.981</v>
      </c>
      <c r="M936" s="60">
        <v>417.19</v>
      </c>
      <c r="N936" s="43">
        <v>45749</v>
      </c>
      <c r="O936" s="18" t="str">
        <f>TEXT(Table1[[#This Row],[Order_Date]],"mmm")</f>
        <v>Apr</v>
      </c>
      <c r="P936" s="18">
        <f t="shared" si="28"/>
        <v>2025</v>
      </c>
      <c r="Q936" s="45">
        <v>45759</v>
      </c>
      <c r="R936" s="19">
        <f>'Cleaned Data'!$Q936-'Cleaned Data'!$N936</f>
        <v>10</v>
      </c>
      <c r="S936" s="19" t="str">
        <f t="shared" si="29"/>
        <v>Summer</v>
      </c>
    </row>
    <row r="937" spans="1:19" x14ac:dyDescent="0.3">
      <c r="A937" s="11" t="s">
        <v>1114</v>
      </c>
      <c r="B937" s="11" t="s">
        <v>19</v>
      </c>
      <c r="C937" s="3" t="s">
        <v>33</v>
      </c>
      <c r="D937" s="3" t="s">
        <v>50</v>
      </c>
      <c r="E937" s="3" t="s">
        <v>59</v>
      </c>
      <c r="F937" s="3" t="s">
        <v>61</v>
      </c>
      <c r="G937" s="3" t="s">
        <v>70</v>
      </c>
      <c r="H937" s="37">
        <v>2433.98</v>
      </c>
      <c r="I937" s="12">
        <v>0.25</v>
      </c>
      <c r="J937" s="37">
        <v>1825.4849999999999</v>
      </c>
      <c r="K937" s="3">
        <v>5</v>
      </c>
      <c r="L937" s="61">
        <f>Table1[[#This Row],[Final_Unit_Price]]*Table1[[#This Row],[Quantity]]</f>
        <v>9127.4249999999993</v>
      </c>
      <c r="M937" s="59">
        <v>3194.6</v>
      </c>
      <c r="N937" s="42">
        <v>45838</v>
      </c>
      <c r="O937" s="20" t="str">
        <f>TEXT(Table1[[#This Row],[Order_Date]],"mmm")</f>
        <v>Jun</v>
      </c>
      <c r="P937" s="20">
        <f t="shared" si="28"/>
        <v>2025</v>
      </c>
      <c r="Q937" s="46">
        <v>45843</v>
      </c>
      <c r="R937" s="20">
        <f>'Cleaned Data'!$Q937-'Cleaned Data'!$N937</f>
        <v>5</v>
      </c>
      <c r="S937" s="19" t="str">
        <f t="shared" si="29"/>
        <v>Monsoon</v>
      </c>
    </row>
    <row r="938" spans="1:19" x14ac:dyDescent="0.3">
      <c r="A938" s="13" t="s">
        <v>1115</v>
      </c>
      <c r="B938" s="13" t="s">
        <v>26</v>
      </c>
      <c r="C938" s="5" t="s">
        <v>32</v>
      </c>
      <c r="D938" s="5" t="s">
        <v>37</v>
      </c>
      <c r="E938" s="5" t="s">
        <v>59</v>
      </c>
      <c r="F938" s="5" t="s">
        <v>61</v>
      </c>
      <c r="G938" s="5" t="s">
        <v>65</v>
      </c>
      <c r="H938" s="38">
        <v>41316.57</v>
      </c>
      <c r="I938" s="14">
        <v>0</v>
      </c>
      <c r="J938" s="38">
        <v>41316.57</v>
      </c>
      <c r="K938" s="5">
        <v>2</v>
      </c>
      <c r="L938" s="62">
        <f>Table1[[#This Row],[Final_Unit_Price]]*Table1[[#This Row],[Quantity]]</f>
        <v>82633.14</v>
      </c>
      <c r="M938" s="60">
        <v>28921.599999999999</v>
      </c>
      <c r="N938" s="43">
        <v>45457</v>
      </c>
      <c r="O938" s="18" t="str">
        <f>TEXT(Table1[[#This Row],[Order_Date]],"mmm")</f>
        <v>Jun</v>
      </c>
      <c r="P938" s="18">
        <f t="shared" si="28"/>
        <v>2024</v>
      </c>
      <c r="Q938" s="45">
        <v>45465</v>
      </c>
      <c r="R938" s="19">
        <f>'Cleaned Data'!$Q938-'Cleaned Data'!$N938</f>
        <v>8</v>
      </c>
      <c r="S938" s="19" t="str">
        <f t="shared" si="29"/>
        <v>Monsoon</v>
      </c>
    </row>
    <row r="939" spans="1:19" x14ac:dyDescent="0.3">
      <c r="A939" s="11" t="s">
        <v>1116</v>
      </c>
      <c r="B939" s="11" t="s">
        <v>17</v>
      </c>
      <c r="C939" s="3" t="s">
        <v>32</v>
      </c>
      <c r="D939" s="3" t="s">
        <v>54</v>
      </c>
      <c r="E939" s="3" t="s">
        <v>60</v>
      </c>
      <c r="F939" s="3" t="s">
        <v>64</v>
      </c>
      <c r="G939" s="3" t="s">
        <v>74</v>
      </c>
      <c r="H939" s="37">
        <v>7650.26</v>
      </c>
      <c r="I939" s="12">
        <v>0.05</v>
      </c>
      <c r="J939" s="37">
        <v>7267.7470000000003</v>
      </c>
      <c r="K939" s="3">
        <v>1</v>
      </c>
      <c r="L939" s="61">
        <f>Table1[[#This Row],[Final_Unit_Price]]*Table1[[#This Row],[Quantity]]</f>
        <v>7267.7470000000003</v>
      </c>
      <c r="M939" s="59">
        <v>1090.1600000000001</v>
      </c>
      <c r="N939" s="42">
        <v>45785</v>
      </c>
      <c r="O939" s="20" t="str">
        <f>TEXT(Table1[[#This Row],[Order_Date]],"mmm")</f>
        <v>May</v>
      </c>
      <c r="P939" s="20">
        <f t="shared" si="28"/>
        <v>2025</v>
      </c>
      <c r="Q939" s="46">
        <v>45792</v>
      </c>
      <c r="R939" s="20">
        <f>'Cleaned Data'!$Q939-'Cleaned Data'!$N939</f>
        <v>7</v>
      </c>
      <c r="S939" s="19" t="str">
        <f t="shared" si="29"/>
        <v>Summer</v>
      </c>
    </row>
    <row r="940" spans="1:19" x14ac:dyDescent="0.3">
      <c r="A940" s="13" t="s">
        <v>1117</v>
      </c>
      <c r="B940" s="13" t="s">
        <v>30</v>
      </c>
      <c r="C940" s="5" t="s">
        <v>33</v>
      </c>
      <c r="D940" s="5" t="s">
        <v>53</v>
      </c>
      <c r="E940" s="5" t="s">
        <v>58</v>
      </c>
      <c r="F940" s="5" t="s">
        <v>62</v>
      </c>
      <c r="G940" s="5" t="s">
        <v>66</v>
      </c>
      <c r="H940" s="38">
        <v>15338.12</v>
      </c>
      <c r="I940" s="14">
        <v>0.15</v>
      </c>
      <c r="J940" s="38">
        <v>13037.402</v>
      </c>
      <c r="K940" s="5">
        <v>2</v>
      </c>
      <c r="L940" s="62">
        <f>Table1[[#This Row],[Final_Unit_Price]]*Table1[[#This Row],[Quantity]]</f>
        <v>26074.804</v>
      </c>
      <c r="M940" s="60">
        <v>6518.7</v>
      </c>
      <c r="N940" s="43">
        <v>45712</v>
      </c>
      <c r="O940" s="18" t="str">
        <f>TEXT(Table1[[#This Row],[Order_Date]],"mmm")</f>
        <v>Feb</v>
      </c>
      <c r="P940" s="18">
        <f t="shared" si="28"/>
        <v>2025</v>
      </c>
      <c r="Q940" s="45">
        <v>45721</v>
      </c>
      <c r="R940" s="19">
        <f>'Cleaned Data'!$Q940-'Cleaned Data'!$N940</f>
        <v>9</v>
      </c>
      <c r="S940" s="19" t="str">
        <f t="shared" si="29"/>
        <v>Summer</v>
      </c>
    </row>
    <row r="941" spans="1:19" x14ac:dyDescent="0.3">
      <c r="A941" s="11" t="s">
        <v>1118</v>
      </c>
      <c r="B941" s="11" t="s">
        <v>29</v>
      </c>
      <c r="C941" s="3" t="s">
        <v>35</v>
      </c>
      <c r="D941" s="3" t="s">
        <v>38</v>
      </c>
      <c r="E941" s="3" t="s">
        <v>59</v>
      </c>
      <c r="F941" s="3" t="s">
        <v>61</v>
      </c>
      <c r="G941" s="3" t="s">
        <v>65</v>
      </c>
      <c r="H941" s="37">
        <v>20376.330000000002</v>
      </c>
      <c r="I941" s="12">
        <v>0.3</v>
      </c>
      <c r="J941" s="37">
        <v>14263.431</v>
      </c>
      <c r="K941" s="3">
        <v>2</v>
      </c>
      <c r="L941" s="61">
        <f>Table1[[#This Row],[Final_Unit_Price]]*Table1[[#This Row],[Quantity]]</f>
        <v>28526.862000000001</v>
      </c>
      <c r="M941" s="59">
        <v>9984.4</v>
      </c>
      <c r="N941" s="42">
        <v>45774</v>
      </c>
      <c r="O941" s="20" t="str">
        <f>TEXT(Table1[[#This Row],[Order_Date]],"mmm")</f>
        <v>Apr</v>
      </c>
      <c r="P941" s="20">
        <f t="shared" si="28"/>
        <v>2025</v>
      </c>
      <c r="Q941" s="46">
        <v>45776</v>
      </c>
      <c r="R941" s="20">
        <f>'Cleaned Data'!$Q941-'Cleaned Data'!$N941</f>
        <v>2</v>
      </c>
      <c r="S941" s="19" t="str">
        <f t="shared" si="29"/>
        <v>Summer</v>
      </c>
    </row>
    <row r="942" spans="1:19" x14ac:dyDescent="0.3">
      <c r="A942" s="13" t="s">
        <v>1119</v>
      </c>
      <c r="B942" s="13" t="s">
        <v>22</v>
      </c>
      <c r="C942" s="5" t="s">
        <v>31</v>
      </c>
      <c r="D942" s="5" t="s">
        <v>47</v>
      </c>
      <c r="E942" s="5" t="s">
        <v>59</v>
      </c>
      <c r="F942" s="5" t="s">
        <v>61</v>
      </c>
      <c r="G942" s="5" t="s">
        <v>70</v>
      </c>
      <c r="H942" s="38">
        <v>4243.3999999999996</v>
      </c>
      <c r="I942" s="14">
        <v>0.15</v>
      </c>
      <c r="J942" s="38">
        <v>3606.889999999999</v>
      </c>
      <c r="K942" s="5">
        <v>2</v>
      </c>
      <c r="L942" s="62">
        <f>Table1[[#This Row],[Final_Unit_Price]]*Table1[[#This Row],[Quantity]]</f>
        <v>7213.7799999999979</v>
      </c>
      <c r="M942" s="60">
        <v>2524.8200000000002</v>
      </c>
      <c r="N942" s="43">
        <v>45513</v>
      </c>
      <c r="O942" s="18" t="str">
        <f>TEXT(Table1[[#This Row],[Order_Date]],"mmm")</f>
        <v>Aug</v>
      </c>
      <c r="P942" s="18">
        <f t="shared" si="28"/>
        <v>2024</v>
      </c>
      <c r="Q942" s="45">
        <v>45522</v>
      </c>
      <c r="R942" s="19">
        <f>'Cleaned Data'!$Q942-'Cleaned Data'!$N942</f>
        <v>9</v>
      </c>
      <c r="S942" s="19" t="str">
        <f t="shared" si="29"/>
        <v>Monsoon</v>
      </c>
    </row>
    <row r="943" spans="1:19" x14ac:dyDescent="0.3">
      <c r="A943" s="11" t="s">
        <v>1120</v>
      </c>
      <c r="B943" s="11" t="s">
        <v>25</v>
      </c>
      <c r="C943" s="3" t="s">
        <v>34</v>
      </c>
      <c r="D943" s="3" t="s">
        <v>49</v>
      </c>
      <c r="E943" s="3" t="s">
        <v>59</v>
      </c>
      <c r="F943" s="3" t="s">
        <v>64</v>
      </c>
      <c r="G943" s="3" t="s">
        <v>72</v>
      </c>
      <c r="H943" s="37">
        <v>1069.27</v>
      </c>
      <c r="I943" s="12">
        <v>0.25</v>
      </c>
      <c r="J943" s="37">
        <v>801.95249999999999</v>
      </c>
      <c r="K943" s="3">
        <v>3</v>
      </c>
      <c r="L943" s="61">
        <f>Table1[[#This Row],[Final_Unit_Price]]*Table1[[#This Row],[Quantity]]</f>
        <v>2405.8575000000001</v>
      </c>
      <c r="M943" s="59">
        <v>842.05</v>
      </c>
      <c r="N943" s="42">
        <v>45408</v>
      </c>
      <c r="O943" s="20" t="str">
        <f>TEXT(Table1[[#This Row],[Order_Date]],"mmm")</f>
        <v>Apr</v>
      </c>
      <c r="P943" s="20">
        <f t="shared" si="28"/>
        <v>2024</v>
      </c>
      <c r="Q943" s="46">
        <v>45416</v>
      </c>
      <c r="R943" s="20">
        <f>'Cleaned Data'!$Q943-'Cleaned Data'!$N943</f>
        <v>8</v>
      </c>
      <c r="S943" s="19" t="str">
        <f t="shared" si="29"/>
        <v>Summer</v>
      </c>
    </row>
    <row r="944" spans="1:19" x14ac:dyDescent="0.3">
      <c r="A944" s="13" t="s">
        <v>1121</v>
      </c>
      <c r="B944" s="13" t="s">
        <v>23</v>
      </c>
      <c r="C944" s="5" t="s">
        <v>35</v>
      </c>
      <c r="D944" s="5" t="s">
        <v>44</v>
      </c>
      <c r="E944" s="5" t="s">
        <v>60</v>
      </c>
      <c r="F944" s="5" t="s">
        <v>63</v>
      </c>
      <c r="G944" s="5" t="s">
        <v>75</v>
      </c>
      <c r="H944" s="38">
        <v>20779.919999999998</v>
      </c>
      <c r="I944" s="14">
        <v>0</v>
      </c>
      <c r="J944" s="38">
        <v>20779.919999999998</v>
      </c>
      <c r="K944" s="5">
        <v>1</v>
      </c>
      <c r="L944" s="62">
        <f>Table1[[#This Row],[Final_Unit_Price]]*Table1[[#This Row],[Quantity]]</f>
        <v>20779.919999999998</v>
      </c>
      <c r="M944" s="60">
        <v>3116.99</v>
      </c>
      <c r="N944" s="43">
        <v>45358</v>
      </c>
      <c r="O944" s="18" t="str">
        <f>TEXT(Table1[[#This Row],[Order_Date]],"mmm")</f>
        <v>Mar</v>
      </c>
      <c r="P944" s="18">
        <f t="shared" si="28"/>
        <v>2024</v>
      </c>
      <c r="Q944" s="45">
        <v>45365</v>
      </c>
      <c r="R944" s="19">
        <f>'Cleaned Data'!$Q944-'Cleaned Data'!$N944</f>
        <v>7</v>
      </c>
      <c r="S944" s="19" t="str">
        <f t="shared" si="29"/>
        <v>Summer</v>
      </c>
    </row>
    <row r="945" spans="1:19" x14ac:dyDescent="0.3">
      <c r="A945" s="11" t="s">
        <v>1122</v>
      </c>
      <c r="B945" s="11" t="s">
        <v>21</v>
      </c>
      <c r="C945" s="3" t="s">
        <v>34</v>
      </c>
      <c r="D945" s="3" t="s">
        <v>41</v>
      </c>
      <c r="E945" s="3" t="s">
        <v>60</v>
      </c>
      <c r="F945" s="3" t="s">
        <v>62</v>
      </c>
      <c r="G945" s="3" t="s">
        <v>66</v>
      </c>
      <c r="H945" s="37">
        <v>2673.98</v>
      </c>
      <c r="I945" s="12">
        <v>0.15</v>
      </c>
      <c r="J945" s="37">
        <v>2272.8829999999998</v>
      </c>
      <c r="K945" s="3">
        <v>4</v>
      </c>
      <c r="L945" s="61">
        <f>Table1[[#This Row],[Final_Unit_Price]]*Table1[[#This Row],[Quantity]]</f>
        <v>9091.5319999999992</v>
      </c>
      <c r="M945" s="59">
        <v>1363.73</v>
      </c>
      <c r="N945" s="42">
        <v>45715</v>
      </c>
      <c r="O945" s="20" t="str">
        <f>TEXT(Table1[[#This Row],[Order_Date]],"mmm")</f>
        <v>Feb</v>
      </c>
      <c r="P945" s="20">
        <f t="shared" si="28"/>
        <v>2025</v>
      </c>
      <c r="Q945" s="46">
        <v>45719</v>
      </c>
      <c r="R945" s="20">
        <f>'Cleaned Data'!$Q945-'Cleaned Data'!$N945</f>
        <v>4</v>
      </c>
      <c r="S945" s="19" t="str">
        <f t="shared" si="29"/>
        <v>Summer</v>
      </c>
    </row>
    <row r="946" spans="1:19" x14ac:dyDescent="0.3">
      <c r="A946" s="13" t="s">
        <v>1123</v>
      </c>
      <c r="B946" s="13" t="s">
        <v>30</v>
      </c>
      <c r="C946" s="5" t="s">
        <v>33</v>
      </c>
      <c r="D946" s="5" t="s">
        <v>38</v>
      </c>
      <c r="E946" s="5" t="s">
        <v>59</v>
      </c>
      <c r="F946" s="5" t="s">
        <v>62</v>
      </c>
      <c r="G946" s="5" t="s">
        <v>69</v>
      </c>
      <c r="H946" s="38">
        <v>19513.79</v>
      </c>
      <c r="I946" s="14">
        <v>0.3</v>
      </c>
      <c r="J946" s="38">
        <v>13659.653</v>
      </c>
      <c r="K946" s="5">
        <v>4</v>
      </c>
      <c r="L946" s="62">
        <f>Table1[[#This Row],[Final_Unit_Price]]*Table1[[#This Row],[Quantity]]</f>
        <v>54638.612000000001</v>
      </c>
      <c r="M946" s="60">
        <v>19123.509999999998</v>
      </c>
      <c r="N946" s="43">
        <v>45292</v>
      </c>
      <c r="O946" s="18" t="str">
        <f>TEXT(Table1[[#This Row],[Order_Date]],"mmm")</f>
        <v>Jan</v>
      </c>
      <c r="P946" s="18">
        <f t="shared" si="28"/>
        <v>2024</v>
      </c>
      <c r="Q946" s="45">
        <v>45301</v>
      </c>
      <c r="R946" s="19">
        <f>'Cleaned Data'!$Q946-'Cleaned Data'!$N946</f>
        <v>9</v>
      </c>
      <c r="S946" s="19" t="str">
        <f t="shared" si="29"/>
        <v>Winter</v>
      </c>
    </row>
    <row r="947" spans="1:19" x14ac:dyDescent="0.3">
      <c r="A947" s="11" t="s">
        <v>1124</v>
      </c>
      <c r="B947" s="11" t="s">
        <v>21</v>
      </c>
      <c r="C947" s="3" t="s">
        <v>34</v>
      </c>
      <c r="D947" s="3" t="s">
        <v>41</v>
      </c>
      <c r="E947" s="3" t="s">
        <v>60</v>
      </c>
      <c r="F947" s="3" t="s">
        <v>61</v>
      </c>
      <c r="G947" s="3" t="s">
        <v>71</v>
      </c>
      <c r="H947" s="37">
        <v>2452.31</v>
      </c>
      <c r="I947" s="12">
        <v>0.2</v>
      </c>
      <c r="J947" s="37">
        <v>1961.848</v>
      </c>
      <c r="K947" s="3">
        <v>4</v>
      </c>
      <c r="L947" s="61">
        <f>Table1[[#This Row],[Final_Unit_Price]]*Table1[[#This Row],[Quantity]]</f>
        <v>7847.3919999999998</v>
      </c>
      <c r="M947" s="59">
        <v>1177.1099999999999</v>
      </c>
      <c r="N947" s="42">
        <v>45546</v>
      </c>
      <c r="O947" s="20" t="str">
        <f>TEXT(Table1[[#This Row],[Order_Date]],"mmm")</f>
        <v>Sep</v>
      </c>
      <c r="P947" s="20">
        <f t="shared" si="28"/>
        <v>2024</v>
      </c>
      <c r="Q947" s="46">
        <v>45555</v>
      </c>
      <c r="R947" s="20">
        <f>'Cleaned Data'!$Q947-'Cleaned Data'!$N947</f>
        <v>9</v>
      </c>
      <c r="S947" s="19" t="str">
        <f t="shared" si="29"/>
        <v>Monsoon</v>
      </c>
    </row>
    <row r="948" spans="1:19" x14ac:dyDescent="0.3">
      <c r="A948" s="13" t="s">
        <v>1125</v>
      </c>
      <c r="B948" s="13" t="s">
        <v>19</v>
      </c>
      <c r="C948" s="5" t="s">
        <v>33</v>
      </c>
      <c r="D948" s="5" t="s">
        <v>57</v>
      </c>
      <c r="E948" s="5" t="s">
        <v>60</v>
      </c>
      <c r="F948" s="5" t="s">
        <v>61</v>
      </c>
      <c r="G948" s="5" t="s">
        <v>65</v>
      </c>
      <c r="H948" s="38">
        <v>1624.11</v>
      </c>
      <c r="I948" s="14">
        <v>0.2</v>
      </c>
      <c r="J948" s="38">
        <v>1299.288</v>
      </c>
      <c r="K948" s="5">
        <v>1</v>
      </c>
      <c r="L948" s="62">
        <f>Table1[[#This Row],[Final_Unit_Price]]*Table1[[#This Row],[Quantity]]</f>
        <v>1299.288</v>
      </c>
      <c r="M948" s="60">
        <v>194.89</v>
      </c>
      <c r="N948" s="43">
        <v>45709</v>
      </c>
      <c r="O948" s="18" t="str">
        <f>TEXT(Table1[[#This Row],[Order_Date]],"mmm")</f>
        <v>Feb</v>
      </c>
      <c r="P948" s="18">
        <f t="shared" si="28"/>
        <v>2025</v>
      </c>
      <c r="Q948" s="45">
        <v>45712</v>
      </c>
      <c r="R948" s="19">
        <f>'Cleaned Data'!$Q948-'Cleaned Data'!$N948</f>
        <v>3</v>
      </c>
      <c r="S948" s="19" t="str">
        <f t="shared" si="29"/>
        <v>Summer</v>
      </c>
    </row>
    <row r="949" spans="1:19" x14ac:dyDescent="0.3">
      <c r="A949" s="11" t="s">
        <v>1126</v>
      </c>
      <c r="B949" s="11" t="s">
        <v>20</v>
      </c>
      <c r="C949" s="3" t="s">
        <v>32</v>
      </c>
      <c r="D949" s="3" t="s">
        <v>43</v>
      </c>
      <c r="E949" s="3" t="s">
        <v>58</v>
      </c>
      <c r="F949" s="3" t="s">
        <v>62</v>
      </c>
      <c r="G949" s="3" t="s">
        <v>66</v>
      </c>
      <c r="H949" s="37">
        <v>30347.27</v>
      </c>
      <c r="I949" s="12">
        <v>0.3</v>
      </c>
      <c r="J949" s="37">
        <v>21243.089</v>
      </c>
      <c r="K949" s="3">
        <v>5</v>
      </c>
      <c r="L949" s="61">
        <f>Table1[[#This Row],[Final_Unit_Price]]*Table1[[#This Row],[Quantity]]</f>
        <v>106215.44500000001</v>
      </c>
      <c r="M949" s="59">
        <v>26553.86</v>
      </c>
      <c r="N949" s="42">
        <v>45401</v>
      </c>
      <c r="O949" s="20" t="str">
        <f>TEXT(Table1[[#This Row],[Order_Date]],"mmm")</f>
        <v>Apr</v>
      </c>
      <c r="P949" s="20">
        <f t="shared" si="28"/>
        <v>2024</v>
      </c>
      <c r="Q949" s="46">
        <v>45408</v>
      </c>
      <c r="R949" s="20">
        <f>'Cleaned Data'!$Q949-'Cleaned Data'!$N949</f>
        <v>7</v>
      </c>
      <c r="S949" s="19" t="str">
        <f t="shared" si="29"/>
        <v>Summer</v>
      </c>
    </row>
    <row r="950" spans="1:19" x14ac:dyDescent="0.3">
      <c r="A950" s="13" t="s">
        <v>1127</v>
      </c>
      <c r="B950" s="13" t="s">
        <v>16</v>
      </c>
      <c r="C950" s="5" t="s">
        <v>31</v>
      </c>
      <c r="D950" s="5" t="s">
        <v>42</v>
      </c>
      <c r="E950" s="5" t="s">
        <v>60</v>
      </c>
      <c r="F950" s="5" t="s">
        <v>61</v>
      </c>
      <c r="G950" s="5" t="s">
        <v>71</v>
      </c>
      <c r="H950" s="38">
        <v>2079.56</v>
      </c>
      <c r="I950" s="14">
        <v>0.2</v>
      </c>
      <c r="J950" s="38">
        <v>1663.6479999999999</v>
      </c>
      <c r="K950" s="5">
        <v>1</v>
      </c>
      <c r="L950" s="62">
        <f>Table1[[#This Row],[Final_Unit_Price]]*Table1[[#This Row],[Quantity]]</f>
        <v>1663.6479999999999</v>
      </c>
      <c r="M950" s="60">
        <v>249.55</v>
      </c>
      <c r="N950" s="43">
        <v>45691</v>
      </c>
      <c r="O950" s="18" t="str">
        <f>TEXT(Table1[[#This Row],[Order_Date]],"mmm")</f>
        <v>Feb</v>
      </c>
      <c r="P950" s="18">
        <f t="shared" si="28"/>
        <v>2025</v>
      </c>
      <c r="Q950" s="45">
        <v>45694</v>
      </c>
      <c r="R950" s="19">
        <f>'Cleaned Data'!$Q950-'Cleaned Data'!$N950</f>
        <v>3</v>
      </c>
      <c r="S950" s="19" t="str">
        <f t="shared" si="29"/>
        <v>Summer</v>
      </c>
    </row>
    <row r="951" spans="1:19" x14ac:dyDescent="0.3">
      <c r="A951" s="11" t="s">
        <v>1128</v>
      </c>
      <c r="B951" s="11" t="s">
        <v>23</v>
      </c>
      <c r="C951" s="3" t="s">
        <v>35</v>
      </c>
      <c r="D951" s="3" t="s">
        <v>44</v>
      </c>
      <c r="E951" s="3" t="s">
        <v>60</v>
      </c>
      <c r="F951" s="3" t="s">
        <v>64</v>
      </c>
      <c r="G951" s="3" t="s">
        <v>76</v>
      </c>
      <c r="H951" s="37">
        <v>22816.13</v>
      </c>
      <c r="I951" s="12">
        <v>0.2</v>
      </c>
      <c r="J951" s="37">
        <v>18252.903999999999</v>
      </c>
      <c r="K951" s="3">
        <v>2</v>
      </c>
      <c r="L951" s="61">
        <f>Table1[[#This Row],[Final_Unit_Price]]*Table1[[#This Row],[Quantity]]</f>
        <v>36505.807999999997</v>
      </c>
      <c r="M951" s="59">
        <v>5475.87</v>
      </c>
      <c r="N951" s="42">
        <v>45457</v>
      </c>
      <c r="O951" s="20" t="str">
        <f>TEXT(Table1[[#This Row],[Order_Date]],"mmm")</f>
        <v>Jun</v>
      </c>
      <c r="P951" s="20">
        <f t="shared" si="28"/>
        <v>2024</v>
      </c>
      <c r="Q951" s="46">
        <v>45463</v>
      </c>
      <c r="R951" s="20">
        <f>'Cleaned Data'!$Q951-'Cleaned Data'!$N951</f>
        <v>6</v>
      </c>
      <c r="S951" s="19" t="str">
        <f t="shared" si="29"/>
        <v>Monsoon</v>
      </c>
    </row>
    <row r="952" spans="1:19" x14ac:dyDescent="0.3">
      <c r="A952" s="13" t="s">
        <v>1129</v>
      </c>
      <c r="B952" s="13" t="s">
        <v>20</v>
      </c>
      <c r="C952" s="5" t="s">
        <v>32</v>
      </c>
      <c r="D952" s="5" t="s">
        <v>43</v>
      </c>
      <c r="E952" s="5" t="s">
        <v>58</v>
      </c>
      <c r="F952" s="5" t="s">
        <v>64</v>
      </c>
      <c r="G952" s="5" t="s">
        <v>76</v>
      </c>
      <c r="H952" s="38">
        <v>32151.87</v>
      </c>
      <c r="I952" s="14">
        <v>0.15</v>
      </c>
      <c r="J952" s="38">
        <v>27329.089499999998</v>
      </c>
      <c r="K952" s="5">
        <v>4</v>
      </c>
      <c r="L952" s="62">
        <f>Table1[[#This Row],[Final_Unit_Price]]*Table1[[#This Row],[Quantity]]</f>
        <v>109316.35799999999</v>
      </c>
      <c r="M952" s="60">
        <v>27329.09</v>
      </c>
      <c r="N952" s="43">
        <v>45469</v>
      </c>
      <c r="O952" s="18" t="str">
        <f>TEXT(Table1[[#This Row],[Order_Date]],"mmm")</f>
        <v>Jun</v>
      </c>
      <c r="P952" s="18">
        <f t="shared" si="28"/>
        <v>2024</v>
      </c>
      <c r="Q952" s="45">
        <v>45476</v>
      </c>
      <c r="R952" s="19">
        <f>'Cleaned Data'!$Q952-'Cleaned Data'!$N952</f>
        <v>7</v>
      </c>
      <c r="S952" s="19" t="str">
        <f t="shared" si="29"/>
        <v>Monsoon</v>
      </c>
    </row>
    <row r="953" spans="1:19" x14ac:dyDescent="0.3">
      <c r="A953" s="11" t="s">
        <v>1130</v>
      </c>
      <c r="B953" s="11" t="s">
        <v>22</v>
      </c>
      <c r="C953" s="3" t="s">
        <v>31</v>
      </c>
      <c r="D953" s="3" t="s">
        <v>47</v>
      </c>
      <c r="E953" s="3" t="s">
        <v>59</v>
      </c>
      <c r="F953" s="3" t="s">
        <v>63</v>
      </c>
      <c r="G953" s="3" t="s">
        <v>68</v>
      </c>
      <c r="H953" s="37">
        <v>3825.9</v>
      </c>
      <c r="I953" s="12">
        <v>0.25</v>
      </c>
      <c r="J953" s="37">
        <v>2869.4250000000002</v>
      </c>
      <c r="K953" s="3">
        <v>5</v>
      </c>
      <c r="L953" s="61">
        <f>Table1[[#This Row],[Final_Unit_Price]]*Table1[[#This Row],[Quantity]]</f>
        <v>14347.125</v>
      </c>
      <c r="M953" s="59">
        <v>5021.49</v>
      </c>
      <c r="N953" s="42">
        <v>45528</v>
      </c>
      <c r="O953" s="20" t="str">
        <f>TEXT(Table1[[#This Row],[Order_Date]],"mmm")</f>
        <v>Aug</v>
      </c>
      <c r="P953" s="20">
        <f t="shared" si="28"/>
        <v>2024</v>
      </c>
      <c r="Q953" s="46">
        <v>45537</v>
      </c>
      <c r="R953" s="20">
        <f>'Cleaned Data'!$Q953-'Cleaned Data'!$N953</f>
        <v>9</v>
      </c>
      <c r="S953" s="19" t="str">
        <f t="shared" si="29"/>
        <v>Monsoon</v>
      </c>
    </row>
    <row r="954" spans="1:19" x14ac:dyDescent="0.3">
      <c r="A954" s="13" t="s">
        <v>1131</v>
      </c>
      <c r="B954" s="13" t="s">
        <v>22</v>
      </c>
      <c r="C954" s="5" t="s">
        <v>31</v>
      </c>
      <c r="D954" s="5" t="s">
        <v>36</v>
      </c>
      <c r="E954" s="5" t="s">
        <v>58</v>
      </c>
      <c r="F954" s="5" t="s">
        <v>64</v>
      </c>
      <c r="G954" s="5" t="s">
        <v>74</v>
      </c>
      <c r="H954" s="38">
        <v>3879.13</v>
      </c>
      <c r="I954" s="14">
        <v>0.2</v>
      </c>
      <c r="J954" s="38">
        <v>3103.3040000000001</v>
      </c>
      <c r="K954" s="5">
        <v>3</v>
      </c>
      <c r="L954" s="62">
        <f>Table1[[#This Row],[Final_Unit_Price]]*Table1[[#This Row],[Quantity]]</f>
        <v>9309.9120000000003</v>
      </c>
      <c r="M954" s="60">
        <v>2327.48</v>
      </c>
      <c r="N954" s="43">
        <v>45321</v>
      </c>
      <c r="O954" s="18" t="str">
        <f>TEXT(Table1[[#This Row],[Order_Date]],"mmm")</f>
        <v>Jan</v>
      </c>
      <c r="P954" s="18">
        <f t="shared" si="28"/>
        <v>2024</v>
      </c>
      <c r="Q954" s="45">
        <v>45328</v>
      </c>
      <c r="R954" s="19">
        <f>'Cleaned Data'!$Q954-'Cleaned Data'!$N954</f>
        <v>7</v>
      </c>
      <c r="S954" s="19" t="str">
        <f t="shared" si="29"/>
        <v>Winter</v>
      </c>
    </row>
    <row r="955" spans="1:19" x14ac:dyDescent="0.3">
      <c r="A955" s="11" t="s">
        <v>1132</v>
      </c>
      <c r="B955" s="11" t="s">
        <v>22</v>
      </c>
      <c r="C955" s="3" t="s">
        <v>31</v>
      </c>
      <c r="D955" s="3" t="s">
        <v>47</v>
      </c>
      <c r="E955" s="3" t="s">
        <v>59</v>
      </c>
      <c r="F955" s="3" t="s">
        <v>62</v>
      </c>
      <c r="G955" s="3" t="s">
        <v>66</v>
      </c>
      <c r="H955" s="37">
        <v>4575.7700000000004</v>
      </c>
      <c r="I955" s="12">
        <v>0.15</v>
      </c>
      <c r="J955" s="37">
        <v>3889.4045000000001</v>
      </c>
      <c r="K955" s="3">
        <v>3</v>
      </c>
      <c r="L955" s="61">
        <f>Table1[[#This Row],[Final_Unit_Price]]*Table1[[#This Row],[Quantity]]</f>
        <v>11668.2135</v>
      </c>
      <c r="M955" s="59">
        <v>4083.87</v>
      </c>
      <c r="N955" s="42">
        <v>45815</v>
      </c>
      <c r="O955" s="20" t="str">
        <f>TEXT(Table1[[#This Row],[Order_Date]],"mmm")</f>
        <v>Jun</v>
      </c>
      <c r="P955" s="20">
        <f t="shared" si="28"/>
        <v>2025</v>
      </c>
      <c r="Q955" s="46">
        <v>45818</v>
      </c>
      <c r="R955" s="20">
        <f>'Cleaned Data'!$Q955-'Cleaned Data'!$N955</f>
        <v>3</v>
      </c>
      <c r="S955" s="19" t="str">
        <f t="shared" si="29"/>
        <v>Monsoon</v>
      </c>
    </row>
    <row r="956" spans="1:19" x14ac:dyDescent="0.3">
      <c r="A956" s="13" t="s">
        <v>1133</v>
      </c>
      <c r="B956" s="13" t="s">
        <v>21</v>
      </c>
      <c r="C956" s="5" t="s">
        <v>34</v>
      </c>
      <c r="D956" s="5" t="s">
        <v>55</v>
      </c>
      <c r="E956" s="5" t="s">
        <v>58</v>
      </c>
      <c r="F956" s="5" t="s">
        <v>62</v>
      </c>
      <c r="G956" s="5" t="s">
        <v>66</v>
      </c>
      <c r="H956" s="38">
        <v>3145.62</v>
      </c>
      <c r="I956" s="14">
        <v>0</v>
      </c>
      <c r="J956" s="38">
        <v>3145.62</v>
      </c>
      <c r="K956" s="5">
        <v>4</v>
      </c>
      <c r="L956" s="62">
        <f>Table1[[#This Row],[Final_Unit_Price]]*Table1[[#This Row],[Quantity]]</f>
        <v>12582.48</v>
      </c>
      <c r="M956" s="60">
        <v>3145.62</v>
      </c>
      <c r="N956" s="43">
        <v>45337</v>
      </c>
      <c r="O956" s="18" t="str">
        <f>TEXT(Table1[[#This Row],[Order_Date]],"mmm")</f>
        <v>Feb</v>
      </c>
      <c r="P956" s="18">
        <f t="shared" si="28"/>
        <v>2024</v>
      </c>
      <c r="Q956" s="45">
        <v>45343</v>
      </c>
      <c r="R956" s="19">
        <f>'Cleaned Data'!$Q956-'Cleaned Data'!$N956</f>
        <v>6</v>
      </c>
      <c r="S956" s="19" t="str">
        <f t="shared" si="29"/>
        <v>Summer</v>
      </c>
    </row>
    <row r="957" spans="1:19" x14ac:dyDescent="0.3">
      <c r="A957" s="11" t="s">
        <v>1134</v>
      </c>
      <c r="B957" s="11" t="s">
        <v>16</v>
      </c>
      <c r="C957" s="3" t="s">
        <v>31</v>
      </c>
      <c r="D957" s="3" t="s">
        <v>47</v>
      </c>
      <c r="E957" s="3" t="s">
        <v>59</v>
      </c>
      <c r="F957" s="3" t="s">
        <v>61</v>
      </c>
      <c r="G957" s="3" t="s">
        <v>70</v>
      </c>
      <c r="H957" s="37">
        <v>3002.41</v>
      </c>
      <c r="I957" s="12">
        <v>0.3</v>
      </c>
      <c r="J957" s="37">
        <v>2101.6869999999999</v>
      </c>
      <c r="K957" s="3">
        <v>4</v>
      </c>
      <c r="L957" s="61">
        <f>Table1[[#This Row],[Final_Unit_Price]]*Table1[[#This Row],[Quantity]]</f>
        <v>8406.7479999999996</v>
      </c>
      <c r="M957" s="59">
        <v>2942.36</v>
      </c>
      <c r="N957" s="42">
        <v>45720</v>
      </c>
      <c r="O957" s="20" t="str">
        <f>TEXT(Table1[[#This Row],[Order_Date]],"mmm")</f>
        <v>Mar</v>
      </c>
      <c r="P957" s="20">
        <f t="shared" si="28"/>
        <v>2025</v>
      </c>
      <c r="Q957" s="46">
        <v>45722</v>
      </c>
      <c r="R957" s="20">
        <f>'Cleaned Data'!$Q957-'Cleaned Data'!$N957</f>
        <v>2</v>
      </c>
      <c r="S957" s="19" t="str">
        <f t="shared" si="29"/>
        <v>Summer</v>
      </c>
    </row>
    <row r="958" spans="1:19" x14ac:dyDescent="0.3">
      <c r="A958" s="13" t="s">
        <v>1135</v>
      </c>
      <c r="B958" s="13" t="s">
        <v>28</v>
      </c>
      <c r="C958" s="5" t="s">
        <v>34</v>
      </c>
      <c r="D958" s="5" t="s">
        <v>51</v>
      </c>
      <c r="E958" s="5" t="s">
        <v>59</v>
      </c>
      <c r="F958" s="5" t="s">
        <v>63</v>
      </c>
      <c r="G958" s="5" t="s">
        <v>73</v>
      </c>
      <c r="H958" s="38">
        <v>1775.91</v>
      </c>
      <c r="I958" s="14">
        <v>0.25</v>
      </c>
      <c r="J958" s="38">
        <v>1331.9324999999999</v>
      </c>
      <c r="K958" s="5">
        <v>5</v>
      </c>
      <c r="L958" s="62">
        <f>Table1[[#This Row],[Final_Unit_Price]]*Table1[[#This Row],[Quantity]]</f>
        <v>6659.6624999999995</v>
      </c>
      <c r="M958" s="60">
        <v>2330.88</v>
      </c>
      <c r="N958" s="43">
        <v>45803</v>
      </c>
      <c r="O958" s="18" t="str">
        <f>TEXT(Table1[[#This Row],[Order_Date]],"mmm")</f>
        <v>May</v>
      </c>
      <c r="P958" s="18">
        <f t="shared" si="28"/>
        <v>2025</v>
      </c>
      <c r="Q958" s="45">
        <v>45813</v>
      </c>
      <c r="R958" s="19">
        <f>'Cleaned Data'!$Q958-'Cleaned Data'!$N958</f>
        <v>10</v>
      </c>
      <c r="S958" s="19" t="str">
        <f t="shared" si="29"/>
        <v>Summer</v>
      </c>
    </row>
    <row r="959" spans="1:19" x14ac:dyDescent="0.3">
      <c r="A959" s="11" t="s">
        <v>1136</v>
      </c>
      <c r="B959" s="11" t="s">
        <v>16</v>
      </c>
      <c r="C959" s="3" t="s">
        <v>31</v>
      </c>
      <c r="D959" s="3" t="s">
        <v>42</v>
      </c>
      <c r="E959" s="3" t="s">
        <v>60</v>
      </c>
      <c r="F959" s="3" t="s">
        <v>64</v>
      </c>
      <c r="G959" s="3" t="s">
        <v>72</v>
      </c>
      <c r="H959" s="37">
        <v>2236.91</v>
      </c>
      <c r="I959" s="12">
        <v>0</v>
      </c>
      <c r="J959" s="37">
        <v>2236.91</v>
      </c>
      <c r="K959" s="3">
        <v>5</v>
      </c>
      <c r="L959" s="61">
        <f>Table1[[#This Row],[Final_Unit_Price]]*Table1[[#This Row],[Quantity]]</f>
        <v>11184.55</v>
      </c>
      <c r="M959" s="59">
        <v>1677.68</v>
      </c>
      <c r="N959" s="42">
        <v>45609</v>
      </c>
      <c r="O959" s="20" t="str">
        <f>TEXT(Table1[[#This Row],[Order_Date]],"mmm")</f>
        <v>Nov</v>
      </c>
      <c r="P959" s="20">
        <f t="shared" si="28"/>
        <v>2024</v>
      </c>
      <c r="Q959" s="46">
        <v>45618</v>
      </c>
      <c r="R959" s="20">
        <f>'Cleaned Data'!$Q959-'Cleaned Data'!$N959</f>
        <v>9</v>
      </c>
      <c r="S959" s="19" t="str">
        <f t="shared" si="29"/>
        <v>Winter</v>
      </c>
    </row>
    <row r="960" spans="1:19" x14ac:dyDescent="0.3">
      <c r="A960" s="13" t="s">
        <v>1137</v>
      </c>
      <c r="B960" s="13" t="s">
        <v>21</v>
      </c>
      <c r="C960" s="5" t="s">
        <v>34</v>
      </c>
      <c r="D960" s="5" t="s">
        <v>55</v>
      </c>
      <c r="E960" s="5" t="s">
        <v>58</v>
      </c>
      <c r="F960" s="5" t="s">
        <v>62</v>
      </c>
      <c r="G960" s="5" t="s">
        <v>69</v>
      </c>
      <c r="H960" s="38">
        <v>3216.54</v>
      </c>
      <c r="I960" s="14">
        <v>0.3</v>
      </c>
      <c r="J960" s="38">
        <v>2251.578</v>
      </c>
      <c r="K960" s="5">
        <v>8</v>
      </c>
      <c r="L960" s="62">
        <f>Table1[[#This Row],[Final_Unit_Price]]*Table1[[#This Row],[Quantity]]</f>
        <v>18012.624</v>
      </c>
      <c r="M960" s="60">
        <v>1125.79</v>
      </c>
      <c r="N960" s="43">
        <v>45615</v>
      </c>
      <c r="O960" s="18" t="str">
        <f>TEXT(Table1[[#This Row],[Order_Date]],"mmm")</f>
        <v>Nov</v>
      </c>
      <c r="P960" s="18">
        <f t="shared" si="28"/>
        <v>2024</v>
      </c>
      <c r="Q960" s="45">
        <v>45619</v>
      </c>
      <c r="R960" s="19">
        <f>'Cleaned Data'!$Q960-'Cleaned Data'!$N960</f>
        <v>4</v>
      </c>
      <c r="S960" s="19" t="str">
        <f t="shared" si="29"/>
        <v>Winter</v>
      </c>
    </row>
    <row r="961" spans="1:19" x14ac:dyDescent="0.3">
      <c r="A961" s="11" t="s">
        <v>1138</v>
      </c>
      <c r="B961" s="11" t="s">
        <v>26</v>
      </c>
      <c r="C961" s="3" t="s">
        <v>32</v>
      </c>
      <c r="D961" s="3" t="s">
        <v>37</v>
      </c>
      <c r="E961" s="3" t="s">
        <v>59</v>
      </c>
      <c r="F961" s="3" t="s">
        <v>63</v>
      </c>
      <c r="G961" s="3" t="s">
        <v>68</v>
      </c>
      <c r="H961" s="37">
        <v>39255.57</v>
      </c>
      <c r="I961" s="12">
        <v>0</v>
      </c>
      <c r="J961" s="37">
        <v>39255.57</v>
      </c>
      <c r="K961" s="3">
        <v>5</v>
      </c>
      <c r="L961" s="61">
        <f>Table1[[#This Row],[Final_Unit_Price]]*Table1[[#This Row],[Quantity]]</f>
        <v>196277.85</v>
      </c>
      <c r="M961" s="59">
        <v>68697.25</v>
      </c>
      <c r="N961" s="42">
        <v>45854</v>
      </c>
      <c r="O961" s="20" t="str">
        <f>TEXT(Table1[[#This Row],[Order_Date]],"mmm")</f>
        <v>Jul</v>
      </c>
      <c r="P961" s="20">
        <f t="shared" si="28"/>
        <v>2025</v>
      </c>
      <c r="Q961" s="46">
        <v>45860</v>
      </c>
      <c r="R961" s="20">
        <f>'Cleaned Data'!$Q961-'Cleaned Data'!$N961</f>
        <v>6</v>
      </c>
      <c r="S961" s="19" t="str">
        <f t="shared" si="29"/>
        <v>Monsoon</v>
      </c>
    </row>
    <row r="962" spans="1:19" x14ac:dyDescent="0.3">
      <c r="A962" s="13" t="s">
        <v>1139</v>
      </c>
      <c r="B962" s="13" t="s">
        <v>21</v>
      </c>
      <c r="C962" s="5" t="s">
        <v>34</v>
      </c>
      <c r="D962" s="5" t="s">
        <v>41</v>
      </c>
      <c r="E962" s="5" t="s">
        <v>60</v>
      </c>
      <c r="F962" s="5" t="s">
        <v>64</v>
      </c>
      <c r="G962" s="5" t="s">
        <v>74</v>
      </c>
      <c r="H962" s="38">
        <v>2786.48</v>
      </c>
      <c r="I962" s="14">
        <v>0.3</v>
      </c>
      <c r="J962" s="38">
        <v>1950.5360000000001</v>
      </c>
      <c r="K962" s="5">
        <v>4</v>
      </c>
      <c r="L962" s="62">
        <f>Table1[[#This Row],[Final_Unit_Price]]*Table1[[#This Row],[Quantity]]</f>
        <v>7802.1440000000002</v>
      </c>
      <c r="M962" s="60">
        <v>1170.32</v>
      </c>
      <c r="N962" s="43">
        <v>45323</v>
      </c>
      <c r="O962" s="18" t="str">
        <f>TEXT(Table1[[#This Row],[Order_Date]],"mmm")</f>
        <v>Feb</v>
      </c>
      <c r="P962" s="18">
        <f t="shared" si="28"/>
        <v>2024</v>
      </c>
      <c r="Q962" s="45">
        <v>45331</v>
      </c>
      <c r="R962" s="19">
        <f>'Cleaned Data'!$Q962-'Cleaned Data'!$N962</f>
        <v>8</v>
      </c>
      <c r="S962" s="19" t="str">
        <f t="shared" si="29"/>
        <v>Summer</v>
      </c>
    </row>
    <row r="963" spans="1:19" x14ac:dyDescent="0.3">
      <c r="A963" s="11" t="s">
        <v>1140</v>
      </c>
      <c r="B963" s="11" t="s">
        <v>30</v>
      </c>
      <c r="C963" s="3" t="s">
        <v>33</v>
      </c>
      <c r="D963" s="3" t="s">
        <v>57</v>
      </c>
      <c r="E963" s="3" t="s">
        <v>60</v>
      </c>
      <c r="F963" s="3" t="s">
        <v>61</v>
      </c>
      <c r="G963" s="3" t="s">
        <v>71</v>
      </c>
      <c r="H963" s="37">
        <v>12476.61</v>
      </c>
      <c r="I963" s="12">
        <v>0</v>
      </c>
      <c r="J963" s="37">
        <v>12476.61</v>
      </c>
      <c r="K963" s="3">
        <v>4</v>
      </c>
      <c r="L963" s="61">
        <f>Table1[[#This Row],[Final_Unit_Price]]*Table1[[#This Row],[Quantity]]</f>
        <v>49906.44</v>
      </c>
      <c r="M963" s="59">
        <v>7485.97</v>
      </c>
      <c r="N963" s="42">
        <v>45754</v>
      </c>
      <c r="O963" s="20" t="str">
        <f>TEXT(Table1[[#This Row],[Order_Date]],"mmm")</f>
        <v>Apr</v>
      </c>
      <c r="P963" s="20">
        <f t="shared" ref="P963:P1026" si="30">YEAR(N963)</f>
        <v>2025</v>
      </c>
      <c r="Q963" s="46">
        <v>45763</v>
      </c>
      <c r="R963" s="20">
        <f>'Cleaned Data'!$Q963-'Cleaned Data'!$N963</f>
        <v>9</v>
      </c>
      <c r="S963" s="19" t="str">
        <f t="shared" ref="S963:S1026" si="31">IF(OR(O963="Feb",O963="Mar",O963="Apr",O963="May"),"Summer",
   IF(OR(O963="Jun",O963="Jul",O963="Aug",O963="Sep"),"Monsoon",
   IF(OR(O963="Oct",O963="Nov",O963="Dec",O963= "Jan"),"Winter","Invalid")))</f>
        <v>Summer</v>
      </c>
    </row>
    <row r="964" spans="1:19" x14ac:dyDescent="0.3">
      <c r="A964" s="13" t="s">
        <v>1141</v>
      </c>
      <c r="B964" s="13" t="s">
        <v>17</v>
      </c>
      <c r="C964" s="5" t="s">
        <v>32</v>
      </c>
      <c r="D964" s="5" t="s">
        <v>54</v>
      </c>
      <c r="E964" s="5" t="s">
        <v>60</v>
      </c>
      <c r="F964" s="5" t="s">
        <v>64</v>
      </c>
      <c r="G964" s="5" t="s">
        <v>76</v>
      </c>
      <c r="H964" s="38">
        <v>7006.5</v>
      </c>
      <c r="I964" s="14">
        <v>0.2</v>
      </c>
      <c r="J964" s="38">
        <v>5605.2000000000007</v>
      </c>
      <c r="K964" s="5">
        <v>5</v>
      </c>
      <c r="L964" s="62">
        <f>Table1[[#This Row],[Final_Unit_Price]]*Table1[[#This Row],[Quantity]]</f>
        <v>28026.000000000004</v>
      </c>
      <c r="M964" s="60">
        <v>4203.8999999999996</v>
      </c>
      <c r="N964" s="43">
        <v>45649</v>
      </c>
      <c r="O964" s="18" t="str">
        <f>TEXT(Table1[[#This Row],[Order_Date]],"mmm")</f>
        <v>Dec</v>
      </c>
      <c r="P964" s="18">
        <f t="shared" si="30"/>
        <v>2024</v>
      </c>
      <c r="Q964" s="45">
        <v>45655</v>
      </c>
      <c r="R964" s="19">
        <f>'Cleaned Data'!$Q964-'Cleaned Data'!$N964</f>
        <v>6</v>
      </c>
      <c r="S964" s="19" t="str">
        <f t="shared" si="31"/>
        <v>Winter</v>
      </c>
    </row>
    <row r="965" spans="1:19" x14ac:dyDescent="0.3">
      <c r="A965" s="11" t="s">
        <v>1142</v>
      </c>
      <c r="B965" s="11" t="s">
        <v>27</v>
      </c>
      <c r="C965" s="3" t="s">
        <v>35</v>
      </c>
      <c r="D965" s="3" t="s">
        <v>46</v>
      </c>
      <c r="E965" s="3" t="s">
        <v>59</v>
      </c>
      <c r="F965" s="3" t="s">
        <v>62</v>
      </c>
      <c r="G965" s="3" t="s">
        <v>67</v>
      </c>
      <c r="H965" s="37">
        <v>9544.39</v>
      </c>
      <c r="I965" s="12">
        <v>0.15</v>
      </c>
      <c r="J965" s="37">
        <v>8112.731499999999</v>
      </c>
      <c r="K965" s="3">
        <v>2</v>
      </c>
      <c r="L965" s="61">
        <f>Table1[[#This Row],[Final_Unit_Price]]*Table1[[#This Row],[Quantity]]</f>
        <v>16225.462999999998</v>
      </c>
      <c r="M965" s="59">
        <v>5678.91</v>
      </c>
      <c r="N965" s="42">
        <v>45364</v>
      </c>
      <c r="O965" s="20" t="str">
        <f>TEXT(Table1[[#This Row],[Order_Date]],"mmm")</f>
        <v>Mar</v>
      </c>
      <c r="P965" s="20">
        <f t="shared" si="30"/>
        <v>2024</v>
      </c>
      <c r="Q965" s="46">
        <v>45366</v>
      </c>
      <c r="R965" s="20">
        <f>'Cleaned Data'!$Q965-'Cleaned Data'!$N965</f>
        <v>2</v>
      </c>
      <c r="S965" s="19" t="str">
        <f t="shared" si="31"/>
        <v>Summer</v>
      </c>
    </row>
    <row r="966" spans="1:19" x14ac:dyDescent="0.3">
      <c r="A966" s="13" t="s">
        <v>1143</v>
      </c>
      <c r="B966" s="13" t="s">
        <v>28</v>
      </c>
      <c r="C966" s="5" t="s">
        <v>34</v>
      </c>
      <c r="D966" s="5" t="s">
        <v>49</v>
      </c>
      <c r="E966" s="5" t="s">
        <v>59</v>
      </c>
      <c r="F966" s="5" t="s">
        <v>63</v>
      </c>
      <c r="G966" s="5" t="s">
        <v>73</v>
      </c>
      <c r="H966" s="38">
        <v>1734.94</v>
      </c>
      <c r="I966" s="14">
        <v>0</v>
      </c>
      <c r="J966" s="38">
        <v>1734.94</v>
      </c>
      <c r="K966" s="5">
        <v>9</v>
      </c>
      <c r="L966" s="62">
        <f>Table1[[#This Row],[Final_Unit_Price]]*Table1[[#This Row],[Quantity]]</f>
        <v>15614.460000000001</v>
      </c>
      <c r="M966" s="60">
        <v>3036.14</v>
      </c>
      <c r="N966" s="43">
        <v>45608</v>
      </c>
      <c r="O966" s="18" t="str">
        <f>TEXT(Table1[[#This Row],[Order_Date]],"mmm")</f>
        <v>Nov</v>
      </c>
      <c r="P966" s="18">
        <f t="shared" si="30"/>
        <v>2024</v>
      </c>
      <c r="Q966" s="45">
        <v>45613</v>
      </c>
      <c r="R966" s="19">
        <f>'Cleaned Data'!$Q966-'Cleaned Data'!$N966</f>
        <v>5</v>
      </c>
      <c r="S966" s="19" t="str">
        <f t="shared" si="31"/>
        <v>Winter</v>
      </c>
    </row>
    <row r="967" spans="1:19" x14ac:dyDescent="0.3">
      <c r="A967" s="11" t="s">
        <v>1144</v>
      </c>
      <c r="B967" s="11" t="s">
        <v>17</v>
      </c>
      <c r="C967" s="3" t="s">
        <v>32</v>
      </c>
      <c r="D967" s="3" t="s">
        <v>37</v>
      </c>
      <c r="E967" s="3" t="s">
        <v>59</v>
      </c>
      <c r="F967" s="3" t="s">
        <v>63</v>
      </c>
      <c r="G967" s="3" t="s">
        <v>73</v>
      </c>
      <c r="H967" s="37">
        <v>9483.48</v>
      </c>
      <c r="I967" s="12">
        <v>0.1</v>
      </c>
      <c r="J967" s="37">
        <v>8535.1319999999996</v>
      </c>
      <c r="K967" s="3">
        <v>4</v>
      </c>
      <c r="L967" s="61">
        <f>Table1[[#This Row],[Final_Unit_Price]]*Table1[[#This Row],[Quantity]]</f>
        <v>34140.527999999998</v>
      </c>
      <c r="M967" s="59">
        <v>11949.19</v>
      </c>
      <c r="N967" s="42">
        <v>45369</v>
      </c>
      <c r="O967" s="20" t="str">
        <f>TEXT(Table1[[#This Row],[Order_Date]],"mmm")</f>
        <v>Mar</v>
      </c>
      <c r="P967" s="20">
        <f t="shared" si="30"/>
        <v>2024</v>
      </c>
      <c r="Q967" s="46">
        <v>45371</v>
      </c>
      <c r="R967" s="20">
        <f>'Cleaned Data'!$Q967-'Cleaned Data'!$N967</f>
        <v>2</v>
      </c>
      <c r="S967" s="19" t="str">
        <f t="shared" si="31"/>
        <v>Summer</v>
      </c>
    </row>
    <row r="968" spans="1:19" x14ac:dyDescent="0.3">
      <c r="A968" s="13" t="s">
        <v>1145</v>
      </c>
      <c r="B968" s="13" t="s">
        <v>17</v>
      </c>
      <c r="C968" s="5" t="s">
        <v>32</v>
      </c>
      <c r="D968" s="5" t="s">
        <v>40</v>
      </c>
      <c r="E968" s="5" t="s">
        <v>59</v>
      </c>
      <c r="F968" s="5" t="s">
        <v>62</v>
      </c>
      <c r="G968" s="5" t="s">
        <v>67</v>
      </c>
      <c r="H968" s="38">
        <v>9591.3799999999992</v>
      </c>
      <c r="I968" s="14">
        <v>0.05</v>
      </c>
      <c r="J968" s="38">
        <v>9111.8109999999997</v>
      </c>
      <c r="K968" s="5">
        <v>3</v>
      </c>
      <c r="L968" s="62">
        <f>Table1[[#This Row],[Final_Unit_Price]]*Table1[[#This Row],[Quantity]]</f>
        <v>27335.432999999997</v>
      </c>
      <c r="M968" s="60">
        <v>9567.4</v>
      </c>
      <c r="N968" s="43">
        <v>45743</v>
      </c>
      <c r="O968" s="18" t="str">
        <f>TEXT(Table1[[#This Row],[Order_Date]],"mmm")</f>
        <v>Mar</v>
      </c>
      <c r="P968" s="18">
        <f t="shared" si="30"/>
        <v>2025</v>
      </c>
      <c r="Q968" s="45">
        <v>45753</v>
      </c>
      <c r="R968" s="19">
        <f>'Cleaned Data'!$Q968-'Cleaned Data'!$N968</f>
        <v>10</v>
      </c>
      <c r="S968" s="19" t="str">
        <f t="shared" si="31"/>
        <v>Summer</v>
      </c>
    </row>
    <row r="969" spans="1:19" x14ac:dyDescent="0.3">
      <c r="A969" s="11" t="s">
        <v>1146</v>
      </c>
      <c r="B969" s="11" t="s">
        <v>28</v>
      </c>
      <c r="C969" s="3" t="s">
        <v>34</v>
      </c>
      <c r="D969" s="3" t="s">
        <v>51</v>
      </c>
      <c r="E969" s="3" t="s">
        <v>59</v>
      </c>
      <c r="F969" s="3" t="s">
        <v>62</v>
      </c>
      <c r="G969" s="3" t="s">
        <v>69</v>
      </c>
      <c r="H969" s="37">
        <v>1890.93</v>
      </c>
      <c r="I969" s="12">
        <v>0.2</v>
      </c>
      <c r="J969" s="37">
        <v>1512.7439999999999</v>
      </c>
      <c r="K969" s="3">
        <v>8</v>
      </c>
      <c r="L969" s="61">
        <f>Table1[[#This Row],[Final_Unit_Price]]*Table1[[#This Row],[Quantity]]</f>
        <v>12101.951999999999</v>
      </c>
      <c r="M969" s="59">
        <v>2117.84</v>
      </c>
      <c r="N969" s="42">
        <v>45611</v>
      </c>
      <c r="O969" s="20" t="str">
        <f>TEXT(Table1[[#This Row],[Order_Date]],"mmm")</f>
        <v>Nov</v>
      </c>
      <c r="P969" s="20">
        <f t="shared" si="30"/>
        <v>2024</v>
      </c>
      <c r="Q969" s="46">
        <v>45615</v>
      </c>
      <c r="R969" s="20">
        <f>'Cleaned Data'!$Q969-'Cleaned Data'!$N969</f>
        <v>4</v>
      </c>
      <c r="S969" s="19" t="str">
        <f t="shared" si="31"/>
        <v>Winter</v>
      </c>
    </row>
    <row r="970" spans="1:19" x14ac:dyDescent="0.3">
      <c r="A970" s="13" t="s">
        <v>1147</v>
      </c>
      <c r="B970" s="13" t="s">
        <v>17</v>
      </c>
      <c r="C970" s="5" t="s">
        <v>32</v>
      </c>
      <c r="D970" s="5" t="s">
        <v>43</v>
      </c>
      <c r="E970" s="5" t="s">
        <v>58</v>
      </c>
      <c r="F970" s="5" t="s">
        <v>62</v>
      </c>
      <c r="G970" s="5" t="s">
        <v>66</v>
      </c>
      <c r="H970" s="38">
        <v>8465.9</v>
      </c>
      <c r="I970" s="14">
        <v>0</v>
      </c>
      <c r="J970" s="38">
        <v>8465.9</v>
      </c>
      <c r="K970" s="5">
        <v>4</v>
      </c>
      <c r="L970" s="62">
        <f>Table1[[#This Row],[Final_Unit_Price]]*Table1[[#This Row],[Quantity]]</f>
        <v>33863.599999999999</v>
      </c>
      <c r="M970" s="60">
        <v>8465.9</v>
      </c>
      <c r="N970" s="43">
        <v>45780</v>
      </c>
      <c r="O970" s="18" t="str">
        <f>TEXT(Table1[[#This Row],[Order_Date]],"mmm")</f>
        <v>May</v>
      </c>
      <c r="P970" s="18">
        <f t="shared" si="30"/>
        <v>2025</v>
      </c>
      <c r="Q970" s="45">
        <v>45782</v>
      </c>
      <c r="R970" s="19">
        <f>'Cleaned Data'!$Q970-'Cleaned Data'!$N970</f>
        <v>2</v>
      </c>
      <c r="S970" s="19" t="str">
        <f t="shared" si="31"/>
        <v>Summer</v>
      </c>
    </row>
    <row r="971" spans="1:19" x14ac:dyDescent="0.3">
      <c r="A971" s="11" t="s">
        <v>1148</v>
      </c>
      <c r="B971" s="11" t="s">
        <v>27</v>
      </c>
      <c r="C971" s="3" t="s">
        <v>35</v>
      </c>
      <c r="D971" s="3" t="s">
        <v>48</v>
      </c>
      <c r="E971" s="3" t="s">
        <v>58</v>
      </c>
      <c r="F971" s="3" t="s">
        <v>62</v>
      </c>
      <c r="G971" s="3" t="s">
        <v>69</v>
      </c>
      <c r="H971" s="37">
        <v>8474.89</v>
      </c>
      <c r="I971" s="12">
        <v>0.3</v>
      </c>
      <c r="J971" s="37">
        <v>5932.4229999999989</v>
      </c>
      <c r="K971" s="3">
        <v>4</v>
      </c>
      <c r="L971" s="61">
        <f>Table1[[#This Row],[Final_Unit_Price]]*Table1[[#This Row],[Quantity]]</f>
        <v>23729.691999999995</v>
      </c>
      <c r="M971" s="59">
        <v>5932.42</v>
      </c>
      <c r="N971" s="42">
        <v>45730</v>
      </c>
      <c r="O971" s="20" t="str">
        <f>TEXT(Table1[[#This Row],[Order_Date]],"mmm")</f>
        <v>Mar</v>
      </c>
      <c r="P971" s="20">
        <f t="shared" si="30"/>
        <v>2025</v>
      </c>
      <c r="Q971" s="46">
        <v>45732</v>
      </c>
      <c r="R971" s="20">
        <f>'Cleaned Data'!$Q971-'Cleaned Data'!$N971</f>
        <v>2</v>
      </c>
      <c r="S971" s="19" t="str">
        <f t="shared" si="31"/>
        <v>Summer</v>
      </c>
    </row>
    <row r="972" spans="1:19" x14ac:dyDescent="0.3">
      <c r="A972" s="13" t="s">
        <v>1149</v>
      </c>
      <c r="B972" s="13" t="s">
        <v>19</v>
      </c>
      <c r="C972" s="5" t="s">
        <v>33</v>
      </c>
      <c r="D972" s="5" t="s">
        <v>50</v>
      </c>
      <c r="E972" s="5" t="s">
        <v>59</v>
      </c>
      <c r="F972" s="5" t="s">
        <v>61</v>
      </c>
      <c r="G972" s="5" t="s">
        <v>71</v>
      </c>
      <c r="H972" s="38">
        <v>2448.94</v>
      </c>
      <c r="I972" s="14">
        <v>0.1</v>
      </c>
      <c r="J972" s="38">
        <v>2204.0459999999998</v>
      </c>
      <c r="K972" s="5">
        <v>4</v>
      </c>
      <c r="L972" s="62">
        <f>Table1[[#This Row],[Final_Unit_Price]]*Table1[[#This Row],[Quantity]]</f>
        <v>8816.1839999999993</v>
      </c>
      <c r="M972" s="60">
        <v>3085.66</v>
      </c>
      <c r="N972" s="43">
        <v>45346</v>
      </c>
      <c r="O972" s="18" t="str">
        <f>TEXT(Table1[[#This Row],[Order_Date]],"mmm")</f>
        <v>Feb</v>
      </c>
      <c r="P972" s="18">
        <f t="shared" si="30"/>
        <v>2024</v>
      </c>
      <c r="Q972" s="45">
        <v>45355</v>
      </c>
      <c r="R972" s="19">
        <f>'Cleaned Data'!$Q972-'Cleaned Data'!$N972</f>
        <v>9</v>
      </c>
      <c r="S972" s="19" t="str">
        <f t="shared" si="31"/>
        <v>Summer</v>
      </c>
    </row>
    <row r="973" spans="1:19" x14ac:dyDescent="0.3">
      <c r="A973" s="11" t="s">
        <v>1150</v>
      </c>
      <c r="B973" s="11" t="s">
        <v>30</v>
      </c>
      <c r="C973" s="3" t="s">
        <v>33</v>
      </c>
      <c r="D973" s="3" t="s">
        <v>56</v>
      </c>
      <c r="E973" s="3" t="s">
        <v>60</v>
      </c>
      <c r="F973" s="3" t="s">
        <v>61</v>
      </c>
      <c r="G973" s="3" t="s">
        <v>71</v>
      </c>
      <c r="H973" s="37">
        <v>11935.44</v>
      </c>
      <c r="I973" s="12">
        <v>0.15</v>
      </c>
      <c r="J973" s="37">
        <v>10145.124</v>
      </c>
      <c r="K973" s="3">
        <v>5</v>
      </c>
      <c r="L973" s="61">
        <f>Table1[[#This Row],[Final_Unit_Price]]*Table1[[#This Row],[Quantity]]</f>
        <v>50725.619999999995</v>
      </c>
      <c r="M973" s="59">
        <v>7608.84</v>
      </c>
      <c r="N973" s="42">
        <v>45647</v>
      </c>
      <c r="O973" s="20" t="str">
        <f>TEXT(Table1[[#This Row],[Order_Date]],"mmm")</f>
        <v>Dec</v>
      </c>
      <c r="P973" s="20">
        <f t="shared" si="30"/>
        <v>2024</v>
      </c>
      <c r="Q973" s="46">
        <v>45654</v>
      </c>
      <c r="R973" s="20">
        <f>'Cleaned Data'!$Q973-'Cleaned Data'!$N973</f>
        <v>7</v>
      </c>
      <c r="S973" s="19" t="str">
        <f t="shared" si="31"/>
        <v>Winter</v>
      </c>
    </row>
    <row r="974" spans="1:19" x14ac:dyDescent="0.3">
      <c r="A974" s="13" t="s">
        <v>1151</v>
      </c>
      <c r="B974" s="13" t="s">
        <v>19</v>
      </c>
      <c r="C974" s="5" t="s">
        <v>33</v>
      </c>
      <c r="D974" s="5" t="s">
        <v>38</v>
      </c>
      <c r="E974" s="5" t="s">
        <v>59</v>
      </c>
      <c r="F974" s="5" t="s">
        <v>62</v>
      </c>
      <c r="G974" s="5" t="s">
        <v>67</v>
      </c>
      <c r="H974" s="38">
        <v>2414.9699999999998</v>
      </c>
      <c r="I974" s="14">
        <v>0.3</v>
      </c>
      <c r="J974" s="38">
        <v>1690.479</v>
      </c>
      <c r="K974" s="5">
        <v>1</v>
      </c>
      <c r="L974" s="62">
        <f>Table1[[#This Row],[Final_Unit_Price]]*Table1[[#This Row],[Quantity]]</f>
        <v>1690.479</v>
      </c>
      <c r="M974" s="60">
        <v>591.66999999999996</v>
      </c>
      <c r="N974" s="43">
        <v>45364</v>
      </c>
      <c r="O974" s="18" t="str">
        <f>TEXT(Table1[[#This Row],[Order_Date]],"mmm")</f>
        <v>Mar</v>
      </c>
      <c r="P974" s="18">
        <f t="shared" si="30"/>
        <v>2024</v>
      </c>
      <c r="Q974" s="45">
        <v>45372</v>
      </c>
      <c r="R974" s="19">
        <f>'Cleaned Data'!$Q974-'Cleaned Data'!$N974</f>
        <v>8</v>
      </c>
      <c r="S974" s="19" t="str">
        <f t="shared" si="31"/>
        <v>Summer</v>
      </c>
    </row>
    <row r="975" spans="1:19" x14ac:dyDescent="0.3">
      <c r="A975" s="11" t="s">
        <v>1152</v>
      </c>
      <c r="B975" s="11" t="s">
        <v>19</v>
      </c>
      <c r="C975" s="3" t="s">
        <v>33</v>
      </c>
      <c r="D975" s="3" t="s">
        <v>50</v>
      </c>
      <c r="E975" s="3" t="s">
        <v>59</v>
      </c>
      <c r="F975" s="3" t="s">
        <v>62</v>
      </c>
      <c r="G975" s="3" t="s">
        <v>66</v>
      </c>
      <c r="H975" s="37">
        <v>2608.39</v>
      </c>
      <c r="I975" s="12">
        <v>0.05</v>
      </c>
      <c r="J975" s="37">
        <v>2477.9704999999999</v>
      </c>
      <c r="K975" s="3">
        <v>4</v>
      </c>
      <c r="L975" s="61">
        <f>Table1[[#This Row],[Final_Unit_Price]]*Table1[[#This Row],[Quantity]]</f>
        <v>9911.8819999999996</v>
      </c>
      <c r="M975" s="59">
        <v>3469.16</v>
      </c>
      <c r="N975" s="42">
        <v>45823</v>
      </c>
      <c r="O975" s="20" t="str">
        <f>TEXT(Table1[[#This Row],[Order_Date]],"mmm")</f>
        <v>Jun</v>
      </c>
      <c r="P975" s="20">
        <f t="shared" si="30"/>
        <v>2025</v>
      </c>
      <c r="Q975" s="46">
        <v>45829</v>
      </c>
      <c r="R975" s="20">
        <f>'Cleaned Data'!$Q975-'Cleaned Data'!$N975</f>
        <v>6</v>
      </c>
      <c r="S975" s="19" t="str">
        <f t="shared" si="31"/>
        <v>Monsoon</v>
      </c>
    </row>
    <row r="976" spans="1:19" x14ac:dyDescent="0.3">
      <c r="A976" s="13" t="s">
        <v>1153</v>
      </c>
      <c r="B976" s="13" t="s">
        <v>30</v>
      </c>
      <c r="C976" s="5" t="s">
        <v>33</v>
      </c>
      <c r="D976" s="5" t="s">
        <v>50</v>
      </c>
      <c r="E976" s="5" t="s">
        <v>59</v>
      </c>
      <c r="F976" s="5" t="s">
        <v>62</v>
      </c>
      <c r="G976" s="5" t="s">
        <v>67</v>
      </c>
      <c r="H976" s="38">
        <v>18953.080000000002</v>
      </c>
      <c r="I976" s="14">
        <v>0.15</v>
      </c>
      <c r="J976" s="38">
        <v>16110.118</v>
      </c>
      <c r="K976" s="5">
        <v>4</v>
      </c>
      <c r="L976" s="62">
        <f>Table1[[#This Row],[Final_Unit_Price]]*Table1[[#This Row],[Quantity]]</f>
        <v>64440.472000000002</v>
      </c>
      <c r="M976" s="60">
        <v>22554.16</v>
      </c>
      <c r="N976" s="43">
        <v>45506</v>
      </c>
      <c r="O976" s="18" t="str">
        <f>TEXT(Table1[[#This Row],[Order_Date]],"mmm")</f>
        <v>Aug</v>
      </c>
      <c r="P976" s="18">
        <f t="shared" si="30"/>
        <v>2024</v>
      </c>
      <c r="Q976" s="45">
        <v>45512</v>
      </c>
      <c r="R976" s="19">
        <f>'Cleaned Data'!$Q976-'Cleaned Data'!$N976</f>
        <v>6</v>
      </c>
      <c r="S976" s="19" t="str">
        <f t="shared" si="31"/>
        <v>Monsoon</v>
      </c>
    </row>
    <row r="977" spans="1:19" x14ac:dyDescent="0.3">
      <c r="A977" s="11" t="s">
        <v>1154</v>
      </c>
      <c r="B977" s="11" t="s">
        <v>30</v>
      </c>
      <c r="C977" s="3" t="s">
        <v>33</v>
      </c>
      <c r="D977" s="3" t="s">
        <v>38</v>
      </c>
      <c r="E977" s="3" t="s">
        <v>59</v>
      </c>
      <c r="F977" s="3" t="s">
        <v>62</v>
      </c>
      <c r="G977" s="3" t="s">
        <v>67</v>
      </c>
      <c r="H977" s="37">
        <v>19294.27</v>
      </c>
      <c r="I977" s="12">
        <v>0.1</v>
      </c>
      <c r="J977" s="37">
        <v>17364.843000000001</v>
      </c>
      <c r="K977" s="3">
        <v>1</v>
      </c>
      <c r="L977" s="61">
        <f>Table1[[#This Row],[Final_Unit_Price]]*Table1[[#This Row],[Quantity]]</f>
        <v>17364.843000000001</v>
      </c>
      <c r="M977" s="59">
        <v>6077.69</v>
      </c>
      <c r="N977" s="42">
        <v>45423</v>
      </c>
      <c r="O977" s="20" t="str">
        <f>TEXT(Table1[[#This Row],[Order_Date]],"mmm")</f>
        <v>May</v>
      </c>
      <c r="P977" s="20">
        <f t="shared" si="30"/>
        <v>2024</v>
      </c>
      <c r="Q977" s="46">
        <v>45427</v>
      </c>
      <c r="R977" s="20">
        <f>'Cleaned Data'!$Q977-'Cleaned Data'!$N977</f>
        <v>4</v>
      </c>
      <c r="S977" s="19" t="str">
        <f t="shared" si="31"/>
        <v>Summer</v>
      </c>
    </row>
    <row r="978" spans="1:19" x14ac:dyDescent="0.3">
      <c r="A978" s="13" t="s">
        <v>1155</v>
      </c>
      <c r="B978" s="13" t="s">
        <v>30</v>
      </c>
      <c r="C978" s="5" t="s">
        <v>33</v>
      </c>
      <c r="D978" s="5" t="s">
        <v>56</v>
      </c>
      <c r="E978" s="5" t="s">
        <v>60</v>
      </c>
      <c r="F978" s="5" t="s">
        <v>63</v>
      </c>
      <c r="G978" s="5" t="s">
        <v>73</v>
      </c>
      <c r="H978" s="38">
        <v>12691.8</v>
      </c>
      <c r="I978" s="14">
        <v>0</v>
      </c>
      <c r="J978" s="38">
        <v>12691.8</v>
      </c>
      <c r="K978" s="5">
        <v>2</v>
      </c>
      <c r="L978" s="62">
        <f>Table1[[#This Row],[Final_Unit_Price]]*Table1[[#This Row],[Quantity]]</f>
        <v>25383.599999999999</v>
      </c>
      <c r="M978" s="60">
        <v>3807.54</v>
      </c>
      <c r="N978" s="43">
        <v>45569</v>
      </c>
      <c r="O978" s="18" t="str">
        <f>TEXT(Table1[[#This Row],[Order_Date]],"mmm")</f>
        <v>Oct</v>
      </c>
      <c r="P978" s="18">
        <f t="shared" si="30"/>
        <v>2024</v>
      </c>
      <c r="Q978" s="45">
        <v>45573</v>
      </c>
      <c r="R978" s="19">
        <f>'Cleaned Data'!$Q978-'Cleaned Data'!$N978</f>
        <v>4</v>
      </c>
      <c r="S978" s="19" t="str">
        <f t="shared" si="31"/>
        <v>Winter</v>
      </c>
    </row>
    <row r="979" spans="1:19" x14ac:dyDescent="0.3">
      <c r="A979" s="11" t="s">
        <v>1156</v>
      </c>
      <c r="B979" s="11" t="s">
        <v>19</v>
      </c>
      <c r="C979" s="3" t="s">
        <v>33</v>
      </c>
      <c r="D979" s="3" t="s">
        <v>57</v>
      </c>
      <c r="E979" s="3" t="s">
        <v>60</v>
      </c>
      <c r="F979" s="3" t="s">
        <v>62</v>
      </c>
      <c r="G979" s="3" t="s">
        <v>69</v>
      </c>
      <c r="H979" s="37">
        <v>1783.55</v>
      </c>
      <c r="I979" s="12">
        <v>0.1</v>
      </c>
      <c r="J979" s="37">
        <v>1605.1949999999999</v>
      </c>
      <c r="K979" s="3">
        <v>1</v>
      </c>
      <c r="L979" s="61">
        <f>Table1[[#This Row],[Final_Unit_Price]]*Table1[[#This Row],[Quantity]]</f>
        <v>1605.1949999999999</v>
      </c>
      <c r="M979" s="59">
        <v>240.78</v>
      </c>
      <c r="N979" s="42">
        <v>45507</v>
      </c>
      <c r="O979" s="20" t="str">
        <f>TEXT(Table1[[#This Row],[Order_Date]],"mmm")</f>
        <v>Aug</v>
      </c>
      <c r="P979" s="20">
        <f t="shared" si="30"/>
        <v>2024</v>
      </c>
      <c r="Q979" s="46">
        <v>45515</v>
      </c>
      <c r="R979" s="20">
        <f>'Cleaned Data'!$Q979-'Cleaned Data'!$N979</f>
        <v>8</v>
      </c>
      <c r="S979" s="19" t="str">
        <f t="shared" si="31"/>
        <v>Monsoon</v>
      </c>
    </row>
    <row r="980" spans="1:19" x14ac:dyDescent="0.3">
      <c r="A980" s="13" t="s">
        <v>1157</v>
      </c>
      <c r="B980" s="13" t="s">
        <v>20</v>
      </c>
      <c r="C980" s="5" t="s">
        <v>32</v>
      </c>
      <c r="D980" s="5" t="s">
        <v>37</v>
      </c>
      <c r="E980" s="5" t="s">
        <v>59</v>
      </c>
      <c r="F980" s="5" t="s">
        <v>64</v>
      </c>
      <c r="G980" s="5" t="s">
        <v>76</v>
      </c>
      <c r="H980" s="38">
        <v>39851.47</v>
      </c>
      <c r="I980" s="14">
        <v>0.25</v>
      </c>
      <c r="J980" s="38">
        <v>29888.602500000001</v>
      </c>
      <c r="K980" s="5">
        <v>5</v>
      </c>
      <c r="L980" s="62">
        <f>Table1[[#This Row],[Final_Unit_Price]]*Table1[[#This Row],[Quantity]]</f>
        <v>149443.01250000001</v>
      </c>
      <c r="M980" s="60">
        <v>52305.05</v>
      </c>
      <c r="N980" s="43">
        <v>45565</v>
      </c>
      <c r="O980" s="18" t="str">
        <f>TEXT(Table1[[#This Row],[Order_Date]],"mmm")</f>
        <v>Sep</v>
      </c>
      <c r="P980" s="18">
        <f t="shared" si="30"/>
        <v>2024</v>
      </c>
      <c r="Q980" s="45">
        <v>45575</v>
      </c>
      <c r="R980" s="19">
        <f>'Cleaned Data'!$Q980-'Cleaned Data'!$N980</f>
        <v>10</v>
      </c>
      <c r="S980" s="19" t="str">
        <f t="shared" si="31"/>
        <v>Monsoon</v>
      </c>
    </row>
    <row r="981" spans="1:19" x14ac:dyDescent="0.3">
      <c r="A981" s="11" t="s">
        <v>1158</v>
      </c>
      <c r="B981" s="11" t="s">
        <v>23</v>
      </c>
      <c r="C981" s="3" t="s">
        <v>35</v>
      </c>
      <c r="D981" s="3" t="s">
        <v>46</v>
      </c>
      <c r="E981" s="3" t="s">
        <v>59</v>
      </c>
      <c r="F981" s="3" t="s">
        <v>62</v>
      </c>
      <c r="G981" s="3" t="s">
        <v>66</v>
      </c>
      <c r="H981" s="37">
        <v>30259.22</v>
      </c>
      <c r="I981" s="12">
        <v>0.2</v>
      </c>
      <c r="J981" s="37">
        <v>24207.376</v>
      </c>
      <c r="K981" s="3">
        <v>5</v>
      </c>
      <c r="L981" s="61">
        <f>Table1[[#This Row],[Final_Unit_Price]]*Table1[[#This Row],[Quantity]]</f>
        <v>121036.88</v>
      </c>
      <c r="M981" s="59">
        <v>42362.91</v>
      </c>
      <c r="N981" s="42">
        <v>45431</v>
      </c>
      <c r="O981" s="20" t="str">
        <f>TEXT(Table1[[#This Row],[Order_Date]],"mmm")</f>
        <v>May</v>
      </c>
      <c r="P981" s="20">
        <f t="shared" si="30"/>
        <v>2024</v>
      </c>
      <c r="Q981" s="46">
        <v>45434</v>
      </c>
      <c r="R981" s="20">
        <f>'Cleaned Data'!$Q981-'Cleaned Data'!$N981</f>
        <v>3</v>
      </c>
      <c r="S981" s="19" t="str">
        <f t="shared" si="31"/>
        <v>Summer</v>
      </c>
    </row>
    <row r="982" spans="1:19" x14ac:dyDescent="0.3">
      <c r="A982" s="13" t="s">
        <v>1159</v>
      </c>
      <c r="B982" s="13" t="s">
        <v>21</v>
      </c>
      <c r="C982" s="5" t="s">
        <v>34</v>
      </c>
      <c r="D982" s="5" t="s">
        <v>49</v>
      </c>
      <c r="E982" s="5" t="s">
        <v>59</v>
      </c>
      <c r="F982" s="5" t="s">
        <v>61</v>
      </c>
      <c r="G982" s="5" t="s">
        <v>71</v>
      </c>
      <c r="H982" s="38">
        <v>3410.61</v>
      </c>
      <c r="I982" s="14">
        <v>0.05</v>
      </c>
      <c r="J982" s="38">
        <v>3240.0794999999998</v>
      </c>
      <c r="K982" s="5">
        <v>1</v>
      </c>
      <c r="L982" s="62">
        <f>Table1[[#This Row],[Final_Unit_Price]]*Table1[[#This Row],[Quantity]]</f>
        <v>3240.0794999999998</v>
      </c>
      <c r="M982" s="60">
        <v>1134.03</v>
      </c>
      <c r="N982" s="43">
        <v>45474</v>
      </c>
      <c r="O982" s="18" t="str">
        <f>TEXT(Table1[[#This Row],[Order_Date]],"mmm")</f>
        <v>Jul</v>
      </c>
      <c r="P982" s="18">
        <f t="shared" si="30"/>
        <v>2024</v>
      </c>
      <c r="Q982" s="45">
        <v>45478</v>
      </c>
      <c r="R982" s="19">
        <f>'Cleaned Data'!$Q982-'Cleaned Data'!$N982</f>
        <v>4</v>
      </c>
      <c r="S982" s="19" t="str">
        <f t="shared" si="31"/>
        <v>Monsoon</v>
      </c>
    </row>
    <row r="983" spans="1:19" x14ac:dyDescent="0.3">
      <c r="A983" s="11" t="s">
        <v>1160</v>
      </c>
      <c r="B983" s="11" t="s">
        <v>26</v>
      </c>
      <c r="C983" s="3" t="s">
        <v>32</v>
      </c>
      <c r="D983" s="3" t="s">
        <v>40</v>
      </c>
      <c r="E983" s="3" t="s">
        <v>59</v>
      </c>
      <c r="F983" s="3" t="s">
        <v>62</v>
      </c>
      <c r="G983" s="3" t="s">
        <v>66</v>
      </c>
      <c r="H983" s="37">
        <v>41822.32</v>
      </c>
      <c r="I983" s="12">
        <v>0</v>
      </c>
      <c r="J983" s="37">
        <v>41822.32</v>
      </c>
      <c r="K983" s="3">
        <v>4</v>
      </c>
      <c r="L983" s="61">
        <f>Table1[[#This Row],[Final_Unit_Price]]*Table1[[#This Row],[Quantity]]</f>
        <v>167289.28</v>
      </c>
      <c r="M983" s="59">
        <v>58551.25</v>
      </c>
      <c r="N983" s="42">
        <v>45541</v>
      </c>
      <c r="O983" s="20" t="str">
        <f>TEXT(Table1[[#This Row],[Order_Date]],"mmm")</f>
        <v>Sep</v>
      </c>
      <c r="P983" s="20">
        <f t="shared" si="30"/>
        <v>2024</v>
      </c>
      <c r="Q983" s="46">
        <v>45546</v>
      </c>
      <c r="R983" s="20">
        <f>'Cleaned Data'!$Q983-'Cleaned Data'!$N983</f>
        <v>5</v>
      </c>
      <c r="S983" s="19" t="str">
        <f t="shared" si="31"/>
        <v>Monsoon</v>
      </c>
    </row>
    <row r="984" spans="1:19" x14ac:dyDescent="0.3">
      <c r="A984" s="13" t="s">
        <v>1161</v>
      </c>
      <c r="B984" s="13" t="s">
        <v>21</v>
      </c>
      <c r="C984" s="5" t="s">
        <v>34</v>
      </c>
      <c r="D984" s="5" t="s">
        <v>55</v>
      </c>
      <c r="E984" s="5" t="s">
        <v>58</v>
      </c>
      <c r="F984" s="5" t="s">
        <v>61</v>
      </c>
      <c r="G984" s="5" t="s">
        <v>70</v>
      </c>
      <c r="H984" s="38">
        <v>2920.01</v>
      </c>
      <c r="I984" s="14">
        <v>0.1</v>
      </c>
      <c r="J984" s="38">
        <v>2628.009</v>
      </c>
      <c r="K984" s="5">
        <v>4</v>
      </c>
      <c r="L984" s="62">
        <f>Table1[[#This Row],[Final_Unit_Price]]*Table1[[#This Row],[Quantity]]</f>
        <v>10512.036</v>
      </c>
      <c r="M984" s="60">
        <v>2628.01</v>
      </c>
      <c r="N984" s="43">
        <v>45708</v>
      </c>
      <c r="O984" s="18" t="str">
        <f>TEXT(Table1[[#This Row],[Order_Date]],"mmm")</f>
        <v>Feb</v>
      </c>
      <c r="P984" s="18">
        <f t="shared" si="30"/>
        <v>2025</v>
      </c>
      <c r="Q984" s="45">
        <v>45715</v>
      </c>
      <c r="R984" s="19">
        <f>'Cleaned Data'!$Q984-'Cleaned Data'!$N984</f>
        <v>7</v>
      </c>
      <c r="S984" s="19" t="str">
        <f t="shared" si="31"/>
        <v>Summer</v>
      </c>
    </row>
    <row r="985" spans="1:19" x14ac:dyDescent="0.3">
      <c r="A985" s="11" t="s">
        <v>1162</v>
      </c>
      <c r="B985" s="11" t="s">
        <v>17</v>
      </c>
      <c r="C985" s="3" t="s">
        <v>32</v>
      </c>
      <c r="D985" s="3" t="s">
        <v>54</v>
      </c>
      <c r="E985" s="3" t="s">
        <v>60</v>
      </c>
      <c r="F985" s="3" t="s">
        <v>64</v>
      </c>
      <c r="G985" s="3" t="s">
        <v>76</v>
      </c>
      <c r="H985" s="37">
        <v>7536.1</v>
      </c>
      <c r="I985" s="12">
        <v>0.05</v>
      </c>
      <c r="J985" s="37">
        <v>7159.2950000000001</v>
      </c>
      <c r="K985" s="3">
        <v>2</v>
      </c>
      <c r="L985" s="61">
        <f>Table1[[#This Row],[Final_Unit_Price]]*Table1[[#This Row],[Quantity]]</f>
        <v>14318.59</v>
      </c>
      <c r="M985" s="59">
        <v>2147.79</v>
      </c>
      <c r="N985" s="42">
        <v>45711</v>
      </c>
      <c r="O985" s="20" t="str">
        <f>TEXT(Table1[[#This Row],[Order_Date]],"mmm")</f>
        <v>Feb</v>
      </c>
      <c r="P985" s="20">
        <f t="shared" si="30"/>
        <v>2025</v>
      </c>
      <c r="Q985" s="46">
        <v>45718</v>
      </c>
      <c r="R985" s="20">
        <f>'Cleaned Data'!$Q985-'Cleaned Data'!$N985</f>
        <v>7</v>
      </c>
      <c r="S985" s="19" t="str">
        <f t="shared" si="31"/>
        <v>Summer</v>
      </c>
    </row>
    <row r="986" spans="1:19" x14ac:dyDescent="0.3">
      <c r="A986" s="13" t="s">
        <v>1163</v>
      </c>
      <c r="B986" s="13" t="s">
        <v>27</v>
      </c>
      <c r="C986" s="5" t="s">
        <v>35</v>
      </c>
      <c r="D986" s="5" t="s">
        <v>44</v>
      </c>
      <c r="E986" s="5" t="s">
        <v>60</v>
      </c>
      <c r="F986" s="5" t="s">
        <v>63</v>
      </c>
      <c r="G986" s="5" t="s">
        <v>68</v>
      </c>
      <c r="H986" s="38">
        <v>6374.54</v>
      </c>
      <c r="I986" s="14">
        <v>0.05</v>
      </c>
      <c r="J986" s="38">
        <v>6055.8130000000001</v>
      </c>
      <c r="K986" s="5">
        <v>1</v>
      </c>
      <c r="L986" s="62">
        <f>Table1[[#This Row],[Final_Unit_Price]]*Table1[[#This Row],[Quantity]]</f>
        <v>6055.8130000000001</v>
      </c>
      <c r="M986" s="60">
        <v>908.37</v>
      </c>
      <c r="N986" s="43">
        <v>45696</v>
      </c>
      <c r="O986" s="18" t="str">
        <f>TEXT(Table1[[#This Row],[Order_Date]],"mmm")</f>
        <v>Feb</v>
      </c>
      <c r="P986" s="18">
        <f t="shared" si="30"/>
        <v>2025</v>
      </c>
      <c r="Q986" s="45">
        <v>45702</v>
      </c>
      <c r="R986" s="19">
        <f>'Cleaned Data'!$Q986-'Cleaned Data'!$N986</f>
        <v>6</v>
      </c>
      <c r="S986" s="19" t="str">
        <f t="shared" si="31"/>
        <v>Summer</v>
      </c>
    </row>
    <row r="987" spans="1:19" x14ac:dyDescent="0.3">
      <c r="A987" s="11" t="s">
        <v>1164</v>
      </c>
      <c r="B987" s="11" t="s">
        <v>21</v>
      </c>
      <c r="C987" s="3" t="s">
        <v>34</v>
      </c>
      <c r="D987" s="3" t="s">
        <v>51</v>
      </c>
      <c r="E987" s="3" t="s">
        <v>59</v>
      </c>
      <c r="F987" s="3" t="s">
        <v>63</v>
      </c>
      <c r="G987" s="3" t="s">
        <v>75</v>
      </c>
      <c r="H987" s="37">
        <v>3349.35</v>
      </c>
      <c r="I987" s="12">
        <v>0</v>
      </c>
      <c r="J987" s="37">
        <v>3349.35</v>
      </c>
      <c r="K987" s="3">
        <v>4</v>
      </c>
      <c r="L987" s="61">
        <f>Table1[[#This Row],[Final_Unit_Price]]*Table1[[#This Row],[Quantity]]</f>
        <v>13397.4</v>
      </c>
      <c r="M987" s="59">
        <v>4689.09</v>
      </c>
      <c r="N987" s="42">
        <v>45768</v>
      </c>
      <c r="O987" s="20" t="str">
        <f>TEXT(Table1[[#This Row],[Order_Date]],"mmm")</f>
        <v>Apr</v>
      </c>
      <c r="P987" s="20">
        <f t="shared" si="30"/>
        <v>2025</v>
      </c>
      <c r="Q987" s="46">
        <v>45771</v>
      </c>
      <c r="R987" s="20">
        <f>'Cleaned Data'!$Q987-'Cleaned Data'!$N987</f>
        <v>3</v>
      </c>
      <c r="S987" s="19" t="str">
        <f t="shared" si="31"/>
        <v>Summer</v>
      </c>
    </row>
    <row r="988" spans="1:19" x14ac:dyDescent="0.3">
      <c r="A988" s="13" t="s">
        <v>1165</v>
      </c>
      <c r="B988" s="13" t="s">
        <v>22</v>
      </c>
      <c r="C988" s="5" t="s">
        <v>31</v>
      </c>
      <c r="D988" s="5" t="s">
        <v>36</v>
      </c>
      <c r="E988" s="5" t="s">
        <v>58</v>
      </c>
      <c r="F988" s="5" t="s">
        <v>61</v>
      </c>
      <c r="G988" s="5" t="s">
        <v>70</v>
      </c>
      <c r="H988" s="38">
        <v>3557.57</v>
      </c>
      <c r="I988" s="14">
        <v>0.3</v>
      </c>
      <c r="J988" s="38">
        <v>2490.299</v>
      </c>
      <c r="K988" s="5">
        <v>2</v>
      </c>
      <c r="L988" s="62">
        <f>Table1[[#This Row],[Final_Unit_Price]]*Table1[[#This Row],[Quantity]]</f>
        <v>4980.598</v>
      </c>
      <c r="M988" s="60">
        <v>1245.1500000000001</v>
      </c>
      <c r="N988" s="43">
        <v>45334</v>
      </c>
      <c r="O988" s="18" t="str">
        <f>TEXT(Table1[[#This Row],[Order_Date]],"mmm")</f>
        <v>Feb</v>
      </c>
      <c r="P988" s="18">
        <f t="shared" si="30"/>
        <v>2024</v>
      </c>
      <c r="Q988" s="45">
        <v>45336</v>
      </c>
      <c r="R988" s="19">
        <f>'Cleaned Data'!$Q988-'Cleaned Data'!$N988</f>
        <v>2</v>
      </c>
      <c r="S988" s="19" t="str">
        <f t="shared" si="31"/>
        <v>Summer</v>
      </c>
    </row>
    <row r="989" spans="1:19" x14ac:dyDescent="0.3">
      <c r="A989" s="11" t="s">
        <v>1166</v>
      </c>
      <c r="B989" s="11" t="s">
        <v>17</v>
      </c>
      <c r="C989" s="3" t="s">
        <v>32</v>
      </c>
      <c r="D989" s="3" t="s">
        <v>43</v>
      </c>
      <c r="E989" s="3" t="s">
        <v>58</v>
      </c>
      <c r="F989" s="3" t="s">
        <v>64</v>
      </c>
      <c r="G989" s="3" t="s">
        <v>76</v>
      </c>
      <c r="H989" s="37">
        <v>8770.8700000000008</v>
      </c>
      <c r="I989" s="12">
        <v>0.05</v>
      </c>
      <c r="J989" s="37">
        <v>8332.326500000001</v>
      </c>
      <c r="K989" s="3">
        <v>2</v>
      </c>
      <c r="L989" s="61">
        <f>Table1[[#This Row],[Final_Unit_Price]]*Table1[[#This Row],[Quantity]]</f>
        <v>16664.653000000002</v>
      </c>
      <c r="M989" s="59">
        <v>4166.16</v>
      </c>
      <c r="N989" s="42">
        <v>45373</v>
      </c>
      <c r="O989" s="20" t="str">
        <f>TEXT(Table1[[#This Row],[Order_Date]],"mmm")</f>
        <v>Mar</v>
      </c>
      <c r="P989" s="20">
        <f t="shared" si="30"/>
        <v>2024</v>
      </c>
      <c r="Q989" s="46">
        <v>45382</v>
      </c>
      <c r="R989" s="20">
        <f>'Cleaned Data'!$Q989-'Cleaned Data'!$N989</f>
        <v>9</v>
      </c>
      <c r="S989" s="19" t="str">
        <f t="shared" si="31"/>
        <v>Summer</v>
      </c>
    </row>
    <row r="990" spans="1:19" x14ac:dyDescent="0.3">
      <c r="A990" s="13" t="s">
        <v>1167</v>
      </c>
      <c r="B990" s="13" t="s">
        <v>16</v>
      </c>
      <c r="C990" s="5" t="s">
        <v>31</v>
      </c>
      <c r="D990" s="5" t="s">
        <v>42</v>
      </c>
      <c r="E990" s="5" t="s">
        <v>60</v>
      </c>
      <c r="F990" s="5" t="s">
        <v>63</v>
      </c>
      <c r="G990" s="5" t="s">
        <v>73</v>
      </c>
      <c r="H990" s="38">
        <v>2015.46</v>
      </c>
      <c r="I990" s="14">
        <v>0</v>
      </c>
      <c r="J990" s="38">
        <v>2015.46</v>
      </c>
      <c r="K990" s="5">
        <v>9</v>
      </c>
      <c r="L990" s="62">
        <f>Table1[[#This Row],[Final_Unit_Price]]*Table1[[#This Row],[Quantity]]</f>
        <v>18139.14</v>
      </c>
      <c r="M990" s="60">
        <v>906.96</v>
      </c>
      <c r="N990" s="43">
        <v>45491</v>
      </c>
      <c r="O990" s="18" t="str">
        <f>TEXT(Table1[[#This Row],[Order_Date]],"mmm")</f>
        <v>Jul</v>
      </c>
      <c r="P990" s="18">
        <f t="shared" si="30"/>
        <v>2024</v>
      </c>
      <c r="Q990" s="45">
        <v>45493</v>
      </c>
      <c r="R990" s="19">
        <f>'Cleaned Data'!$Q990-'Cleaned Data'!$N990</f>
        <v>2</v>
      </c>
      <c r="S990" s="19" t="str">
        <f t="shared" si="31"/>
        <v>Monsoon</v>
      </c>
    </row>
    <row r="991" spans="1:19" x14ac:dyDescent="0.3">
      <c r="A991" s="11" t="s">
        <v>1168</v>
      </c>
      <c r="B991" s="11" t="s">
        <v>26</v>
      </c>
      <c r="C991" s="3" t="s">
        <v>32</v>
      </c>
      <c r="D991" s="3" t="s">
        <v>54</v>
      </c>
      <c r="E991" s="3" t="s">
        <v>60</v>
      </c>
      <c r="F991" s="3" t="s">
        <v>62</v>
      </c>
      <c r="G991" s="3" t="s">
        <v>69</v>
      </c>
      <c r="H991" s="37">
        <v>30351.08</v>
      </c>
      <c r="I991" s="12">
        <v>0.2</v>
      </c>
      <c r="J991" s="37">
        <v>24280.864000000001</v>
      </c>
      <c r="K991" s="3">
        <v>4</v>
      </c>
      <c r="L991" s="61">
        <f>Table1[[#This Row],[Final_Unit_Price]]*Table1[[#This Row],[Quantity]]</f>
        <v>97123.456000000006</v>
      </c>
      <c r="M991" s="59">
        <v>14568.52</v>
      </c>
      <c r="N991" s="42">
        <v>45443</v>
      </c>
      <c r="O991" s="20" t="str">
        <f>TEXT(Table1[[#This Row],[Order_Date]],"mmm")</f>
        <v>May</v>
      </c>
      <c r="P991" s="20">
        <f t="shared" si="30"/>
        <v>2024</v>
      </c>
      <c r="Q991" s="46">
        <v>45452</v>
      </c>
      <c r="R991" s="20">
        <f>'Cleaned Data'!$Q991-'Cleaned Data'!$N991</f>
        <v>9</v>
      </c>
      <c r="S991" s="19" t="str">
        <f t="shared" si="31"/>
        <v>Summer</v>
      </c>
    </row>
    <row r="992" spans="1:19" x14ac:dyDescent="0.3">
      <c r="A992" s="13" t="s">
        <v>1169</v>
      </c>
      <c r="B992" s="13" t="s">
        <v>24</v>
      </c>
      <c r="C992" s="5" t="s">
        <v>32</v>
      </c>
      <c r="D992" s="5" t="s">
        <v>54</v>
      </c>
      <c r="E992" s="5" t="s">
        <v>60</v>
      </c>
      <c r="F992" s="5" t="s">
        <v>62</v>
      </c>
      <c r="G992" s="5" t="s">
        <v>67</v>
      </c>
      <c r="H992" s="38">
        <v>21100.94</v>
      </c>
      <c r="I992" s="14">
        <v>0</v>
      </c>
      <c r="J992" s="38">
        <v>21100.94</v>
      </c>
      <c r="K992" s="5">
        <v>3</v>
      </c>
      <c r="L992" s="62">
        <f>Table1[[#This Row],[Final_Unit_Price]]*Table1[[#This Row],[Quantity]]</f>
        <v>63302.819999999992</v>
      </c>
      <c r="M992" s="60">
        <v>9495.42</v>
      </c>
      <c r="N992" s="43">
        <v>45737</v>
      </c>
      <c r="O992" s="18" t="str">
        <f>TEXT(Table1[[#This Row],[Order_Date]],"mmm")</f>
        <v>Mar</v>
      </c>
      <c r="P992" s="18">
        <f t="shared" si="30"/>
        <v>2025</v>
      </c>
      <c r="Q992" s="45">
        <v>45743</v>
      </c>
      <c r="R992" s="19">
        <f>'Cleaned Data'!$Q992-'Cleaned Data'!$N992</f>
        <v>6</v>
      </c>
      <c r="S992" s="19" t="str">
        <f t="shared" si="31"/>
        <v>Summer</v>
      </c>
    </row>
    <row r="993" spans="1:19" x14ac:dyDescent="0.3">
      <c r="A993" s="11" t="s">
        <v>1170</v>
      </c>
      <c r="B993" s="11" t="s">
        <v>25</v>
      </c>
      <c r="C993" s="3" t="s">
        <v>34</v>
      </c>
      <c r="D993" s="3" t="s">
        <v>41</v>
      </c>
      <c r="E993" s="3" t="s">
        <v>60</v>
      </c>
      <c r="F993" s="3" t="s">
        <v>64</v>
      </c>
      <c r="G993" s="3" t="s">
        <v>74</v>
      </c>
      <c r="H993" s="37">
        <v>736.59</v>
      </c>
      <c r="I993" s="12">
        <v>0.15</v>
      </c>
      <c r="J993" s="37">
        <v>626.10149999999999</v>
      </c>
      <c r="K993" s="3">
        <v>7</v>
      </c>
      <c r="L993" s="61">
        <f>Table1[[#This Row],[Final_Unit_Price]]*Table1[[#This Row],[Quantity]]</f>
        <v>4382.7105000000001</v>
      </c>
      <c r="M993" s="59">
        <v>93.92</v>
      </c>
      <c r="N993" s="42">
        <v>45679</v>
      </c>
      <c r="O993" s="20" t="str">
        <f>TEXT(Table1[[#This Row],[Order_Date]],"mmm")</f>
        <v>Jan</v>
      </c>
      <c r="P993" s="20">
        <f t="shared" si="30"/>
        <v>2025</v>
      </c>
      <c r="Q993" s="46">
        <v>45682</v>
      </c>
      <c r="R993" s="20">
        <f>'Cleaned Data'!$Q993-'Cleaned Data'!$N993</f>
        <v>3</v>
      </c>
      <c r="S993" s="19" t="str">
        <f t="shared" si="31"/>
        <v>Winter</v>
      </c>
    </row>
    <row r="994" spans="1:19" x14ac:dyDescent="0.3">
      <c r="A994" s="13" t="s">
        <v>1171</v>
      </c>
      <c r="B994" s="13" t="s">
        <v>28</v>
      </c>
      <c r="C994" s="5" t="s">
        <v>34</v>
      </c>
      <c r="D994" s="5" t="s">
        <v>55</v>
      </c>
      <c r="E994" s="5" t="s">
        <v>58</v>
      </c>
      <c r="F994" s="5" t="s">
        <v>62</v>
      </c>
      <c r="G994" s="5" t="s">
        <v>67</v>
      </c>
      <c r="H994" s="38">
        <v>1594.65</v>
      </c>
      <c r="I994" s="14">
        <v>0</v>
      </c>
      <c r="J994" s="38">
        <v>1594.65</v>
      </c>
      <c r="K994" s="5">
        <v>4</v>
      </c>
      <c r="L994" s="62">
        <f>Table1[[#This Row],[Final_Unit_Price]]*Table1[[#This Row],[Quantity]]</f>
        <v>6378.6</v>
      </c>
      <c r="M994" s="60">
        <v>1594.65</v>
      </c>
      <c r="N994" s="43">
        <v>45812</v>
      </c>
      <c r="O994" s="18" t="str">
        <f>TEXT(Table1[[#This Row],[Order_Date]],"mmm")</f>
        <v>Jun</v>
      </c>
      <c r="P994" s="18">
        <f t="shared" si="30"/>
        <v>2025</v>
      </c>
      <c r="Q994" s="45">
        <v>45822</v>
      </c>
      <c r="R994" s="19">
        <f>'Cleaned Data'!$Q994-'Cleaned Data'!$N994</f>
        <v>10</v>
      </c>
      <c r="S994" s="19" t="str">
        <f t="shared" si="31"/>
        <v>Monsoon</v>
      </c>
    </row>
    <row r="995" spans="1:19" x14ac:dyDescent="0.3">
      <c r="A995" s="11" t="s">
        <v>1172</v>
      </c>
      <c r="B995" s="11" t="s">
        <v>23</v>
      </c>
      <c r="C995" s="3" t="s">
        <v>35</v>
      </c>
      <c r="D995" s="3" t="s">
        <v>46</v>
      </c>
      <c r="E995" s="3" t="s">
        <v>59</v>
      </c>
      <c r="F995" s="3" t="s">
        <v>63</v>
      </c>
      <c r="G995" s="3" t="s">
        <v>73</v>
      </c>
      <c r="H995" s="37">
        <v>27894.82</v>
      </c>
      <c r="I995" s="12">
        <v>0.2</v>
      </c>
      <c r="J995" s="37">
        <v>22315.856</v>
      </c>
      <c r="K995" s="3">
        <v>4</v>
      </c>
      <c r="L995" s="61">
        <f>Table1[[#This Row],[Final_Unit_Price]]*Table1[[#This Row],[Quantity]]</f>
        <v>89263.423999999999</v>
      </c>
      <c r="M995" s="59">
        <v>31242.2</v>
      </c>
      <c r="N995" s="42">
        <v>45796</v>
      </c>
      <c r="O995" s="20" t="str">
        <f>TEXT(Table1[[#This Row],[Order_Date]],"mmm")</f>
        <v>May</v>
      </c>
      <c r="P995" s="20">
        <f t="shared" si="30"/>
        <v>2025</v>
      </c>
      <c r="Q995" s="46">
        <v>45805</v>
      </c>
      <c r="R995" s="20">
        <f>'Cleaned Data'!$Q995-'Cleaned Data'!$N995</f>
        <v>9</v>
      </c>
      <c r="S995" s="19" t="str">
        <f t="shared" si="31"/>
        <v>Summer</v>
      </c>
    </row>
    <row r="996" spans="1:19" x14ac:dyDescent="0.3">
      <c r="A996" s="13" t="s">
        <v>1173</v>
      </c>
      <c r="B996" s="13" t="s">
        <v>24</v>
      </c>
      <c r="C996" s="5" t="s">
        <v>32</v>
      </c>
      <c r="D996" s="5" t="s">
        <v>43</v>
      </c>
      <c r="E996" s="5" t="s">
        <v>58</v>
      </c>
      <c r="F996" s="5" t="s">
        <v>62</v>
      </c>
      <c r="G996" s="5" t="s">
        <v>66</v>
      </c>
      <c r="H996" s="38">
        <v>25393.79</v>
      </c>
      <c r="I996" s="14">
        <v>0.3</v>
      </c>
      <c r="J996" s="38">
        <v>17775.652999999998</v>
      </c>
      <c r="K996" s="5">
        <v>4</v>
      </c>
      <c r="L996" s="62">
        <f>Table1[[#This Row],[Final_Unit_Price]]*Table1[[#This Row],[Quantity]]</f>
        <v>71102.611999999994</v>
      </c>
      <c r="M996" s="60">
        <v>17775.650000000001</v>
      </c>
      <c r="N996" s="43">
        <v>45770</v>
      </c>
      <c r="O996" s="18" t="str">
        <f>TEXT(Table1[[#This Row],[Order_Date]],"mmm")</f>
        <v>Apr</v>
      </c>
      <c r="P996" s="18">
        <f t="shared" si="30"/>
        <v>2025</v>
      </c>
      <c r="Q996" s="45">
        <v>45780</v>
      </c>
      <c r="R996" s="19">
        <f>'Cleaned Data'!$Q996-'Cleaned Data'!$N996</f>
        <v>10</v>
      </c>
      <c r="S996" s="19" t="str">
        <f t="shared" si="31"/>
        <v>Summer</v>
      </c>
    </row>
    <row r="997" spans="1:19" x14ac:dyDescent="0.3">
      <c r="A997" s="11" t="s">
        <v>1174</v>
      </c>
      <c r="B997" s="11" t="s">
        <v>17</v>
      </c>
      <c r="C997" s="3" t="s">
        <v>32</v>
      </c>
      <c r="D997" s="3" t="s">
        <v>37</v>
      </c>
      <c r="E997" s="3" t="s">
        <v>59</v>
      </c>
      <c r="F997" s="3" t="s">
        <v>63</v>
      </c>
      <c r="G997" s="3" t="s">
        <v>75</v>
      </c>
      <c r="H997" s="37">
        <v>9232.02</v>
      </c>
      <c r="I997" s="12">
        <v>0.25</v>
      </c>
      <c r="J997" s="37">
        <v>6924.0150000000003</v>
      </c>
      <c r="K997" s="3">
        <v>2</v>
      </c>
      <c r="L997" s="61">
        <f>Table1[[#This Row],[Final_Unit_Price]]*Table1[[#This Row],[Quantity]]</f>
        <v>13848.03</v>
      </c>
      <c r="M997" s="59">
        <v>4846.8100000000004</v>
      </c>
      <c r="N997" s="42">
        <v>45417</v>
      </c>
      <c r="O997" s="20" t="str">
        <f>TEXT(Table1[[#This Row],[Order_Date]],"mmm")</f>
        <v>May</v>
      </c>
      <c r="P997" s="20">
        <f t="shared" si="30"/>
        <v>2024</v>
      </c>
      <c r="Q997" s="46">
        <v>45420</v>
      </c>
      <c r="R997" s="20">
        <f>'Cleaned Data'!$Q997-'Cleaned Data'!$N997</f>
        <v>3</v>
      </c>
      <c r="S997" s="19" t="str">
        <f t="shared" si="31"/>
        <v>Summer</v>
      </c>
    </row>
    <row r="998" spans="1:19" x14ac:dyDescent="0.3">
      <c r="A998" s="13" t="s">
        <v>1175</v>
      </c>
      <c r="B998" s="13" t="s">
        <v>21</v>
      </c>
      <c r="C998" s="5" t="s">
        <v>34</v>
      </c>
      <c r="D998" s="5" t="s">
        <v>41</v>
      </c>
      <c r="E998" s="5" t="s">
        <v>60</v>
      </c>
      <c r="F998" s="5" t="s">
        <v>64</v>
      </c>
      <c r="G998" s="5" t="s">
        <v>72</v>
      </c>
      <c r="H998" s="38">
        <v>2720.36</v>
      </c>
      <c r="I998" s="14">
        <v>0.15</v>
      </c>
      <c r="J998" s="38">
        <v>2312.306</v>
      </c>
      <c r="K998" s="5">
        <v>4</v>
      </c>
      <c r="L998" s="62">
        <f>Table1[[#This Row],[Final_Unit_Price]]*Table1[[#This Row],[Quantity]]</f>
        <v>9249.2240000000002</v>
      </c>
      <c r="M998" s="60">
        <v>1387.38</v>
      </c>
      <c r="N998" s="43">
        <v>45535</v>
      </c>
      <c r="O998" s="18" t="str">
        <f>TEXT(Table1[[#This Row],[Order_Date]],"mmm")</f>
        <v>Aug</v>
      </c>
      <c r="P998" s="18">
        <f t="shared" si="30"/>
        <v>2024</v>
      </c>
      <c r="Q998" s="45">
        <v>45545</v>
      </c>
      <c r="R998" s="19">
        <f>'Cleaned Data'!$Q998-'Cleaned Data'!$N998</f>
        <v>10</v>
      </c>
      <c r="S998" s="19" t="str">
        <f t="shared" si="31"/>
        <v>Monsoon</v>
      </c>
    </row>
    <row r="999" spans="1:19" x14ac:dyDescent="0.3">
      <c r="A999" s="11" t="s">
        <v>1176</v>
      </c>
      <c r="B999" s="11" t="s">
        <v>20</v>
      </c>
      <c r="C999" s="3" t="s">
        <v>32</v>
      </c>
      <c r="D999" s="3" t="s">
        <v>37</v>
      </c>
      <c r="E999" s="3" t="s">
        <v>59</v>
      </c>
      <c r="F999" s="3" t="s">
        <v>61</v>
      </c>
      <c r="G999" s="3" t="s">
        <v>65</v>
      </c>
      <c r="H999" s="37">
        <v>33749.379999999997</v>
      </c>
      <c r="I999" s="12">
        <v>0.3</v>
      </c>
      <c r="J999" s="37">
        <v>23624.565999999999</v>
      </c>
      <c r="K999" s="3">
        <v>5</v>
      </c>
      <c r="L999" s="61">
        <f>Table1[[#This Row],[Final_Unit_Price]]*Table1[[#This Row],[Quantity]]</f>
        <v>118122.82999999999</v>
      </c>
      <c r="M999" s="59">
        <v>41342.99</v>
      </c>
      <c r="N999" s="42">
        <v>45331</v>
      </c>
      <c r="O999" s="20" t="str">
        <f>TEXT(Table1[[#This Row],[Order_Date]],"mmm")</f>
        <v>Feb</v>
      </c>
      <c r="P999" s="20">
        <f t="shared" si="30"/>
        <v>2024</v>
      </c>
      <c r="Q999" s="46">
        <v>45336</v>
      </c>
      <c r="R999" s="20">
        <f>'Cleaned Data'!$Q999-'Cleaned Data'!$N999</f>
        <v>5</v>
      </c>
      <c r="S999" s="19" t="str">
        <f t="shared" si="31"/>
        <v>Summer</v>
      </c>
    </row>
    <row r="1000" spans="1:19" x14ac:dyDescent="0.3">
      <c r="A1000" s="13" t="s">
        <v>1177</v>
      </c>
      <c r="B1000" s="13" t="s">
        <v>18</v>
      </c>
      <c r="C1000" s="5" t="s">
        <v>33</v>
      </c>
      <c r="D1000" s="5" t="s">
        <v>56</v>
      </c>
      <c r="E1000" s="5" t="s">
        <v>60</v>
      </c>
      <c r="F1000" s="5" t="s">
        <v>61</v>
      </c>
      <c r="G1000" s="5" t="s">
        <v>65</v>
      </c>
      <c r="H1000" s="38">
        <v>41525.949999999997</v>
      </c>
      <c r="I1000" s="14">
        <v>0.3</v>
      </c>
      <c r="J1000" s="38">
        <v>29068.165000000001</v>
      </c>
      <c r="K1000" s="5">
        <v>5</v>
      </c>
      <c r="L1000" s="62">
        <f>Table1[[#This Row],[Final_Unit_Price]]*Table1[[#This Row],[Quantity]]</f>
        <v>145340.82500000001</v>
      </c>
      <c r="M1000" s="60">
        <v>21801.119999999999</v>
      </c>
      <c r="N1000" s="43">
        <v>45668</v>
      </c>
      <c r="O1000" s="18" t="str">
        <f>TEXT(Table1[[#This Row],[Order_Date]],"mmm")</f>
        <v>Jan</v>
      </c>
      <c r="P1000" s="18">
        <f t="shared" si="30"/>
        <v>2025</v>
      </c>
      <c r="Q1000" s="45">
        <v>45677</v>
      </c>
      <c r="R1000" s="19">
        <f>'Cleaned Data'!$Q1000-'Cleaned Data'!$N1000</f>
        <v>9</v>
      </c>
      <c r="S1000" s="19" t="str">
        <f t="shared" si="31"/>
        <v>Winter</v>
      </c>
    </row>
    <row r="1001" spans="1:19" x14ac:dyDescent="0.3">
      <c r="A1001" s="11" t="s">
        <v>1178</v>
      </c>
      <c r="B1001" s="11" t="s">
        <v>20</v>
      </c>
      <c r="C1001" s="3" t="s">
        <v>32</v>
      </c>
      <c r="D1001" s="3" t="s">
        <v>37</v>
      </c>
      <c r="E1001" s="3" t="s">
        <v>59</v>
      </c>
      <c r="F1001" s="3" t="s">
        <v>61</v>
      </c>
      <c r="G1001" s="3" t="s">
        <v>65</v>
      </c>
      <c r="H1001" s="37">
        <v>34643.99</v>
      </c>
      <c r="I1001" s="12">
        <v>0.1</v>
      </c>
      <c r="J1001" s="37">
        <v>31179.591</v>
      </c>
      <c r="K1001" s="3">
        <v>2</v>
      </c>
      <c r="L1001" s="61">
        <f>Table1[[#This Row],[Final_Unit_Price]]*Table1[[#This Row],[Quantity]]</f>
        <v>62359.182000000001</v>
      </c>
      <c r="M1001" s="59">
        <v>21825.71</v>
      </c>
      <c r="N1001" s="42">
        <v>45307</v>
      </c>
      <c r="O1001" s="20" t="str">
        <f>TEXT(Table1[[#This Row],[Order_Date]],"mmm")</f>
        <v>Jan</v>
      </c>
      <c r="P1001" s="20">
        <f t="shared" si="30"/>
        <v>2024</v>
      </c>
      <c r="Q1001" s="46">
        <v>45315</v>
      </c>
      <c r="R1001" s="20">
        <f>'Cleaned Data'!$Q1001-'Cleaned Data'!$N1001</f>
        <v>8</v>
      </c>
      <c r="S1001" s="19" t="str">
        <f t="shared" si="31"/>
        <v>Winter</v>
      </c>
    </row>
    <row r="1002" spans="1:19" x14ac:dyDescent="0.3">
      <c r="A1002" s="13" t="s">
        <v>1179</v>
      </c>
      <c r="B1002" s="13" t="s">
        <v>24</v>
      </c>
      <c r="C1002" s="5" t="s">
        <v>32</v>
      </c>
      <c r="D1002" s="5" t="s">
        <v>43</v>
      </c>
      <c r="E1002" s="5" t="s">
        <v>58</v>
      </c>
      <c r="F1002" s="5" t="s">
        <v>61</v>
      </c>
      <c r="G1002" s="5" t="s">
        <v>65</v>
      </c>
      <c r="H1002" s="38">
        <v>24443.85</v>
      </c>
      <c r="I1002" s="14">
        <v>0.2</v>
      </c>
      <c r="J1002" s="38">
        <v>19555.080000000002</v>
      </c>
      <c r="K1002" s="5">
        <v>5</v>
      </c>
      <c r="L1002" s="62">
        <f>Table1[[#This Row],[Final_Unit_Price]]*Table1[[#This Row],[Quantity]]</f>
        <v>97775.400000000009</v>
      </c>
      <c r="M1002" s="60">
        <v>24443.85</v>
      </c>
      <c r="N1002" s="43">
        <v>45483</v>
      </c>
      <c r="O1002" s="18" t="str">
        <f>TEXT(Table1[[#This Row],[Order_Date]],"mmm")</f>
        <v>Jul</v>
      </c>
      <c r="P1002" s="18">
        <f t="shared" si="30"/>
        <v>2024</v>
      </c>
      <c r="Q1002" s="45">
        <v>45489</v>
      </c>
      <c r="R1002" s="19">
        <f>'Cleaned Data'!$Q1002-'Cleaned Data'!$N1002</f>
        <v>6</v>
      </c>
      <c r="S1002" s="19" t="str">
        <f t="shared" si="31"/>
        <v>Monsoon</v>
      </c>
    </row>
    <row r="1003" spans="1:19" x14ac:dyDescent="0.3">
      <c r="A1003" s="11" t="s">
        <v>1180</v>
      </c>
      <c r="B1003" s="11" t="s">
        <v>27</v>
      </c>
      <c r="C1003" s="3" t="s">
        <v>35</v>
      </c>
      <c r="D1003" s="3" t="s">
        <v>48</v>
      </c>
      <c r="E1003" s="3" t="s">
        <v>58</v>
      </c>
      <c r="F1003" s="3" t="s">
        <v>61</v>
      </c>
      <c r="G1003" s="3" t="s">
        <v>65</v>
      </c>
      <c r="H1003" s="37">
        <v>8044.59</v>
      </c>
      <c r="I1003" s="12">
        <v>0.2</v>
      </c>
      <c r="J1003" s="37">
        <v>6435.6719999999996</v>
      </c>
      <c r="K1003" s="3">
        <v>2</v>
      </c>
      <c r="L1003" s="61">
        <f>Table1[[#This Row],[Final_Unit_Price]]*Table1[[#This Row],[Quantity]]</f>
        <v>12871.343999999999</v>
      </c>
      <c r="M1003" s="59">
        <v>3217.84</v>
      </c>
      <c r="N1003" s="42">
        <v>45681</v>
      </c>
      <c r="O1003" s="20" t="str">
        <f>TEXT(Table1[[#This Row],[Order_Date]],"mmm")</f>
        <v>Jan</v>
      </c>
      <c r="P1003" s="20">
        <f t="shared" si="30"/>
        <v>2025</v>
      </c>
      <c r="Q1003" s="46">
        <v>45688</v>
      </c>
      <c r="R1003" s="20">
        <f>'Cleaned Data'!$Q1003-'Cleaned Data'!$N1003</f>
        <v>7</v>
      </c>
      <c r="S1003" s="19" t="str">
        <f t="shared" si="31"/>
        <v>Winter</v>
      </c>
    </row>
    <row r="1004" spans="1:19" x14ac:dyDescent="0.3">
      <c r="A1004" s="13" t="s">
        <v>1181</v>
      </c>
      <c r="B1004" s="13" t="s">
        <v>22</v>
      </c>
      <c r="C1004" s="5" t="s">
        <v>31</v>
      </c>
      <c r="D1004" s="5" t="s">
        <v>36</v>
      </c>
      <c r="E1004" s="5" t="s">
        <v>58</v>
      </c>
      <c r="F1004" s="5" t="s">
        <v>63</v>
      </c>
      <c r="G1004" s="5" t="s">
        <v>73</v>
      </c>
      <c r="H1004" s="38">
        <v>3246.48</v>
      </c>
      <c r="I1004" s="14">
        <v>0.25</v>
      </c>
      <c r="J1004" s="38">
        <v>2434.86</v>
      </c>
      <c r="K1004" s="5">
        <v>3</v>
      </c>
      <c r="L1004" s="62">
        <f>Table1[[#This Row],[Final_Unit_Price]]*Table1[[#This Row],[Quantity]]</f>
        <v>7304.58</v>
      </c>
      <c r="M1004" s="60">
        <v>1826.14</v>
      </c>
      <c r="N1004" s="43">
        <v>45554</v>
      </c>
      <c r="O1004" s="18" t="str">
        <f>TEXT(Table1[[#This Row],[Order_Date]],"mmm")</f>
        <v>Sep</v>
      </c>
      <c r="P1004" s="18">
        <f t="shared" si="30"/>
        <v>2024</v>
      </c>
      <c r="Q1004" s="45">
        <v>45557</v>
      </c>
      <c r="R1004" s="19">
        <f>'Cleaned Data'!$Q1004-'Cleaned Data'!$N1004</f>
        <v>3</v>
      </c>
      <c r="S1004" s="19" t="str">
        <f t="shared" si="31"/>
        <v>Monsoon</v>
      </c>
    </row>
    <row r="1005" spans="1:19" x14ac:dyDescent="0.3">
      <c r="A1005" s="11" t="s">
        <v>1182</v>
      </c>
      <c r="B1005" s="11" t="s">
        <v>26</v>
      </c>
      <c r="C1005" s="3" t="s">
        <v>32</v>
      </c>
      <c r="D1005" s="3" t="s">
        <v>43</v>
      </c>
      <c r="E1005" s="3" t="s">
        <v>58</v>
      </c>
      <c r="F1005" s="3" t="s">
        <v>61</v>
      </c>
      <c r="G1005" s="3" t="s">
        <v>70</v>
      </c>
      <c r="H1005" s="37">
        <v>35377.33</v>
      </c>
      <c r="I1005" s="12">
        <v>0.25</v>
      </c>
      <c r="J1005" s="37">
        <v>26532.997500000001</v>
      </c>
      <c r="K1005" s="3">
        <v>2</v>
      </c>
      <c r="L1005" s="61">
        <f>Table1[[#This Row],[Final_Unit_Price]]*Table1[[#This Row],[Quantity]]</f>
        <v>53065.995000000003</v>
      </c>
      <c r="M1005" s="59">
        <v>13266.5</v>
      </c>
      <c r="N1005" s="42">
        <v>45709</v>
      </c>
      <c r="O1005" s="20" t="str">
        <f>TEXT(Table1[[#This Row],[Order_Date]],"mmm")</f>
        <v>Feb</v>
      </c>
      <c r="P1005" s="20">
        <f t="shared" si="30"/>
        <v>2025</v>
      </c>
      <c r="Q1005" s="46">
        <v>45718</v>
      </c>
      <c r="R1005" s="20">
        <f>'Cleaned Data'!$Q1005-'Cleaned Data'!$N1005</f>
        <v>9</v>
      </c>
      <c r="S1005" s="19" t="str">
        <f t="shared" si="31"/>
        <v>Summer</v>
      </c>
    </row>
    <row r="1006" spans="1:19" x14ac:dyDescent="0.3">
      <c r="A1006" s="13" t="s">
        <v>1183</v>
      </c>
      <c r="B1006" s="13" t="s">
        <v>24</v>
      </c>
      <c r="C1006" s="5" t="s">
        <v>32</v>
      </c>
      <c r="D1006" s="5" t="s">
        <v>43</v>
      </c>
      <c r="E1006" s="5" t="s">
        <v>58</v>
      </c>
      <c r="F1006" s="5" t="s">
        <v>63</v>
      </c>
      <c r="G1006" s="5" t="s">
        <v>73</v>
      </c>
      <c r="H1006" s="38">
        <v>23167.03</v>
      </c>
      <c r="I1006" s="14">
        <v>0.15</v>
      </c>
      <c r="J1006" s="38">
        <v>19691.9755</v>
      </c>
      <c r="K1006" s="5">
        <v>1</v>
      </c>
      <c r="L1006" s="62">
        <f>Table1[[#This Row],[Final_Unit_Price]]*Table1[[#This Row],[Quantity]]</f>
        <v>19691.9755</v>
      </c>
      <c r="M1006" s="60">
        <v>4922.99</v>
      </c>
      <c r="N1006" s="43">
        <v>45371</v>
      </c>
      <c r="O1006" s="18" t="str">
        <f>TEXT(Table1[[#This Row],[Order_Date]],"mmm")</f>
        <v>Mar</v>
      </c>
      <c r="P1006" s="18">
        <f t="shared" si="30"/>
        <v>2024</v>
      </c>
      <c r="Q1006" s="45">
        <v>45377</v>
      </c>
      <c r="R1006" s="19">
        <f>'Cleaned Data'!$Q1006-'Cleaned Data'!$N1006</f>
        <v>6</v>
      </c>
      <c r="S1006" s="19" t="str">
        <f t="shared" si="31"/>
        <v>Summer</v>
      </c>
    </row>
    <row r="1007" spans="1:19" x14ac:dyDescent="0.3">
      <c r="A1007" s="11" t="s">
        <v>1184</v>
      </c>
      <c r="B1007" s="11" t="s">
        <v>29</v>
      </c>
      <c r="C1007" s="3" t="s">
        <v>35</v>
      </c>
      <c r="D1007" s="3" t="s">
        <v>38</v>
      </c>
      <c r="E1007" s="3" t="s">
        <v>59</v>
      </c>
      <c r="F1007" s="3" t="s">
        <v>64</v>
      </c>
      <c r="G1007" s="3" t="s">
        <v>76</v>
      </c>
      <c r="H1007" s="37">
        <v>22842.91</v>
      </c>
      <c r="I1007" s="12">
        <v>0.3</v>
      </c>
      <c r="J1007" s="37">
        <v>15990.037</v>
      </c>
      <c r="K1007" s="3">
        <v>3</v>
      </c>
      <c r="L1007" s="61">
        <f>Table1[[#This Row],[Final_Unit_Price]]*Table1[[#This Row],[Quantity]]</f>
        <v>47970.111000000004</v>
      </c>
      <c r="M1007" s="59">
        <v>16789.54</v>
      </c>
      <c r="N1007" s="42">
        <v>45303</v>
      </c>
      <c r="O1007" s="20" t="str">
        <f>TEXT(Table1[[#This Row],[Order_Date]],"mmm")</f>
        <v>Jan</v>
      </c>
      <c r="P1007" s="20">
        <f t="shared" si="30"/>
        <v>2024</v>
      </c>
      <c r="Q1007" s="46">
        <v>45306</v>
      </c>
      <c r="R1007" s="20">
        <f>'Cleaned Data'!$Q1007-'Cleaned Data'!$N1007</f>
        <v>3</v>
      </c>
      <c r="S1007" s="19" t="str">
        <f t="shared" si="31"/>
        <v>Winter</v>
      </c>
    </row>
    <row r="1008" spans="1:19" x14ac:dyDescent="0.3">
      <c r="A1008" s="13" t="s">
        <v>1185</v>
      </c>
      <c r="B1008" s="13" t="s">
        <v>28</v>
      </c>
      <c r="C1008" s="5" t="s">
        <v>34</v>
      </c>
      <c r="D1008" s="5" t="s">
        <v>55</v>
      </c>
      <c r="E1008" s="5" t="s">
        <v>58</v>
      </c>
      <c r="F1008" s="5" t="s">
        <v>63</v>
      </c>
      <c r="G1008" s="5" t="s">
        <v>73</v>
      </c>
      <c r="H1008" s="38">
        <v>1401.29</v>
      </c>
      <c r="I1008" s="14">
        <v>0.25</v>
      </c>
      <c r="J1008" s="38">
        <v>1050.9675</v>
      </c>
      <c r="K1008" s="5">
        <v>5</v>
      </c>
      <c r="L1008" s="62">
        <f>Table1[[#This Row],[Final_Unit_Price]]*Table1[[#This Row],[Quantity]]</f>
        <v>5254.8374999999996</v>
      </c>
      <c r="M1008" s="60">
        <v>1313.71</v>
      </c>
      <c r="N1008" s="43">
        <v>45564</v>
      </c>
      <c r="O1008" s="18" t="str">
        <f>TEXT(Table1[[#This Row],[Order_Date]],"mmm")</f>
        <v>Sep</v>
      </c>
      <c r="P1008" s="18">
        <f t="shared" si="30"/>
        <v>2024</v>
      </c>
      <c r="Q1008" s="45">
        <v>45569</v>
      </c>
      <c r="R1008" s="19">
        <f>'Cleaned Data'!$Q1008-'Cleaned Data'!$N1008</f>
        <v>5</v>
      </c>
      <c r="S1008" s="19" t="str">
        <f t="shared" si="31"/>
        <v>Monsoon</v>
      </c>
    </row>
    <row r="1009" spans="1:19" x14ac:dyDescent="0.3">
      <c r="A1009" s="11" t="s">
        <v>1186</v>
      </c>
      <c r="B1009" s="11" t="s">
        <v>23</v>
      </c>
      <c r="C1009" s="3" t="s">
        <v>35</v>
      </c>
      <c r="D1009" s="3" t="s">
        <v>46</v>
      </c>
      <c r="E1009" s="3" t="s">
        <v>59</v>
      </c>
      <c r="F1009" s="3" t="s">
        <v>61</v>
      </c>
      <c r="G1009" s="3" t="s">
        <v>71</v>
      </c>
      <c r="H1009" s="37">
        <v>28986.55</v>
      </c>
      <c r="I1009" s="12">
        <v>0.15</v>
      </c>
      <c r="J1009" s="37">
        <v>24638.567500000001</v>
      </c>
      <c r="K1009" s="3">
        <v>1</v>
      </c>
      <c r="L1009" s="61">
        <f>Table1[[#This Row],[Final_Unit_Price]]*Table1[[#This Row],[Quantity]]</f>
        <v>24638.567500000001</v>
      </c>
      <c r="M1009" s="59">
        <v>8623.5</v>
      </c>
      <c r="N1009" s="42">
        <v>45452</v>
      </c>
      <c r="O1009" s="20" t="str">
        <f>TEXT(Table1[[#This Row],[Order_Date]],"mmm")</f>
        <v>Jun</v>
      </c>
      <c r="P1009" s="20">
        <f t="shared" si="30"/>
        <v>2024</v>
      </c>
      <c r="Q1009" s="46">
        <v>45458</v>
      </c>
      <c r="R1009" s="20">
        <f>'Cleaned Data'!$Q1009-'Cleaned Data'!$N1009</f>
        <v>6</v>
      </c>
      <c r="S1009" s="19" t="str">
        <f t="shared" si="31"/>
        <v>Monsoon</v>
      </c>
    </row>
    <row r="1010" spans="1:19" x14ac:dyDescent="0.3">
      <c r="A1010" s="13" t="s">
        <v>1187</v>
      </c>
      <c r="B1010" s="13" t="s">
        <v>19</v>
      </c>
      <c r="C1010" s="5" t="s">
        <v>33</v>
      </c>
      <c r="D1010" s="5" t="s">
        <v>53</v>
      </c>
      <c r="E1010" s="5" t="s">
        <v>58</v>
      </c>
      <c r="F1010" s="5" t="s">
        <v>63</v>
      </c>
      <c r="G1010" s="5" t="s">
        <v>75</v>
      </c>
      <c r="H1010" s="38">
        <v>1916.3</v>
      </c>
      <c r="I1010" s="14">
        <v>0.25</v>
      </c>
      <c r="J1010" s="38">
        <v>1437.2249999999999</v>
      </c>
      <c r="K1010" s="5">
        <v>2</v>
      </c>
      <c r="L1010" s="62">
        <f>Table1[[#This Row],[Final_Unit_Price]]*Table1[[#This Row],[Quantity]]</f>
        <v>2874.45</v>
      </c>
      <c r="M1010" s="60">
        <v>718.61</v>
      </c>
      <c r="N1010" s="43">
        <v>45796</v>
      </c>
      <c r="O1010" s="18" t="str">
        <f>TEXT(Table1[[#This Row],[Order_Date]],"mmm")</f>
        <v>May</v>
      </c>
      <c r="P1010" s="18">
        <f t="shared" si="30"/>
        <v>2025</v>
      </c>
      <c r="Q1010" s="45">
        <v>45805</v>
      </c>
      <c r="R1010" s="19">
        <f>'Cleaned Data'!$Q1010-'Cleaned Data'!$N1010</f>
        <v>9</v>
      </c>
      <c r="S1010" s="19" t="str">
        <f t="shared" si="31"/>
        <v>Summer</v>
      </c>
    </row>
    <row r="1011" spans="1:19" x14ac:dyDescent="0.3">
      <c r="A1011" s="11" t="s">
        <v>1188</v>
      </c>
      <c r="B1011" s="11" t="s">
        <v>24</v>
      </c>
      <c r="C1011" s="3" t="s">
        <v>32</v>
      </c>
      <c r="D1011" s="3" t="s">
        <v>43</v>
      </c>
      <c r="E1011" s="3" t="s">
        <v>58</v>
      </c>
      <c r="F1011" s="3" t="s">
        <v>64</v>
      </c>
      <c r="G1011" s="3" t="s">
        <v>72</v>
      </c>
      <c r="H1011" s="37">
        <v>26054.74</v>
      </c>
      <c r="I1011" s="12">
        <v>0.1</v>
      </c>
      <c r="J1011" s="37">
        <v>23449.266</v>
      </c>
      <c r="K1011" s="3">
        <v>2</v>
      </c>
      <c r="L1011" s="61">
        <f>Table1[[#This Row],[Final_Unit_Price]]*Table1[[#This Row],[Quantity]]</f>
        <v>46898.531999999999</v>
      </c>
      <c r="M1011" s="59">
        <v>11724.63</v>
      </c>
      <c r="N1011" s="42">
        <v>45420</v>
      </c>
      <c r="O1011" s="20" t="str">
        <f>TEXT(Table1[[#This Row],[Order_Date]],"mmm")</f>
        <v>May</v>
      </c>
      <c r="P1011" s="20">
        <f t="shared" si="30"/>
        <v>2024</v>
      </c>
      <c r="Q1011" s="46">
        <v>45430</v>
      </c>
      <c r="R1011" s="20">
        <f>'Cleaned Data'!$Q1011-'Cleaned Data'!$N1011</f>
        <v>10</v>
      </c>
      <c r="S1011" s="19" t="str">
        <f t="shared" si="31"/>
        <v>Summer</v>
      </c>
    </row>
    <row r="1012" spans="1:19" x14ac:dyDescent="0.3">
      <c r="A1012" s="13" t="s">
        <v>1189</v>
      </c>
      <c r="B1012" s="13" t="s">
        <v>19</v>
      </c>
      <c r="C1012" s="5" t="s">
        <v>33</v>
      </c>
      <c r="D1012" s="5" t="s">
        <v>57</v>
      </c>
      <c r="E1012" s="5" t="s">
        <v>60</v>
      </c>
      <c r="F1012" s="5" t="s">
        <v>63</v>
      </c>
      <c r="G1012" s="5" t="s">
        <v>75</v>
      </c>
      <c r="H1012" s="38">
        <v>1694.45</v>
      </c>
      <c r="I1012" s="14">
        <v>0.1</v>
      </c>
      <c r="J1012" s="38">
        <v>1525.0050000000001</v>
      </c>
      <c r="K1012" s="5">
        <v>1</v>
      </c>
      <c r="L1012" s="62">
        <f>Table1[[#This Row],[Final_Unit_Price]]*Table1[[#This Row],[Quantity]]</f>
        <v>1525.0050000000001</v>
      </c>
      <c r="M1012" s="60">
        <v>228.75</v>
      </c>
      <c r="N1012" s="43">
        <v>45334</v>
      </c>
      <c r="O1012" s="18" t="str">
        <f>TEXT(Table1[[#This Row],[Order_Date]],"mmm")</f>
        <v>Feb</v>
      </c>
      <c r="P1012" s="18">
        <f t="shared" si="30"/>
        <v>2024</v>
      </c>
      <c r="Q1012" s="45">
        <v>45341</v>
      </c>
      <c r="R1012" s="19">
        <f>'Cleaned Data'!$Q1012-'Cleaned Data'!$N1012</f>
        <v>7</v>
      </c>
      <c r="S1012" s="19" t="str">
        <f t="shared" si="31"/>
        <v>Summer</v>
      </c>
    </row>
    <row r="1013" spans="1:19" x14ac:dyDescent="0.3">
      <c r="A1013" s="11" t="s">
        <v>1190</v>
      </c>
      <c r="B1013" s="11" t="s">
        <v>23</v>
      </c>
      <c r="C1013" s="3" t="s">
        <v>35</v>
      </c>
      <c r="D1013" s="3" t="s">
        <v>38</v>
      </c>
      <c r="E1013" s="3" t="s">
        <v>59</v>
      </c>
      <c r="F1013" s="3" t="s">
        <v>64</v>
      </c>
      <c r="G1013" s="3" t="s">
        <v>72</v>
      </c>
      <c r="H1013" s="37">
        <v>31523.040000000001</v>
      </c>
      <c r="I1013" s="12">
        <v>0.15</v>
      </c>
      <c r="J1013" s="37">
        <v>26794.583999999999</v>
      </c>
      <c r="K1013" s="3">
        <v>5</v>
      </c>
      <c r="L1013" s="61">
        <f>Table1[[#This Row],[Final_Unit_Price]]*Table1[[#This Row],[Quantity]]</f>
        <v>133972.91999999998</v>
      </c>
      <c r="M1013" s="59">
        <v>46890.52</v>
      </c>
      <c r="N1013" s="42">
        <v>45767</v>
      </c>
      <c r="O1013" s="20" t="str">
        <f>TEXT(Table1[[#This Row],[Order_Date]],"mmm")</f>
        <v>Apr</v>
      </c>
      <c r="P1013" s="20">
        <f t="shared" si="30"/>
        <v>2025</v>
      </c>
      <c r="Q1013" s="46">
        <v>45772</v>
      </c>
      <c r="R1013" s="20">
        <f>'Cleaned Data'!$Q1013-'Cleaned Data'!$N1013</f>
        <v>5</v>
      </c>
      <c r="S1013" s="19" t="str">
        <f t="shared" si="31"/>
        <v>Summer</v>
      </c>
    </row>
    <row r="1014" spans="1:19" x14ac:dyDescent="0.3">
      <c r="A1014" s="13" t="s">
        <v>1191</v>
      </c>
      <c r="B1014" s="13" t="s">
        <v>27</v>
      </c>
      <c r="C1014" s="5" t="s">
        <v>35</v>
      </c>
      <c r="D1014" s="5" t="s">
        <v>46</v>
      </c>
      <c r="E1014" s="5" t="s">
        <v>59</v>
      </c>
      <c r="F1014" s="5" t="s">
        <v>61</v>
      </c>
      <c r="G1014" s="5" t="s">
        <v>70</v>
      </c>
      <c r="H1014" s="38">
        <v>9386.9</v>
      </c>
      <c r="I1014" s="14">
        <v>0.25</v>
      </c>
      <c r="J1014" s="38">
        <v>7040.1749999999993</v>
      </c>
      <c r="K1014" s="5">
        <v>3</v>
      </c>
      <c r="L1014" s="62">
        <f>Table1[[#This Row],[Final_Unit_Price]]*Table1[[#This Row],[Quantity]]</f>
        <v>21120.524999999998</v>
      </c>
      <c r="M1014" s="60">
        <v>7392.18</v>
      </c>
      <c r="N1014" s="43">
        <v>45594</v>
      </c>
      <c r="O1014" s="18" t="str">
        <f>TEXT(Table1[[#This Row],[Order_Date]],"mmm")</f>
        <v>Oct</v>
      </c>
      <c r="P1014" s="18">
        <f t="shared" si="30"/>
        <v>2024</v>
      </c>
      <c r="Q1014" s="45">
        <v>45601</v>
      </c>
      <c r="R1014" s="19">
        <f>'Cleaned Data'!$Q1014-'Cleaned Data'!$N1014</f>
        <v>7</v>
      </c>
      <c r="S1014" s="19" t="str">
        <f t="shared" si="31"/>
        <v>Winter</v>
      </c>
    </row>
    <row r="1015" spans="1:19" x14ac:dyDescent="0.3">
      <c r="A1015" s="11" t="s">
        <v>1192</v>
      </c>
      <c r="B1015" s="11" t="s">
        <v>19</v>
      </c>
      <c r="C1015" s="3" t="s">
        <v>33</v>
      </c>
      <c r="D1015" s="3" t="s">
        <v>56</v>
      </c>
      <c r="E1015" s="3" t="s">
        <v>60</v>
      </c>
      <c r="F1015" s="3" t="s">
        <v>63</v>
      </c>
      <c r="G1015" s="3" t="s">
        <v>75</v>
      </c>
      <c r="H1015" s="37">
        <v>1685.34</v>
      </c>
      <c r="I1015" s="12">
        <v>0.2</v>
      </c>
      <c r="J1015" s="37">
        <v>1348.2719999999999</v>
      </c>
      <c r="K1015" s="3">
        <v>4</v>
      </c>
      <c r="L1015" s="61">
        <f>Table1[[#This Row],[Final_Unit_Price]]*Table1[[#This Row],[Quantity]]</f>
        <v>5393.0879999999997</v>
      </c>
      <c r="M1015" s="59">
        <v>808.96</v>
      </c>
      <c r="N1015" s="42">
        <v>45321</v>
      </c>
      <c r="O1015" s="20" t="str">
        <f>TEXT(Table1[[#This Row],[Order_Date]],"mmm")</f>
        <v>Jan</v>
      </c>
      <c r="P1015" s="20">
        <f t="shared" si="30"/>
        <v>2024</v>
      </c>
      <c r="Q1015" s="46">
        <v>45325</v>
      </c>
      <c r="R1015" s="20">
        <f>'Cleaned Data'!$Q1015-'Cleaned Data'!$N1015</f>
        <v>4</v>
      </c>
      <c r="S1015" s="19" t="str">
        <f t="shared" si="31"/>
        <v>Winter</v>
      </c>
    </row>
    <row r="1016" spans="1:19" x14ac:dyDescent="0.3">
      <c r="A1016" s="13" t="s">
        <v>1193</v>
      </c>
      <c r="B1016" s="13" t="s">
        <v>17</v>
      </c>
      <c r="C1016" s="5" t="s">
        <v>32</v>
      </c>
      <c r="D1016" s="5" t="s">
        <v>43</v>
      </c>
      <c r="E1016" s="5" t="s">
        <v>58</v>
      </c>
      <c r="F1016" s="5" t="s">
        <v>61</v>
      </c>
      <c r="G1016" s="5" t="s">
        <v>70</v>
      </c>
      <c r="H1016" s="38">
        <v>7491.31</v>
      </c>
      <c r="I1016" s="14">
        <v>0.1</v>
      </c>
      <c r="J1016" s="38">
        <v>6742.1790000000001</v>
      </c>
      <c r="K1016" s="5">
        <v>4</v>
      </c>
      <c r="L1016" s="62">
        <f>Table1[[#This Row],[Final_Unit_Price]]*Table1[[#This Row],[Quantity]]</f>
        <v>26968.716</v>
      </c>
      <c r="M1016" s="60">
        <v>6742.18</v>
      </c>
      <c r="N1016" s="43">
        <v>45677</v>
      </c>
      <c r="O1016" s="18" t="str">
        <f>TEXT(Table1[[#This Row],[Order_Date]],"mmm")</f>
        <v>Jan</v>
      </c>
      <c r="P1016" s="18">
        <f t="shared" si="30"/>
        <v>2025</v>
      </c>
      <c r="Q1016" s="45">
        <v>45681</v>
      </c>
      <c r="R1016" s="19">
        <f>'Cleaned Data'!$Q1016-'Cleaned Data'!$N1016</f>
        <v>4</v>
      </c>
      <c r="S1016" s="19" t="str">
        <f t="shared" si="31"/>
        <v>Winter</v>
      </c>
    </row>
    <row r="1017" spans="1:19" x14ac:dyDescent="0.3">
      <c r="A1017" s="11" t="s">
        <v>1194</v>
      </c>
      <c r="B1017" s="11" t="s">
        <v>24</v>
      </c>
      <c r="C1017" s="3" t="s">
        <v>32</v>
      </c>
      <c r="D1017" s="3" t="s">
        <v>37</v>
      </c>
      <c r="E1017" s="3" t="s">
        <v>59</v>
      </c>
      <c r="F1017" s="3" t="s">
        <v>63</v>
      </c>
      <c r="G1017" s="3" t="s">
        <v>73</v>
      </c>
      <c r="H1017" s="37">
        <v>28489.79</v>
      </c>
      <c r="I1017" s="12">
        <v>0.25</v>
      </c>
      <c r="J1017" s="37">
        <v>21367.342499999999</v>
      </c>
      <c r="K1017" s="3">
        <v>1</v>
      </c>
      <c r="L1017" s="61">
        <f>Table1[[#This Row],[Final_Unit_Price]]*Table1[[#This Row],[Quantity]]</f>
        <v>21367.342499999999</v>
      </c>
      <c r="M1017" s="59">
        <v>7478.57</v>
      </c>
      <c r="N1017" s="42">
        <v>45722</v>
      </c>
      <c r="O1017" s="20" t="str">
        <f>TEXT(Table1[[#This Row],[Order_Date]],"mmm")</f>
        <v>Mar</v>
      </c>
      <c r="P1017" s="20">
        <f t="shared" si="30"/>
        <v>2025</v>
      </c>
      <c r="Q1017" s="46">
        <v>45726</v>
      </c>
      <c r="R1017" s="20">
        <f>'Cleaned Data'!$Q1017-'Cleaned Data'!$N1017</f>
        <v>4</v>
      </c>
      <c r="S1017" s="19" t="str">
        <f t="shared" si="31"/>
        <v>Summer</v>
      </c>
    </row>
    <row r="1018" spans="1:19" x14ac:dyDescent="0.3">
      <c r="A1018" s="13" t="s">
        <v>1195</v>
      </c>
      <c r="B1018" s="13" t="s">
        <v>22</v>
      </c>
      <c r="C1018" s="5" t="s">
        <v>31</v>
      </c>
      <c r="D1018" s="5" t="s">
        <v>47</v>
      </c>
      <c r="E1018" s="5" t="s">
        <v>59</v>
      </c>
      <c r="F1018" s="5" t="s">
        <v>61</v>
      </c>
      <c r="G1018" s="5" t="s">
        <v>65</v>
      </c>
      <c r="H1018" s="38">
        <v>4265.46</v>
      </c>
      <c r="I1018" s="14">
        <v>0.1</v>
      </c>
      <c r="J1018" s="38">
        <v>3838.9140000000002</v>
      </c>
      <c r="K1018" s="5">
        <v>2</v>
      </c>
      <c r="L1018" s="62">
        <f>Table1[[#This Row],[Final_Unit_Price]]*Table1[[#This Row],[Quantity]]</f>
        <v>7677.8280000000004</v>
      </c>
      <c r="M1018" s="60">
        <v>2687.24</v>
      </c>
      <c r="N1018" s="43">
        <v>45461</v>
      </c>
      <c r="O1018" s="18" t="str">
        <f>TEXT(Table1[[#This Row],[Order_Date]],"mmm")</f>
        <v>Jun</v>
      </c>
      <c r="P1018" s="18">
        <f t="shared" si="30"/>
        <v>2024</v>
      </c>
      <c r="Q1018" s="45">
        <v>45470</v>
      </c>
      <c r="R1018" s="19">
        <f>'Cleaned Data'!$Q1018-'Cleaned Data'!$N1018</f>
        <v>9</v>
      </c>
      <c r="S1018" s="19" t="str">
        <f t="shared" si="31"/>
        <v>Monsoon</v>
      </c>
    </row>
    <row r="1019" spans="1:19" x14ac:dyDescent="0.3">
      <c r="A1019" s="11" t="s">
        <v>1196</v>
      </c>
      <c r="B1019" s="11" t="s">
        <v>29</v>
      </c>
      <c r="C1019" s="3" t="s">
        <v>35</v>
      </c>
      <c r="D1019" s="3" t="s">
        <v>38</v>
      </c>
      <c r="E1019" s="3" t="s">
        <v>59</v>
      </c>
      <c r="F1019" s="3" t="s">
        <v>61</v>
      </c>
      <c r="G1019" s="3" t="s">
        <v>65</v>
      </c>
      <c r="H1019" s="37">
        <v>20621.12</v>
      </c>
      <c r="I1019" s="12">
        <v>0.05</v>
      </c>
      <c r="J1019" s="37">
        <v>19590.063999999998</v>
      </c>
      <c r="K1019" s="3">
        <v>4</v>
      </c>
      <c r="L1019" s="61">
        <f>Table1[[#This Row],[Final_Unit_Price]]*Table1[[#This Row],[Quantity]]</f>
        <v>78360.255999999994</v>
      </c>
      <c r="M1019" s="59">
        <v>27426.09</v>
      </c>
      <c r="N1019" s="42">
        <v>45417</v>
      </c>
      <c r="O1019" s="20" t="str">
        <f>TEXT(Table1[[#This Row],[Order_Date]],"mmm")</f>
        <v>May</v>
      </c>
      <c r="P1019" s="20">
        <f t="shared" si="30"/>
        <v>2024</v>
      </c>
      <c r="Q1019" s="46">
        <v>45424</v>
      </c>
      <c r="R1019" s="20">
        <f>'Cleaned Data'!$Q1019-'Cleaned Data'!$N1019</f>
        <v>7</v>
      </c>
      <c r="S1019" s="19" t="str">
        <f t="shared" si="31"/>
        <v>Summer</v>
      </c>
    </row>
    <row r="1020" spans="1:19" x14ac:dyDescent="0.3">
      <c r="A1020" s="13" t="s">
        <v>1197</v>
      </c>
      <c r="B1020" s="13" t="s">
        <v>27</v>
      </c>
      <c r="C1020" s="5" t="s">
        <v>35</v>
      </c>
      <c r="D1020" s="5" t="s">
        <v>38</v>
      </c>
      <c r="E1020" s="5" t="s">
        <v>59</v>
      </c>
      <c r="F1020" s="5" t="s">
        <v>63</v>
      </c>
      <c r="G1020" s="5" t="s">
        <v>68</v>
      </c>
      <c r="H1020" s="38">
        <v>9311.0400000000009</v>
      </c>
      <c r="I1020" s="14">
        <v>0.15</v>
      </c>
      <c r="J1020" s="38">
        <v>7914.3840000000009</v>
      </c>
      <c r="K1020" s="5">
        <v>5</v>
      </c>
      <c r="L1020" s="62">
        <f>Table1[[#This Row],[Final_Unit_Price]]*Table1[[#This Row],[Quantity]]</f>
        <v>39571.920000000006</v>
      </c>
      <c r="M1020" s="60">
        <v>13850.17</v>
      </c>
      <c r="N1020" s="43">
        <v>45606</v>
      </c>
      <c r="O1020" s="18" t="str">
        <f>TEXT(Table1[[#This Row],[Order_Date]],"mmm")</f>
        <v>Nov</v>
      </c>
      <c r="P1020" s="18">
        <f t="shared" si="30"/>
        <v>2024</v>
      </c>
      <c r="Q1020" s="45">
        <v>45616</v>
      </c>
      <c r="R1020" s="19">
        <f>'Cleaned Data'!$Q1020-'Cleaned Data'!$N1020</f>
        <v>10</v>
      </c>
      <c r="S1020" s="19" t="str">
        <f t="shared" si="31"/>
        <v>Winter</v>
      </c>
    </row>
    <row r="1021" spans="1:19" x14ac:dyDescent="0.3">
      <c r="A1021" s="11" t="s">
        <v>1198</v>
      </c>
      <c r="B1021" s="11" t="s">
        <v>18</v>
      </c>
      <c r="C1021" s="3" t="s">
        <v>33</v>
      </c>
      <c r="D1021" s="3" t="s">
        <v>56</v>
      </c>
      <c r="E1021" s="3" t="s">
        <v>60</v>
      </c>
      <c r="F1021" s="3" t="s">
        <v>63</v>
      </c>
      <c r="G1021" s="3" t="s">
        <v>73</v>
      </c>
      <c r="H1021" s="37">
        <v>41916.660000000003</v>
      </c>
      <c r="I1021" s="12">
        <v>0.15</v>
      </c>
      <c r="J1021" s="37">
        <v>35629.161</v>
      </c>
      <c r="K1021" s="3">
        <v>5</v>
      </c>
      <c r="L1021" s="61">
        <f>Table1[[#This Row],[Final_Unit_Price]]*Table1[[#This Row],[Quantity]]</f>
        <v>178145.80499999999</v>
      </c>
      <c r="M1021" s="59">
        <v>26721.87</v>
      </c>
      <c r="N1021" s="42">
        <v>45319</v>
      </c>
      <c r="O1021" s="20" t="str">
        <f>TEXT(Table1[[#This Row],[Order_Date]],"mmm")</f>
        <v>Jan</v>
      </c>
      <c r="P1021" s="20">
        <f t="shared" si="30"/>
        <v>2024</v>
      </c>
      <c r="Q1021" s="46">
        <v>45325</v>
      </c>
      <c r="R1021" s="20">
        <f>'Cleaned Data'!$Q1021-'Cleaned Data'!$N1021</f>
        <v>6</v>
      </c>
      <c r="S1021" s="19" t="str">
        <f t="shared" si="31"/>
        <v>Winter</v>
      </c>
    </row>
    <row r="1022" spans="1:19" x14ac:dyDescent="0.3">
      <c r="A1022" s="13" t="s">
        <v>1199</v>
      </c>
      <c r="B1022" s="13" t="s">
        <v>25</v>
      </c>
      <c r="C1022" s="5" t="s">
        <v>34</v>
      </c>
      <c r="D1022" s="5" t="s">
        <v>41</v>
      </c>
      <c r="E1022" s="5" t="s">
        <v>60</v>
      </c>
      <c r="F1022" s="5" t="s">
        <v>61</v>
      </c>
      <c r="G1022" s="5" t="s">
        <v>71</v>
      </c>
      <c r="H1022" s="38">
        <v>633.13</v>
      </c>
      <c r="I1022" s="14">
        <v>0.3</v>
      </c>
      <c r="J1022" s="38">
        <v>443.19099999999997</v>
      </c>
      <c r="K1022" s="5">
        <v>3</v>
      </c>
      <c r="L1022" s="62">
        <f>Table1[[#This Row],[Final_Unit_Price]]*Table1[[#This Row],[Quantity]]</f>
        <v>1329.5729999999999</v>
      </c>
      <c r="M1022" s="60">
        <v>199.44</v>
      </c>
      <c r="N1022" s="43">
        <v>45345</v>
      </c>
      <c r="O1022" s="18" t="str">
        <f>TEXT(Table1[[#This Row],[Order_Date]],"mmm")</f>
        <v>Feb</v>
      </c>
      <c r="P1022" s="18">
        <f t="shared" si="30"/>
        <v>2024</v>
      </c>
      <c r="Q1022" s="45">
        <v>45352</v>
      </c>
      <c r="R1022" s="19">
        <f>'Cleaned Data'!$Q1022-'Cleaned Data'!$N1022</f>
        <v>7</v>
      </c>
      <c r="S1022" s="19" t="str">
        <f t="shared" si="31"/>
        <v>Summer</v>
      </c>
    </row>
    <row r="1023" spans="1:19" x14ac:dyDescent="0.3">
      <c r="A1023" s="11" t="s">
        <v>1200</v>
      </c>
      <c r="B1023" s="11" t="s">
        <v>18</v>
      </c>
      <c r="C1023" s="3" t="s">
        <v>33</v>
      </c>
      <c r="D1023" s="3" t="s">
        <v>50</v>
      </c>
      <c r="E1023" s="3" t="s">
        <v>59</v>
      </c>
      <c r="F1023" s="3" t="s">
        <v>61</v>
      </c>
      <c r="G1023" s="3" t="s">
        <v>70</v>
      </c>
      <c r="H1023" s="37">
        <v>60649.66</v>
      </c>
      <c r="I1023" s="12">
        <v>0.25</v>
      </c>
      <c r="J1023" s="37">
        <v>45487.245000000003</v>
      </c>
      <c r="K1023" s="3">
        <v>2</v>
      </c>
      <c r="L1023" s="61">
        <f>Table1[[#This Row],[Final_Unit_Price]]*Table1[[#This Row],[Quantity]]</f>
        <v>90974.49</v>
      </c>
      <c r="M1023" s="59">
        <v>31841.07</v>
      </c>
      <c r="N1023" s="42">
        <v>45748</v>
      </c>
      <c r="O1023" s="20" t="str">
        <f>TEXT(Table1[[#This Row],[Order_Date]],"mmm")</f>
        <v>Apr</v>
      </c>
      <c r="P1023" s="20">
        <f t="shared" si="30"/>
        <v>2025</v>
      </c>
      <c r="Q1023" s="46">
        <v>45755</v>
      </c>
      <c r="R1023" s="20">
        <f>'Cleaned Data'!$Q1023-'Cleaned Data'!$N1023</f>
        <v>7</v>
      </c>
      <c r="S1023" s="19" t="str">
        <f t="shared" si="31"/>
        <v>Summer</v>
      </c>
    </row>
    <row r="1024" spans="1:19" x14ac:dyDescent="0.3">
      <c r="A1024" s="13" t="s">
        <v>1201</v>
      </c>
      <c r="B1024" s="13" t="s">
        <v>18</v>
      </c>
      <c r="C1024" s="5" t="s">
        <v>33</v>
      </c>
      <c r="D1024" s="5" t="s">
        <v>57</v>
      </c>
      <c r="E1024" s="5" t="s">
        <v>60</v>
      </c>
      <c r="F1024" s="5" t="s">
        <v>61</v>
      </c>
      <c r="G1024" s="5" t="s">
        <v>65</v>
      </c>
      <c r="H1024" s="38">
        <v>43079.63</v>
      </c>
      <c r="I1024" s="14">
        <v>0.15</v>
      </c>
      <c r="J1024" s="38">
        <v>36617.6855</v>
      </c>
      <c r="K1024" s="5">
        <v>5</v>
      </c>
      <c r="L1024" s="62">
        <f>Table1[[#This Row],[Final_Unit_Price]]*Table1[[#This Row],[Quantity]]</f>
        <v>183088.42749999999</v>
      </c>
      <c r="M1024" s="60">
        <v>27463.26</v>
      </c>
      <c r="N1024" s="43">
        <v>45549</v>
      </c>
      <c r="O1024" s="18" t="str">
        <f>TEXT(Table1[[#This Row],[Order_Date]],"mmm")</f>
        <v>Sep</v>
      </c>
      <c r="P1024" s="18">
        <f t="shared" si="30"/>
        <v>2024</v>
      </c>
      <c r="Q1024" s="45">
        <v>45552</v>
      </c>
      <c r="R1024" s="19">
        <f>'Cleaned Data'!$Q1024-'Cleaned Data'!$N1024</f>
        <v>3</v>
      </c>
      <c r="S1024" s="19" t="str">
        <f t="shared" si="31"/>
        <v>Monsoon</v>
      </c>
    </row>
    <row r="1025" spans="1:19" x14ac:dyDescent="0.3">
      <c r="A1025" s="11" t="s">
        <v>1202</v>
      </c>
      <c r="B1025" s="11" t="s">
        <v>19</v>
      </c>
      <c r="C1025" s="3" t="s">
        <v>33</v>
      </c>
      <c r="D1025" s="3" t="s">
        <v>56</v>
      </c>
      <c r="E1025" s="3" t="s">
        <v>60</v>
      </c>
      <c r="F1025" s="3" t="s">
        <v>61</v>
      </c>
      <c r="G1025" s="3" t="s">
        <v>71</v>
      </c>
      <c r="H1025" s="37">
        <v>1691.9</v>
      </c>
      <c r="I1025" s="12">
        <v>0</v>
      </c>
      <c r="J1025" s="37">
        <v>1691.9</v>
      </c>
      <c r="K1025" s="3">
        <v>4</v>
      </c>
      <c r="L1025" s="61">
        <f>Table1[[#This Row],[Final_Unit_Price]]*Table1[[#This Row],[Quantity]]</f>
        <v>6767.6</v>
      </c>
      <c r="M1025" s="59">
        <v>1015.14</v>
      </c>
      <c r="N1025" s="42">
        <v>45862</v>
      </c>
      <c r="O1025" s="20" t="str">
        <f>TEXT(Table1[[#This Row],[Order_Date]],"mmm")</f>
        <v>Jul</v>
      </c>
      <c r="P1025" s="20">
        <f t="shared" si="30"/>
        <v>2025</v>
      </c>
      <c r="Q1025" s="46">
        <v>45871</v>
      </c>
      <c r="R1025" s="20">
        <f>'Cleaned Data'!$Q1025-'Cleaned Data'!$N1025</f>
        <v>9</v>
      </c>
      <c r="S1025" s="19" t="str">
        <f t="shared" si="31"/>
        <v>Monsoon</v>
      </c>
    </row>
    <row r="1026" spans="1:19" x14ac:dyDescent="0.3">
      <c r="A1026" s="13" t="s">
        <v>1203</v>
      </c>
      <c r="B1026" s="13" t="s">
        <v>24</v>
      </c>
      <c r="C1026" s="5" t="s">
        <v>32</v>
      </c>
      <c r="D1026" s="5" t="s">
        <v>40</v>
      </c>
      <c r="E1026" s="5" t="s">
        <v>59</v>
      </c>
      <c r="F1026" s="5" t="s">
        <v>64</v>
      </c>
      <c r="G1026" s="5" t="s">
        <v>76</v>
      </c>
      <c r="H1026" s="38">
        <v>32086.15</v>
      </c>
      <c r="I1026" s="14">
        <v>0.05</v>
      </c>
      <c r="J1026" s="38">
        <v>30481.842499999999</v>
      </c>
      <c r="K1026" s="5">
        <v>2</v>
      </c>
      <c r="L1026" s="62">
        <f>Table1[[#This Row],[Final_Unit_Price]]*Table1[[#This Row],[Quantity]]</f>
        <v>60963.684999999998</v>
      </c>
      <c r="M1026" s="60">
        <v>21337.29</v>
      </c>
      <c r="N1026" s="43">
        <v>45317</v>
      </c>
      <c r="O1026" s="18" t="str">
        <f>TEXT(Table1[[#This Row],[Order_Date]],"mmm")</f>
        <v>Jan</v>
      </c>
      <c r="P1026" s="18">
        <f t="shared" si="30"/>
        <v>2024</v>
      </c>
      <c r="Q1026" s="45">
        <v>45327</v>
      </c>
      <c r="R1026" s="19">
        <f>'Cleaned Data'!$Q1026-'Cleaned Data'!$N1026</f>
        <v>10</v>
      </c>
      <c r="S1026" s="19" t="str">
        <f t="shared" si="31"/>
        <v>Winter</v>
      </c>
    </row>
    <row r="1027" spans="1:19" x14ac:dyDescent="0.3">
      <c r="A1027" s="11" t="s">
        <v>1204</v>
      </c>
      <c r="B1027" s="11" t="s">
        <v>21</v>
      </c>
      <c r="C1027" s="3" t="s">
        <v>34</v>
      </c>
      <c r="D1027" s="3" t="s">
        <v>41</v>
      </c>
      <c r="E1027" s="3" t="s">
        <v>60</v>
      </c>
      <c r="F1027" s="3" t="s">
        <v>63</v>
      </c>
      <c r="G1027" s="3" t="s">
        <v>73</v>
      </c>
      <c r="H1027" s="37">
        <v>2307.4899999999998</v>
      </c>
      <c r="I1027" s="12">
        <v>0.3</v>
      </c>
      <c r="J1027" s="37">
        <v>1615.2429999999999</v>
      </c>
      <c r="K1027" s="3">
        <v>8</v>
      </c>
      <c r="L1027" s="61">
        <f>Table1[[#This Row],[Final_Unit_Price]]*Table1[[#This Row],[Quantity]]</f>
        <v>12921.944</v>
      </c>
      <c r="M1027" s="59">
        <v>1211.43</v>
      </c>
      <c r="N1027" s="42">
        <v>45672</v>
      </c>
      <c r="O1027" s="20" t="str">
        <f>TEXT(Table1[[#This Row],[Order_Date]],"mmm")</f>
        <v>Jan</v>
      </c>
      <c r="P1027" s="20">
        <f t="shared" ref="P1027:P1090" si="32">YEAR(N1027)</f>
        <v>2025</v>
      </c>
      <c r="Q1027" s="46">
        <v>45678</v>
      </c>
      <c r="R1027" s="20">
        <f>'Cleaned Data'!$Q1027-'Cleaned Data'!$N1027</f>
        <v>6</v>
      </c>
      <c r="S1027" s="19" t="str">
        <f t="shared" ref="S1027:S1090" si="33">IF(OR(O1027="Feb",O1027="Mar",O1027="Apr",O1027="May"),"Summer",
   IF(OR(O1027="Jun",O1027="Jul",O1027="Aug",O1027="Sep"),"Monsoon",
   IF(OR(O1027="Oct",O1027="Nov",O1027="Dec",O1027= "Jan"),"Winter","Invalid")))</f>
        <v>Winter</v>
      </c>
    </row>
    <row r="1028" spans="1:19" x14ac:dyDescent="0.3">
      <c r="A1028" s="13" t="s">
        <v>1205</v>
      </c>
      <c r="B1028" s="13" t="s">
        <v>30</v>
      </c>
      <c r="C1028" s="5" t="s">
        <v>33</v>
      </c>
      <c r="D1028" s="5" t="s">
        <v>53</v>
      </c>
      <c r="E1028" s="5" t="s">
        <v>58</v>
      </c>
      <c r="F1028" s="5" t="s">
        <v>61</v>
      </c>
      <c r="G1028" s="5" t="s">
        <v>70</v>
      </c>
      <c r="H1028" s="38">
        <v>15344.84</v>
      </c>
      <c r="I1028" s="14">
        <v>0.1</v>
      </c>
      <c r="J1028" s="38">
        <v>13810.356</v>
      </c>
      <c r="K1028" s="5">
        <v>1</v>
      </c>
      <c r="L1028" s="62">
        <f>Table1[[#This Row],[Final_Unit_Price]]*Table1[[#This Row],[Quantity]]</f>
        <v>13810.356</v>
      </c>
      <c r="M1028" s="60">
        <v>3452.59</v>
      </c>
      <c r="N1028" s="43">
        <v>45667</v>
      </c>
      <c r="O1028" s="18" t="str">
        <f>TEXT(Table1[[#This Row],[Order_Date]],"mmm")</f>
        <v>Jan</v>
      </c>
      <c r="P1028" s="18">
        <f t="shared" si="32"/>
        <v>2025</v>
      </c>
      <c r="Q1028" s="45">
        <v>45670</v>
      </c>
      <c r="R1028" s="19">
        <f>'Cleaned Data'!$Q1028-'Cleaned Data'!$N1028</f>
        <v>3</v>
      </c>
      <c r="S1028" s="19" t="str">
        <f t="shared" si="33"/>
        <v>Winter</v>
      </c>
    </row>
    <row r="1029" spans="1:19" x14ac:dyDescent="0.3">
      <c r="A1029" s="11" t="s">
        <v>1206</v>
      </c>
      <c r="B1029" s="11" t="s">
        <v>24</v>
      </c>
      <c r="C1029" s="3" t="s">
        <v>32</v>
      </c>
      <c r="D1029" s="3" t="s">
        <v>43</v>
      </c>
      <c r="E1029" s="3" t="s">
        <v>58</v>
      </c>
      <c r="F1029" s="3" t="s">
        <v>63</v>
      </c>
      <c r="G1029" s="3" t="s">
        <v>73</v>
      </c>
      <c r="H1029" s="37">
        <v>24502.03</v>
      </c>
      <c r="I1029" s="12">
        <v>0.05</v>
      </c>
      <c r="J1029" s="37">
        <v>23276.928500000002</v>
      </c>
      <c r="K1029" s="3">
        <v>5</v>
      </c>
      <c r="L1029" s="61">
        <f>Table1[[#This Row],[Final_Unit_Price]]*Table1[[#This Row],[Quantity]]</f>
        <v>116384.64250000002</v>
      </c>
      <c r="M1029" s="59">
        <v>29096.16</v>
      </c>
      <c r="N1029" s="42">
        <v>45488</v>
      </c>
      <c r="O1029" s="20" t="str">
        <f>TEXT(Table1[[#This Row],[Order_Date]],"mmm")</f>
        <v>Jul</v>
      </c>
      <c r="P1029" s="20">
        <f t="shared" si="32"/>
        <v>2024</v>
      </c>
      <c r="Q1029" s="46">
        <v>45497</v>
      </c>
      <c r="R1029" s="20">
        <f>'Cleaned Data'!$Q1029-'Cleaned Data'!$N1029</f>
        <v>9</v>
      </c>
      <c r="S1029" s="19" t="str">
        <f t="shared" si="33"/>
        <v>Monsoon</v>
      </c>
    </row>
    <row r="1030" spans="1:19" x14ac:dyDescent="0.3">
      <c r="A1030" s="13" t="s">
        <v>1207</v>
      </c>
      <c r="B1030" s="13" t="s">
        <v>27</v>
      </c>
      <c r="C1030" s="5" t="s">
        <v>35</v>
      </c>
      <c r="D1030" s="5" t="s">
        <v>48</v>
      </c>
      <c r="E1030" s="5" t="s">
        <v>58</v>
      </c>
      <c r="F1030" s="5" t="s">
        <v>61</v>
      </c>
      <c r="G1030" s="5" t="s">
        <v>71</v>
      </c>
      <c r="H1030" s="38">
        <v>7883.75</v>
      </c>
      <c r="I1030" s="14">
        <v>0</v>
      </c>
      <c r="J1030" s="38">
        <v>7883.75</v>
      </c>
      <c r="K1030" s="5">
        <v>1</v>
      </c>
      <c r="L1030" s="62">
        <f>Table1[[#This Row],[Final_Unit_Price]]*Table1[[#This Row],[Quantity]]</f>
        <v>7883.75</v>
      </c>
      <c r="M1030" s="60">
        <v>1970.94</v>
      </c>
      <c r="N1030" s="43">
        <v>45697</v>
      </c>
      <c r="O1030" s="18" t="str">
        <f>TEXT(Table1[[#This Row],[Order_Date]],"mmm")</f>
        <v>Feb</v>
      </c>
      <c r="P1030" s="18">
        <f t="shared" si="32"/>
        <v>2025</v>
      </c>
      <c r="Q1030" s="45">
        <v>45704</v>
      </c>
      <c r="R1030" s="19">
        <f>'Cleaned Data'!$Q1030-'Cleaned Data'!$N1030</f>
        <v>7</v>
      </c>
      <c r="S1030" s="19" t="str">
        <f t="shared" si="33"/>
        <v>Summer</v>
      </c>
    </row>
    <row r="1031" spans="1:19" x14ac:dyDescent="0.3">
      <c r="A1031" s="11" t="s">
        <v>1208</v>
      </c>
      <c r="B1031" s="11" t="s">
        <v>28</v>
      </c>
      <c r="C1031" s="3" t="s">
        <v>34</v>
      </c>
      <c r="D1031" s="3" t="s">
        <v>55</v>
      </c>
      <c r="E1031" s="3" t="s">
        <v>58</v>
      </c>
      <c r="F1031" s="3" t="s">
        <v>63</v>
      </c>
      <c r="G1031" s="3" t="s">
        <v>73</v>
      </c>
      <c r="H1031" s="37">
        <v>1355.1</v>
      </c>
      <c r="I1031" s="12">
        <v>0.2</v>
      </c>
      <c r="J1031" s="37">
        <v>1084.08</v>
      </c>
      <c r="K1031" s="3">
        <v>5</v>
      </c>
      <c r="L1031" s="61">
        <f>Table1[[#This Row],[Final_Unit_Price]]*Table1[[#This Row],[Quantity]]</f>
        <v>5420.4</v>
      </c>
      <c r="M1031" s="59">
        <v>1355.1</v>
      </c>
      <c r="N1031" s="42">
        <v>45429</v>
      </c>
      <c r="O1031" s="20" t="str">
        <f>TEXT(Table1[[#This Row],[Order_Date]],"mmm")</f>
        <v>May</v>
      </c>
      <c r="P1031" s="20">
        <f t="shared" si="32"/>
        <v>2024</v>
      </c>
      <c r="Q1031" s="46">
        <v>45436</v>
      </c>
      <c r="R1031" s="20">
        <f>'Cleaned Data'!$Q1031-'Cleaned Data'!$N1031</f>
        <v>7</v>
      </c>
      <c r="S1031" s="19" t="str">
        <f t="shared" si="33"/>
        <v>Summer</v>
      </c>
    </row>
    <row r="1032" spans="1:19" x14ac:dyDescent="0.3">
      <c r="A1032" s="13" t="s">
        <v>1209</v>
      </c>
      <c r="B1032" s="13" t="s">
        <v>18</v>
      </c>
      <c r="C1032" s="5" t="s">
        <v>33</v>
      </c>
      <c r="D1032" s="5" t="s">
        <v>57</v>
      </c>
      <c r="E1032" s="5" t="s">
        <v>60</v>
      </c>
      <c r="F1032" s="5" t="s">
        <v>61</v>
      </c>
      <c r="G1032" s="5" t="s">
        <v>70</v>
      </c>
      <c r="H1032" s="38">
        <v>40441.19</v>
      </c>
      <c r="I1032" s="14">
        <v>0.2</v>
      </c>
      <c r="J1032" s="38">
        <v>32352.952000000001</v>
      </c>
      <c r="K1032" s="5">
        <v>5</v>
      </c>
      <c r="L1032" s="62">
        <f>Table1[[#This Row],[Final_Unit_Price]]*Table1[[#This Row],[Quantity]]</f>
        <v>161764.76</v>
      </c>
      <c r="M1032" s="60">
        <v>24264.71</v>
      </c>
      <c r="N1032" s="43">
        <v>45829</v>
      </c>
      <c r="O1032" s="18" t="str">
        <f>TEXT(Table1[[#This Row],[Order_Date]],"mmm")</f>
        <v>Jun</v>
      </c>
      <c r="P1032" s="18">
        <f t="shared" si="32"/>
        <v>2025</v>
      </c>
      <c r="Q1032" s="45">
        <v>45833</v>
      </c>
      <c r="R1032" s="19">
        <f>'Cleaned Data'!$Q1032-'Cleaned Data'!$N1032</f>
        <v>4</v>
      </c>
      <c r="S1032" s="19" t="str">
        <f t="shared" si="33"/>
        <v>Monsoon</v>
      </c>
    </row>
    <row r="1033" spans="1:19" x14ac:dyDescent="0.3">
      <c r="A1033" s="11" t="s">
        <v>1210</v>
      </c>
      <c r="B1033" s="11" t="s">
        <v>17</v>
      </c>
      <c r="C1033" s="3" t="s">
        <v>32</v>
      </c>
      <c r="D1033" s="3" t="s">
        <v>43</v>
      </c>
      <c r="E1033" s="3" t="s">
        <v>58</v>
      </c>
      <c r="F1033" s="3" t="s">
        <v>63</v>
      </c>
      <c r="G1033" s="3" t="s">
        <v>68</v>
      </c>
      <c r="H1033" s="37">
        <v>7308.6</v>
      </c>
      <c r="I1033" s="12">
        <v>0.1</v>
      </c>
      <c r="J1033" s="37">
        <v>6577.7400000000007</v>
      </c>
      <c r="K1033" s="3">
        <v>3</v>
      </c>
      <c r="L1033" s="61">
        <f>Table1[[#This Row],[Final_Unit_Price]]*Table1[[#This Row],[Quantity]]</f>
        <v>19733.22</v>
      </c>
      <c r="M1033" s="59">
        <v>4933.3100000000004</v>
      </c>
      <c r="N1033" s="42">
        <v>45315</v>
      </c>
      <c r="O1033" s="20" t="str">
        <f>TEXT(Table1[[#This Row],[Order_Date]],"mmm")</f>
        <v>Jan</v>
      </c>
      <c r="P1033" s="20">
        <f t="shared" si="32"/>
        <v>2024</v>
      </c>
      <c r="Q1033" s="46">
        <v>45324</v>
      </c>
      <c r="R1033" s="20">
        <f>'Cleaned Data'!$Q1033-'Cleaned Data'!$N1033</f>
        <v>9</v>
      </c>
      <c r="S1033" s="19" t="str">
        <f t="shared" si="33"/>
        <v>Winter</v>
      </c>
    </row>
    <row r="1034" spans="1:19" x14ac:dyDescent="0.3">
      <c r="A1034" s="13" t="s">
        <v>1211</v>
      </c>
      <c r="B1034" s="13" t="s">
        <v>20</v>
      </c>
      <c r="C1034" s="5" t="s">
        <v>32</v>
      </c>
      <c r="D1034" s="5" t="s">
        <v>54</v>
      </c>
      <c r="E1034" s="5" t="s">
        <v>60</v>
      </c>
      <c r="F1034" s="5" t="s">
        <v>64</v>
      </c>
      <c r="G1034" s="5" t="s">
        <v>72</v>
      </c>
      <c r="H1034" s="38">
        <v>28335.16</v>
      </c>
      <c r="I1034" s="14">
        <v>0.1</v>
      </c>
      <c r="J1034" s="38">
        <v>25501.644</v>
      </c>
      <c r="K1034" s="5">
        <v>3</v>
      </c>
      <c r="L1034" s="62">
        <f>Table1[[#This Row],[Final_Unit_Price]]*Table1[[#This Row],[Quantity]]</f>
        <v>76504.932000000001</v>
      </c>
      <c r="M1034" s="60">
        <v>11475.74</v>
      </c>
      <c r="N1034" s="43">
        <v>45749</v>
      </c>
      <c r="O1034" s="18" t="str">
        <f>TEXT(Table1[[#This Row],[Order_Date]],"mmm")</f>
        <v>Apr</v>
      </c>
      <c r="P1034" s="18">
        <f t="shared" si="32"/>
        <v>2025</v>
      </c>
      <c r="Q1034" s="45">
        <v>45751</v>
      </c>
      <c r="R1034" s="19">
        <f>'Cleaned Data'!$Q1034-'Cleaned Data'!$N1034</f>
        <v>2</v>
      </c>
      <c r="S1034" s="19" t="str">
        <f t="shared" si="33"/>
        <v>Summer</v>
      </c>
    </row>
    <row r="1035" spans="1:19" x14ac:dyDescent="0.3">
      <c r="A1035" s="11" t="s">
        <v>1212</v>
      </c>
      <c r="B1035" s="11" t="s">
        <v>24</v>
      </c>
      <c r="C1035" s="3" t="s">
        <v>32</v>
      </c>
      <c r="D1035" s="3" t="s">
        <v>40</v>
      </c>
      <c r="E1035" s="3" t="s">
        <v>59</v>
      </c>
      <c r="F1035" s="3" t="s">
        <v>64</v>
      </c>
      <c r="G1035" s="3" t="s">
        <v>72</v>
      </c>
      <c r="H1035" s="37">
        <v>31749.67</v>
      </c>
      <c r="I1035" s="12">
        <v>0.25</v>
      </c>
      <c r="J1035" s="37">
        <v>23812.252499999999</v>
      </c>
      <c r="K1035" s="3">
        <v>5</v>
      </c>
      <c r="L1035" s="61">
        <f>Table1[[#This Row],[Final_Unit_Price]]*Table1[[#This Row],[Quantity]]</f>
        <v>119061.2625</v>
      </c>
      <c r="M1035" s="59">
        <v>41671.440000000002</v>
      </c>
      <c r="N1035" s="42">
        <v>45643</v>
      </c>
      <c r="O1035" s="20" t="str">
        <f>TEXT(Table1[[#This Row],[Order_Date]],"mmm")</f>
        <v>Dec</v>
      </c>
      <c r="P1035" s="20">
        <f t="shared" si="32"/>
        <v>2024</v>
      </c>
      <c r="Q1035" s="46">
        <v>45648</v>
      </c>
      <c r="R1035" s="20">
        <f>'Cleaned Data'!$Q1035-'Cleaned Data'!$N1035</f>
        <v>5</v>
      </c>
      <c r="S1035" s="19" t="str">
        <f t="shared" si="33"/>
        <v>Winter</v>
      </c>
    </row>
    <row r="1036" spans="1:19" x14ac:dyDescent="0.3">
      <c r="A1036" s="13" t="s">
        <v>1213</v>
      </c>
      <c r="B1036" s="13" t="s">
        <v>26</v>
      </c>
      <c r="C1036" s="5" t="s">
        <v>32</v>
      </c>
      <c r="D1036" s="5" t="s">
        <v>54</v>
      </c>
      <c r="E1036" s="5" t="s">
        <v>60</v>
      </c>
      <c r="F1036" s="5" t="s">
        <v>64</v>
      </c>
      <c r="G1036" s="5" t="s">
        <v>76</v>
      </c>
      <c r="H1036" s="38">
        <v>32646.49</v>
      </c>
      <c r="I1036" s="14">
        <v>0</v>
      </c>
      <c r="J1036" s="38">
        <v>32646.49</v>
      </c>
      <c r="K1036" s="5">
        <v>1</v>
      </c>
      <c r="L1036" s="62">
        <f>Table1[[#This Row],[Final_Unit_Price]]*Table1[[#This Row],[Quantity]]</f>
        <v>32646.49</v>
      </c>
      <c r="M1036" s="60">
        <v>4896.97</v>
      </c>
      <c r="N1036" s="43">
        <v>45704</v>
      </c>
      <c r="O1036" s="18" t="str">
        <f>TEXT(Table1[[#This Row],[Order_Date]],"mmm")</f>
        <v>Feb</v>
      </c>
      <c r="P1036" s="18">
        <f t="shared" si="32"/>
        <v>2025</v>
      </c>
      <c r="Q1036" s="45">
        <v>45713</v>
      </c>
      <c r="R1036" s="19">
        <f>'Cleaned Data'!$Q1036-'Cleaned Data'!$N1036</f>
        <v>9</v>
      </c>
      <c r="S1036" s="19" t="str">
        <f t="shared" si="33"/>
        <v>Summer</v>
      </c>
    </row>
    <row r="1037" spans="1:19" x14ac:dyDescent="0.3">
      <c r="A1037" s="11" t="s">
        <v>1214</v>
      </c>
      <c r="B1037" s="11" t="s">
        <v>24</v>
      </c>
      <c r="C1037" s="3" t="s">
        <v>32</v>
      </c>
      <c r="D1037" s="3" t="s">
        <v>37</v>
      </c>
      <c r="E1037" s="3" t="s">
        <v>59</v>
      </c>
      <c r="F1037" s="3" t="s">
        <v>62</v>
      </c>
      <c r="G1037" s="3" t="s">
        <v>66</v>
      </c>
      <c r="H1037" s="37">
        <v>30106.61</v>
      </c>
      <c r="I1037" s="12">
        <v>0.1</v>
      </c>
      <c r="J1037" s="37">
        <v>27095.949000000001</v>
      </c>
      <c r="K1037" s="3">
        <v>4</v>
      </c>
      <c r="L1037" s="61">
        <f>Table1[[#This Row],[Final_Unit_Price]]*Table1[[#This Row],[Quantity]]</f>
        <v>108383.796</v>
      </c>
      <c r="M1037" s="59">
        <v>37934.33</v>
      </c>
      <c r="N1037" s="42">
        <v>45724</v>
      </c>
      <c r="O1037" s="20" t="str">
        <f>TEXT(Table1[[#This Row],[Order_Date]],"mmm")</f>
        <v>Mar</v>
      </c>
      <c r="P1037" s="20">
        <f t="shared" si="32"/>
        <v>2025</v>
      </c>
      <c r="Q1037" s="46">
        <v>45733</v>
      </c>
      <c r="R1037" s="20">
        <f>'Cleaned Data'!$Q1037-'Cleaned Data'!$N1037</f>
        <v>9</v>
      </c>
      <c r="S1037" s="19" t="str">
        <f t="shared" si="33"/>
        <v>Summer</v>
      </c>
    </row>
    <row r="1038" spans="1:19" x14ac:dyDescent="0.3">
      <c r="A1038" s="13" t="s">
        <v>1215</v>
      </c>
      <c r="B1038" s="13" t="s">
        <v>21</v>
      </c>
      <c r="C1038" s="5" t="s">
        <v>34</v>
      </c>
      <c r="D1038" s="5" t="s">
        <v>51</v>
      </c>
      <c r="E1038" s="5" t="s">
        <v>59</v>
      </c>
      <c r="F1038" s="5" t="s">
        <v>61</v>
      </c>
      <c r="G1038" s="5" t="s">
        <v>71</v>
      </c>
      <c r="H1038" s="38">
        <v>3388.02</v>
      </c>
      <c r="I1038" s="14">
        <v>0.05</v>
      </c>
      <c r="J1038" s="38">
        <v>3218.6190000000001</v>
      </c>
      <c r="K1038" s="5">
        <v>7</v>
      </c>
      <c r="L1038" s="62">
        <f>Table1[[#This Row],[Final_Unit_Price]]*Table1[[#This Row],[Quantity]]</f>
        <v>22530.333000000002</v>
      </c>
      <c r="M1038" s="60">
        <v>4506.07</v>
      </c>
      <c r="N1038" s="43">
        <v>45304</v>
      </c>
      <c r="O1038" s="18" t="str">
        <f>TEXT(Table1[[#This Row],[Order_Date]],"mmm")</f>
        <v>Jan</v>
      </c>
      <c r="P1038" s="18">
        <f t="shared" si="32"/>
        <v>2024</v>
      </c>
      <c r="Q1038" s="45">
        <v>45314</v>
      </c>
      <c r="R1038" s="19">
        <f>'Cleaned Data'!$Q1038-'Cleaned Data'!$N1038</f>
        <v>10</v>
      </c>
      <c r="S1038" s="19" t="str">
        <f t="shared" si="33"/>
        <v>Winter</v>
      </c>
    </row>
    <row r="1039" spans="1:19" x14ac:dyDescent="0.3">
      <c r="A1039" s="11" t="s">
        <v>1216</v>
      </c>
      <c r="B1039" s="11" t="s">
        <v>30</v>
      </c>
      <c r="C1039" s="3" t="s">
        <v>33</v>
      </c>
      <c r="D1039" s="3" t="s">
        <v>39</v>
      </c>
      <c r="E1039" s="3" t="s">
        <v>58</v>
      </c>
      <c r="F1039" s="3" t="s">
        <v>63</v>
      </c>
      <c r="G1039" s="3" t="s">
        <v>75</v>
      </c>
      <c r="H1039" s="37">
        <v>14205.57</v>
      </c>
      <c r="I1039" s="12">
        <v>0.15</v>
      </c>
      <c r="J1039" s="37">
        <v>12074.7345</v>
      </c>
      <c r="K1039" s="3">
        <v>1</v>
      </c>
      <c r="L1039" s="61">
        <f>Table1[[#This Row],[Final_Unit_Price]]*Table1[[#This Row],[Quantity]]</f>
        <v>12074.7345</v>
      </c>
      <c r="M1039" s="59">
        <v>3018.68</v>
      </c>
      <c r="N1039" s="42">
        <v>45579</v>
      </c>
      <c r="O1039" s="20" t="str">
        <f>TEXT(Table1[[#This Row],[Order_Date]],"mmm")</f>
        <v>Oct</v>
      </c>
      <c r="P1039" s="20">
        <f t="shared" si="32"/>
        <v>2024</v>
      </c>
      <c r="Q1039" s="46">
        <v>45586</v>
      </c>
      <c r="R1039" s="20">
        <f>'Cleaned Data'!$Q1039-'Cleaned Data'!$N1039</f>
        <v>7</v>
      </c>
      <c r="S1039" s="19" t="str">
        <f t="shared" si="33"/>
        <v>Winter</v>
      </c>
    </row>
    <row r="1040" spans="1:19" x14ac:dyDescent="0.3">
      <c r="A1040" s="13" t="s">
        <v>1217</v>
      </c>
      <c r="B1040" s="13" t="s">
        <v>20</v>
      </c>
      <c r="C1040" s="5" t="s">
        <v>32</v>
      </c>
      <c r="D1040" s="5" t="s">
        <v>43</v>
      </c>
      <c r="E1040" s="5" t="s">
        <v>58</v>
      </c>
      <c r="F1040" s="5" t="s">
        <v>62</v>
      </c>
      <c r="G1040" s="5" t="s">
        <v>69</v>
      </c>
      <c r="H1040" s="38">
        <v>31217.200000000001</v>
      </c>
      <c r="I1040" s="14">
        <v>0.25</v>
      </c>
      <c r="J1040" s="38">
        <v>23412.9</v>
      </c>
      <c r="K1040" s="5">
        <v>5</v>
      </c>
      <c r="L1040" s="62">
        <f>Table1[[#This Row],[Final_Unit_Price]]*Table1[[#This Row],[Quantity]]</f>
        <v>117064.5</v>
      </c>
      <c r="M1040" s="60">
        <v>29266.12</v>
      </c>
      <c r="N1040" s="43">
        <v>45761</v>
      </c>
      <c r="O1040" s="18" t="str">
        <f>TEXT(Table1[[#This Row],[Order_Date]],"mmm")</f>
        <v>Apr</v>
      </c>
      <c r="P1040" s="18">
        <f t="shared" si="32"/>
        <v>2025</v>
      </c>
      <c r="Q1040" s="45">
        <v>45771</v>
      </c>
      <c r="R1040" s="19">
        <f>'Cleaned Data'!$Q1040-'Cleaned Data'!$N1040</f>
        <v>10</v>
      </c>
      <c r="S1040" s="19" t="str">
        <f t="shared" si="33"/>
        <v>Summer</v>
      </c>
    </row>
    <row r="1041" spans="1:19" x14ac:dyDescent="0.3">
      <c r="A1041" s="11" t="s">
        <v>1218</v>
      </c>
      <c r="B1041" s="11" t="s">
        <v>25</v>
      </c>
      <c r="C1041" s="3" t="s">
        <v>34</v>
      </c>
      <c r="D1041" s="3" t="s">
        <v>41</v>
      </c>
      <c r="E1041" s="3" t="s">
        <v>60</v>
      </c>
      <c r="F1041" s="3" t="s">
        <v>61</v>
      </c>
      <c r="G1041" s="3" t="s">
        <v>65</v>
      </c>
      <c r="H1041" s="37">
        <v>681.14</v>
      </c>
      <c r="I1041" s="12">
        <v>0.1</v>
      </c>
      <c r="J1041" s="37">
        <v>613.02599999999995</v>
      </c>
      <c r="K1041" s="3">
        <v>8</v>
      </c>
      <c r="L1041" s="61">
        <f>Table1[[#This Row],[Final_Unit_Price]]*Table1[[#This Row],[Quantity]]</f>
        <v>4904.2079999999996</v>
      </c>
      <c r="M1041" s="59">
        <v>367.81</v>
      </c>
      <c r="N1041" s="42">
        <v>45671</v>
      </c>
      <c r="O1041" s="20" t="str">
        <f>TEXT(Table1[[#This Row],[Order_Date]],"mmm")</f>
        <v>Jan</v>
      </c>
      <c r="P1041" s="20">
        <f t="shared" si="32"/>
        <v>2025</v>
      </c>
      <c r="Q1041" s="46">
        <v>45677</v>
      </c>
      <c r="R1041" s="20">
        <f>'Cleaned Data'!$Q1041-'Cleaned Data'!$N1041</f>
        <v>6</v>
      </c>
      <c r="S1041" s="19" t="str">
        <f t="shared" si="33"/>
        <v>Winter</v>
      </c>
    </row>
    <row r="1042" spans="1:19" x14ac:dyDescent="0.3">
      <c r="A1042" s="13" t="s">
        <v>1219</v>
      </c>
      <c r="B1042" s="13" t="s">
        <v>17</v>
      </c>
      <c r="C1042" s="5" t="s">
        <v>32</v>
      </c>
      <c r="D1042" s="5" t="s">
        <v>37</v>
      </c>
      <c r="E1042" s="5" t="s">
        <v>59</v>
      </c>
      <c r="F1042" s="5" t="s">
        <v>63</v>
      </c>
      <c r="G1042" s="5" t="s">
        <v>75</v>
      </c>
      <c r="H1042" s="38">
        <v>9106.7199999999993</v>
      </c>
      <c r="I1042" s="14">
        <v>0.05</v>
      </c>
      <c r="J1042" s="38">
        <v>8651.3839999999982</v>
      </c>
      <c r="K1042" s="5">
        <v>4</v>
      </c>
      <c r="L1042" s="62">
        <f>Table1[[#This Row],[Final_Unit_Price]]*Table1[[#This Row],[Quantity]]</f>
        <v>34605.535999999993</v>
      </c>
      <c r="M1042" s="60">
        <v>12111.94</v>
      </c>
      <c r="N1042" s="43">
        <v>45398</v>
      </c>
      <c r="O1042" s="18" t="str">
        <f>TEXT(Table1[[#This Row],[Order_Date]],"mmm")</f>
        <v>Apr</v>
      </c>
      <c r="P1042" s="18">
        <f t="shared" si="32"/>
        <v>2024</v>
      </c>
      <c r="Q1042" s="45">
        <v>45400</v>
      </c>
      <c r="R1042" s="19">
        <f>'Cleaned Data'!$Q1042-'Cleaned Data'!$N1042</f>
        <v>2</v>
      </c>
      <c r="S1042" s="19" t="str">
        <f t="shared" si="33"/>
        <v>Summer</v>
      </c>
    </row>
    <row r="1043" spans="1:19" x14ac:dyDescent="0.3">
      <c r="A1043" s="11" t="s">
        <v>1220</v>
      </c>
      <c r="B1043" s="11" t="s">
        <v>22</v>
      </c>
      <c r="C1043" s="3" t="s">
        <v>31</v>
      </c>
      <c r="D1043" s="3" t="s">
        <v>47</v>
      </c>
      <c r="E1043" s="3" t="s">
        <v>59</v>
      </c>
      <c r="F1043" s="3" t="s">
        <v>63</v>
      </c>
      <c r="G1043" s="3" t="s">
        <v>68</v>
      </c>
      <c r="H1043" s="37">
        <v>4128.76</v>
      </c>
      <c r="I1043" s="12">
        <v>0.2</v>
      </c>
      <c r="J1043" s="37">
        <v>3303.0079999999998</v>
      </c>
      <c r="K1043" s="3">
        <v>5</v>
      </c>
      <c r="L1043" s="61">
        <f>Table1[[#This Row],[Final_Unit_Price]]*Table1[[#This Row],[Quantity]]</f>
        <v>16515.04</v>
      </c>
      <c r="M1043" s="59">
        <v>5780.26</v>
      </c>
      <c r="N1043" s="42">
        <v>45515</v>
      </c>
      <c r="O1043" s="20" t="str">
        <f>TEXT(Table1[[#This Row],[Order_Date]],"mmm")</f>
        <v>Aug</v>
      </c>
      <c r="P1043" s="20">
        <f t="shared" si="32"/>
        <v>2024</v>
      </c>
      <c r="Q1043" s="46">
        <v>45524</v>
      </c>
      <c r="R1043" s="20">
        <f>'Cleaned Data'!$Q1043-'Cleaned Data'!$N1043</f>
        <v>9</v>
      </c>
      <c r="S1043" s="19" t="str">
        <f t="shared" si="33"/>
        <v>Monsoon</v>
      </c>
    </row>
    <row r="1044" spans="1:19" x14ac:dyDescent="0.3">
      <c r="A1044" s="13" t="s">
        <v>1221</v>
      </c>
      <c r="B1044" s="13" t="s">
        <v>23</v>
      </c>
      <c r="C1044" s="5" t="s">
        <v>35</v>
      </c>
      <c r="D1044" s="5" t="s">
        <v>38</v>
      </c>
      <c r="E1044" s="5" t="s">
        <v>59</v>
      </c>
      <c r="F1044" s="5" t="s">
        <v>63</v>
      </c>
      <c r="G1044" s="5" t="s">
        <v>75</v>
      </c>
      <c r="H1044" s="38">
        <v>28191.37</v>
      </c>
      <c r="I1044" s="14">
        <v>0.15</v>
      </c>
      <c r="J1044" s="38">
        <v>23962.664499999999</v>
      </c>
      <c r="K1044" s="5">
        <v>3</v>
      </c>
      <c r="L1044" s="62">
        <f>Table1[[#This Row],[Final_Unit_Price]]*Table1[[#This Row],[Quantity]]</f>
        <v>71887.993499999997</v>
      </c>
      <c r="M1044" s="60">
        <v>25160.799999999999</v>
      </c>
      <c r="N1044" s="43">
        <v>45834</v>
      </c>
      <c r="O1044" s="18" t="str">
        <f>TEXT(Table1[[#This Row],[Order_Date]],"mmm")</f>
        <v>Jun</v>
      </c>
      <c r="P1044" s="18">
        <f t="shared" si="32"/>
        <v>2025</v>
      </c>
      <c r="Q1044" s="45">
        <v>45841</v>
      </c>
      <c r="R1044" s="19">
        <f>'Cleaned Data'!$Q1044-'Cleaned Data'!$N1044</f>
        <v>7</v>
      </c>
      <c r="S1044" s="19" t="str">
        <f t="shared" si="33"/>
        <v>Monsoon</v>
      </c>
    </row>
    <row r="1045" spans="1:19" x14ac:dyDescent="0.3">
      <c r="A1045" s="11" t="s">
        <v>1222</v>
      </c>
      <c r="B1045" s="11" t="s">
        <v>24</v>
      </c>
      <c r="C1045" s="3" t="s">
        <v>32</v>
      </c>
      <c r="D1045" s="3" t="s">
        <v>37</v>
      </c>
      <c r="E1045" s="3" t="s">
        <v>59</v>
      </c>
      <c r="F1045" s="3" t="s">
        <v>62</v>
      </c>
      <c r="G1045" s="3" t="s">
        <v>66</v>
      </c>
      <c r="H1045" s="37">
        <v>31873.94</v>
      </c>
      <c r="I1045" s="12">
        <v>0.25</v>
      </c>
      <c r="J1045" s="37">
        <v>23905.455000000002</v>
      </c>
      <c r="K1045" s="3">
        <v>3</v>
      </c>
      <c r="L1045" s="61">
        <f>Table1[[#This Row],[Final_Unit_Price]]*Table1[[#This Row],[Quantity]]</f>
        <v>71716.365000000005</v>
      </c>
      <c r="M1045" s="59">
        <v>25100.73</v>
      </c>
      <c r="N1045" s="42">
        <v>45329</v>
      </c>
      <c r="O1045" s="20" t="str">
        <f>TEXT(Table1[[#This Row],[Order_Date]],"mmm")</f>
        <v>Feb</v>
      </c>
      <c r="P1045" s="20">
        <f t="shared" si="32"/>
        <v>2024</v>
      </c>
      <c r="Q1045" s="46">
        <v>45333</v>
      </c>
      <c r="R1045" s="20">
        <f>'Cleaned Data'!$Q1045-'Cleaned Data'!$N1045</f>
        <v>4</v>
      </c>
      <c r="S1045" s="19" t="str">
        <f t="shared" si="33"/>
        <v>Summer</v>
      </c>
    </row>
    <row r="1046" spans="1:19" x14ac:dyDescent="0.3">
      <c r="A1046" s="13" t="s">
        <v>1223</v>
      </c>
      <c r="B1046" s="13" t="s">
        <v>17</v>
      </c>
      <c r="C1046" s="5" t="s">
        <v>32</v>
      </c>
      <c r="D1046" s="5" t="s">
        <v>43</v>
      </c>
      <c r="E1046" s="5" t="s">
        <v>58</v>
      </c>
      <c r="F1046" s="5" t="s">
        <v>61</v>
      </c>
      <c r="G1046" s="5" t="s">
        <v>71</v>
      </c>
      <c r="H1046" s="38">
        <v>7854.91</v>
      </c>
      <c r="I1046" s="14">
        <v>0.3</v>
      </c>
      <c r="J1046" s="38">
        <v>5498.4369999999999</v>
      </c>
      <c r="K1046" s="5">
        <v>5</v>
      </c>
      <c r="L1046" s="62">
        <f>Table1[[#This Row],[Final_Unit_Price]]*Table1[[#This Row],[Quantity]]</f>
        <v>27492.184999999998</v>
      </c>
      <c r="M1046" s="60">
        <v>6873.05</v>
      </c>
      <c r="N1046" s="43">
        <v>45745</v>
      </c>
      <c r="O1046" s="18" t="str">
        <f>TEXT(Table1[[#This Row],[Order_Date]],"mmm")</f>
        <v>Mar</v>
      </c>
      <c r="P1046" s="18">
        <f t="shared" si="32"/>
        <v>2025</v>
      </c>
      <c r="Q1046" s="45">
        <v>45751</v>
      </c>
      <c r="R1046" s="19">
        <f>'Cleaned Data'!$Q1046-'Cleaned Data'!$N1046</f>
        <v>6</v>
      </c>
      <c r="S1046" s="19" t="str">
        <f t="shared" si="33"/>
        <v>Summer</v>
      </c>
    </row>
    <row r="1047" spans="1:19" x14ac:dyDescent="0.3">
      <c r="A1047" s="11" t="s">
        <v>1224</v>
      </c>
      <c r="B1047" s="11" t="s">
        <v>18</v>
      </c>
      <c r="C1047" s="3" t="s">
        <v>33</v>
      </c>
      <c r="D1047" s="3" t="s">
        <v>39</v>
      </c>
      <c r="E1047" s="3" t="s">
        <v>58</v>
      </c>
      <c r="F1047" s="3" t="s">
        <v>61</v>
      </c>
      <c r="G1047" s="3" t="s">
        <v>70</v>
      </c>
      <c r="H1047" s="37">
        <v>48828.11</v>
      </c>
      <c r="I1047" s="12">
        <v>0.05</v>
      </c>
      <c r="J1047" s="37">
        <v>46386.7045</v>
      </c>
      <c r="K1047" s="3">
        <v>4</v>
      </c>
      <c r="L1047" s="61">
        <f>Table1[[#This Row],[Final_Unit_Price]]*Table1[[#This Row],[Quantity]]</f>
        <v>185546.818</v>
      </c>
      <c r="M1047" s="59">
        <v>46386.71</v>
      </c>
      <c r="N1047" s="42">
        <v>45559</v>
      </c>
      <c r="O1047" s="20" t="str">
        <f>TEXT(Table1[[#This Row],[Order_Date]],"mmm")</f>
        <v>Sep</v>
      </c>
      <c r="P1047" s="20">
        <f t="shared" si="32"/>
        <v>2024</v>
      </c>
      <c r="Q1047" s="46">
        <v>45563</v>
      </c>
      <c r="R1047" s="20">
        <f>'Cleaned Data'!$Q1047-'Cleaned Data'!$N1047</f>
        <v>4</v>
      </c>
      <c r="S1047" s="19" t="str">
        <f t="shared" si="33"/>
        <v>Monsoon</v>
      </c>
    </row>
    <row r="1048" spans="1:19" x14ac:dyDescent="0.3">
      <c r="A1048" s="13" t="s">
        <v>1225</v>
      </c>
      <c r="B1048" s="13" t="s">
        <v>28</v>
      </c>
      <c r="C1048" s="5" t="s">
        <v>34</v>
      </c>
      <c r="D1048" s="5" t="s">
        <v>51</v>
      </c>
      <c r="E1048" s="5" t="s">
        <v>59</v>
      </c>
      <c r="F1048" s="5" t="s">
        <v>63</v>
      </c>
      <c r="G1048" s="5" t="s">
        <v>75</v>
      </c>
      <c r="H1048" s="38">
        <v>1635.48</v>
      </c>
      <c r="I1048" s="14">
        <v>0</v>
      </c>
      <c r="J1048" s="38">
        <v>1635.48</v>
      </c>
      <c r="K1048" s="5">
        <v>5</v>
      </c>
      <c r="L1048" s="62">
        <f>Table1[[#This Row],[Final_Unit_Price]]*Table1[[#This Row],[Quantity]]</f>
        <v>8177.4</v>
      </c>
      <c r="M1048" s="60">
        <v>2289.67</v>
      </c>
      <c r="N1048" s="43">
        <v>45681</v>
      </c>
      <c r="O1048" s="18" t="str">
        <f>TEXT(Table1[[#This Row],[Order_Date]],"mmm")</f>
        <v>Jan</v>
      </c>
      <c r="P1048" s="18">
        <f t="shared" si="32"/>
        <v>2025</v>
      </c>
      <c r="Q1048" s="45">
        <v>45688</v>
      </c>
      <c r="R1048" s="19">
        <f>'Cleaned Data'!$Q1048-'Cleaned Data'!$N1048</f>
        <v>7</v>
      </c>
      <c r="S1048" s="19" t="str">
        <f t="shared" si="33"/>
        <v>Winter</v>
      </c>
    </row>
    <row r="1049" spans="1:19" x14ac:dyDescent="0.3">
      <c r="A1049" s="11" t="s">
        <v>1226</v>
      </c>
      <c r="B1049" s="11" t="s">
        <v>20</v>
      </c>
      <c r="C1049" s="3" t="s">
        <v>32</v>
      </c>
      <c r="D1049" s="3" t="s">
        <v>43</v>
      </c>
      <c r="E1049" s="3" t="s">
        <v>58</v>
      </c>
      <c r="F1049" s="3" t="s">
        <v>64</v>
      </c>
      <c r="G1049" s="3" t="s">
        <v>74</v>
      </c>
      <c r="H1049" s="37">
        <v>33636.17</v>
      </c>
      <c r="I1049" s="12">
        <v>0.2</v>
      </c>
      <c r="J1049" s="37">
        <v>26908.936000000002</v>
      </c>
      <c r="K1049" s="3">
        <v>1</v>
      </c>
      <c r="L1049" s="61">
        <f>Table1[[#This Row],[Final_Unit_Price]]*Table1[[#This Row],[Quantity]]</f>
        <v>26908.936000000002</v>
      </c>
      <c r="M1049" s="59">
        <v>6727.23</v>
      </c>
      <c r="N1049" s="42">
        <v>45817</v>
      </c>
      <c r="O1049" s="20" t="str">
        <f>TEXT(Table1[[#This Row],[Order_Date]],"mmm")</f>
        <v>Jun</v>
      </c>
      <c r="P1049" s="20">
        <f t="shared" si="32"/>
        <v>2025</v>
      </c>
      <c r="Q1049" s="46">
        <v>45827</v>
      </c>
      <c r="R1049" s="20">
        <f>'Cleaned Data'!$Q1049-'Cleaned Data'!$N1049</f>
        <v>10</v>
      </c>
      <c r="S1049" s="19" t="str">
        <f t="shared" si="33"/>
        <v>Monsoon</v>
      </c>
    </row>
    <row r="1050" spans="1:19" x14ac:dyDescent="0.3">
      <c r="A1050" s="13" t="s">
        <v>1227</v>
      </c>
      <c r="B1050" s="13" t="s">
        <v>19</v>
      </c>
      <c r="C1050" s="5" t="s">
        <v>33</v>
      </c>
      <c r="D1050" s="5" t="s">
        <v>53</v>
      </c>
      <c r="E1050" s="5" t="s">
        <v>58</v>
      </c>
      <c r="F1050" s="5" t="s">
        <v>61</v>
      </c>
      <c r="G1050" s="5" t="s">
        <v>71</v>
      </c>
      <c r="H1050" s="38">
        <v>1922.4</v>
      </c>
      <c r="I1050" s="14">
        <v>0.15</v>
      </c>
      <c r="J1050" s="38">
        <v>1634.04</v>
      </c>
      <c r="K1050" s="5">
        <v>4</v>
      </c>
      <c r="L1050" s="62">
        <f>Table1[[#This Row],[Final_Unit_Price]]*Table1[[#This Row],[Quantity]]</f>
        <v>6536.16</v>
      </c>
      <c r="M1050" s="60">
        <v>1634.04</v>
      </c>
      <c r="N1050" s="43">
        <v>45650</v>
      </c>
      <c r="O1050" s="18" t="str">
        <f>TEXT(Table1[[#This Row],[Order_Date]],"mmm")</f>
        <v>Dec</v>
      </c>
      <c r="P1050" s="18">
        <f t="shared" si="32"/>
        <v>2024</v>
      </c>
      <c r="Q1050" s="45">
        <v>45657</v>
      </c>
      <c r="R1050" s="19">
        <f>'Cleaned Data'!$Q1050-'Cleaned Data'!$N1050</f>
        <v>7</v>
      </c>
      <c r="S1050" s="19" t="str">
        <f t="shared" si="33"/>
        <v>Winter</v>
      </c>
    </row>
    <row r="1051" spans="1:19" x14ac:dyDescent="0.3">
      <c r="A1051" s="11" t="s">
        <v>1228</v>
      </c>
      <c r="B1051" s="11" t="s">
        <v>28</v>
      </c>
      <c r="C1051" s="3" t="s">
        <v>34</v>
      </c>
      <c r="D1051" s="3" t="s">
        <v>49</v>
      </c>
      <c r="E1051" s="3" t="s">
        <v>59</v>
      </c>
      <c r="F1051" s="3" t="s">
        <v>62</v>
      </c>
      <c r="G1051" s="3" t="s">
        <v>66</v>
      </c>
      <c r="H1051" s="37">
        <v>1877.69</v>
      </c>
      <c r="I1051" s="12">
        <v>0.25</v>
      </c>
      <c r="J1051" s="37">
        <v>1408.2674999999999</v>
      </c>
      <c r="K1051" s="3">
        <v>1</v>
      </c>
      <c r="L1051" s="61">
        <f>Table1[[#This Row],[Final_Unit_Price]]*Table1[[#This Row],[Quantity]]</f>
        <v>1408.2674999999999</v>
      </c>
      <c r="M1051" s="59">
        <v>492.89</v>
      </c>
      <c r="N1051" s="42">
        <v>45524</v>
      </c>
      <c r="O1051" s="20" t="str">
        <f>TEXT(Table1[[#This Row],[Order_Date]],"mmm")</f>
        <v>Aug</v>
      </c>
      <c r="P1051" s="20">
        <f t="shared" si="32"/>
        <v>2024</v>
      </c>
      <c r="Q1051" s="46">
        <v>45529</v>
      </c>
      <c r="R1051" s="20">
        <f>'Cleaned Data'!$Q1051-'Cleaned Data'!$N1051</f>
        <v>5</v>
      </c>
      <c r="S1051" s="19" t="str">
        <f t="shared" si="33"/>
        <v>Monsoon</v>
      </c>
    </row>
    <row r="1052" spans="1:19" x14ac:dyDescent="0.3">
      <c r="A1052" s="13" t="s">
        <v>1229</v>
      </c>
      <c r="B1052" s="13" t="s">
        <v>27</v>
      </c>
      <c r="C1052" s="5" t="s">
        <v>35</v>
      </c>
      <c r="D1052" s="5" t="s">
        <v>48</v>
      </c>
      <c r="E1052" s="5" t="s">
        <v>58</v>
      </c>
      <c r="F1052" s="5" t="s">
        <v>64</v>
      </c>
      <c r="G1052" s="5" t="s">
        <v>72</v>
      </c>
      <c r="H1052" s="38">
        <v>8407.94</v>
      </c>
      <c r="I1052" s="14">
        <v>0.1</v>
      </c>
      <c r="J1052" s="38">
        <v>7567.1460000000006</v>
      </c>
      <c r="K1052" s="5">
        <v>5</v>
      </c>
      <c r="L1052" s="62">
        <f>Table1[[#This Row],[Final_Unit_Price]]*Table1[[#This Row],[Quantity]]</f>
        <v>37835.730000000003</v>
      </c>
      <c r="M1052" s="60">
        <v>9458.93</v>
      </c>
      <c r="N1052" s="43">
        <v>45502</v>
      </c>
      <c r="O1052" s="18" t="str">
        <f>TEXT(Table1[[#This Row],[Order_Date]],"mmm")</f>
        <v>Jul</v>
      </c>
      <c r="P1052" s="18">
        <f t="shared" si="32"/>
        <v>2024</v>
      </c>
      <c r="Q1052" s="45">
        <v>45504</v>
      </c>
      <c r="R1052" s="19">
        <f>'Cleaned Data'!$Q1052-'Cleaned Data'!$N1052</f>
        <v>2</v>
      </c>
      <c r="S1052" s="19" t="str">
        <f t="shared" si="33"/>
        <v>Monsoon</v>
      </c>
    </row>
    <row r="1053" spans="1:19" x14ac:dyDescent="0.3">
      <c r="A1053" s="11" t="s">
        <v>1230</v>
      </c>
      <c r="B1053" s="11" t="s">
        <v>24</v>
      </c>
      <c r="C1053" s="3" t="s">
        <v>32</v>
      </c>
      <c r="D1053" s="3" t="s">
        <v>40</v>
      </c>
      <c r="E1053" s="3" t="s">
        <v>59</v>
      </c>
      <c r="F1053" s="3" t="s">
        <v>63</v>
      </c>
      <c r="G1053" s="3" t="s">
        <v>68</v>
      </c>
      <c r="H1053" s="37">
        <v>29551.17</v>
      </c>
      <c r="I1053" s="12">
        <v>0.25</v>
      </c>
      <c r="J1053" s="37">
        <v>22163.377499999999</v>
      </c>
      <c r="K1053" s="3">
        <v>5</v>
      </c>
      <c r="L1053" s="61">
        <f>Table1[[#This Row],[Final_Unit_Price]]*Table1[[#This Row],[Quantity]]</f>
        <v>110816.8875</v>
      </c>
      <c r="M1053" s="59">
        <v>38785.910000000003</v>
      </c>
      <c r="N1053" s="42">
        <v>45328</v>
      </c>
      <c r="O1053" s="20" t="str">
        <f>TEXT(Table1[[#This Row],[Order_Date]],"mmm")</f>
        <v>Feb</v>
      </c>
      <c r="P1053" s="20">
        <f t="shared" si="32"/>
        <v>2024</v>
      </c>
      <c r="Q1053" s="46">
        <v>45338</v>
      </c>
      <c r="R1053" s="20">
        <f>'Cleaned Data'!$Q1053-'Cleaned Data'!$N1053</f>
        <v>10</v>
      </c>
      <c r="S1053" s="19" t="str">
        <f t="shared" si="33"/>
        <v>Summer</v>
      </c>
    </row>
    <row r="1054" spans="1:19" x14ac:dyDescent="0.3">
      <c r="A1054" s="13" t="s">
        <v>1231</v>
      </c>
      <c r="B1054" s="13" t="s">
        <v>20</v>
      </c>
      <c r="C1054" s="5" t="s">
        <v>32</v>
      </c>
      <c r="D1054" s="5" t="s">
        <v>37</v>
      </c>
      <c r="E1054" s="5" t="s">
        <v>59</v>
      </c>
      <c r="F1054" s="5" t="s">
        <v>61</v>
      </c>
      <c r="G1054" s="5" t="s">
        <v>65</v>
      </c>
      <c r="H1054" s="38">
        <v>36003.51</v>
      </c>
      <c r="I1054" s="14">
        <v>0.05</v>
      </c>
      <c r="J1054" s="38">
        <v>34203.334499999997</v>
      </c>
      <c r="K1054" s="5">
        <v>5</v>
      </c>
      <c r="L1054" s="62">
        <f>Table1[[#This Row],[Final_Unit_Price]]*Table1[[#This Row],[Quantity]]</f>
        <v>171016.67249999999</v>
      </c>
      <c r="M1054" s="60">
        <v>59855.83</v>
      </c>
      <c r="N1054" s="43">
        <v>45352</v>
      </c>
      <c r="O1054" s="18" t="str">
        <f>TEXT(Table1[[#This Row],[Order_Date]],"mmm")</f>
        <v>Mar</v>
      </c>
      <c r="P1054" s="18">
        <f t="shared" si="32"/>
        <v>2024</v>
      </c>
      <c r="Q1054" s="45">
        <v>45358</v>
      </c>
      <c r="R1054" s="19">
        <f>'Cleaned Data'!$Q1054-'Cleaned Data'!$N1054</f>
        <v>6</v>
      </c>
      <c r="S1054" s="19" t="str">
        <f t="shared" si="33"/>
        <v>Summer</v>
      </c>
    </row>
    <row r="1055" spans="1:19" x14ac:dyDescent="0.3">
      <c r="A1055" s="11" t="s">
        <v>1232</v>
      </c>
      <c r="B1055" s="11" t="s">
        <v>28</v>
      </c>
      <c r="C1055" s="3" t="s">
        <v>34</v>
      </c>
      <c r="D1055" s="3" t="s">
        <v>52</v>
      </c>
      <c r="E1055" s="3" t="s">
        <v>60</v>
      </c>
      <c r="F1055" s="3" t="s">
        <v>63</v>
      </c>
      <c r="G1055" s="3" t="s">
        <v>73</v>
      </c>
      <c r="H1055" s="37">
        <v>1219.95</v>
      </c>
      <c r="I1055" s="12">
        <v>0.25</v>
      </c>
      <c r="J1055" s="37">
        <v>914.96250000000009</v>
      </c>
      <c r="K1055" s="3">
        <v>5</v>
      </c>
      <c r="L1055" s="61">
        <f>Table1[[#This Row],[Final_Unit_Price]]*Table1[[#This Row],[Quantity]]</f>
        <v>4574.8125</v>
      </c>
      <c r="M1055" s="59">
        <v>274.49</v>
      </c>
      <c r="N1055" s="42">
        <v>45313</v>
      </c>
      <c r="O1055" s="20" t="str">
        <f>TEXT(Table1[[#This Row],[Order_Date]],"mmm")</f>
        <v>Jan</v>
      </c>
      <c r="P1055" s="20">
        <f t="shared" si="32"/>
        <v>2024</v>
      </c>
      <c r="Q1055" s="46">
        <v>45322</v>
      </c>
      <c r="R1055" s="20">
        <f>'Cleaned Data'!$Q1055-'Cleaned Data'!$N1055</f>
        <v>9</v>
      </c>
      <c r="S1055" s="19" t="str">
        <f t="shared" si="33"/>
        <v>Winter</v>
      </c>
    </row>
    <row r="1056" spans="1:19" x14ac:dyDescent="0.3">
      <c r="A1056" s="13" t="s">
        <v>1233</v>
      </c>
      <c r="B1056" s="13" t="s">
        <v>16</v>
      </c>
      <c r="C1056" s="5" t="s">
        <v>31</v>
      </c>
      <c r="D1056" s="5" t="s">
        <v>42</v>
      </c>
      <c r="E1056" s="5" t="s">
        <v>60</v>
      </c>
      <c r="F1056" s="5" t="s">
        <v>63</v>
      </c>
      <c r="G1056" s="5" t="s">
        <v>73</v>
      </c>
      <c r="H1056" s="38">
        <v>1949.44</v>
      </c>
      <c r="I1056" s="14">
        <v>0.3</v>
      </c>
      <c r="J1056" s="38">
        <v>1364.6079999999999</v>
      </c>
      <c r="K1056" s="5">
        <v>2</v>
      </c>
      <c r="L1056" s="62">
        <f>Table1[[#This Row],[Final_Unit_Price]]*Table1[[#This Row],[Quantity]]</f>
        <v>2729.2159999999999</v>
      </c>
      <c r="M1056" s="60">
        <v>409.38</v>
      </c>
      <c r="N1056" s="43">
        <v>45633</v>
      </c>
      <c r="O1056" s="18" t="str">
        <f>TEXT(Table1[[#This Row],[Order_Date]],"mmm")</f>
        <v>Dec</v>
      </c>
      <c r="P1056" s="18">
        <f t="shared" si="32"/>
        <v>2024</v>
      </c>
      <c r="Q1056" s="45">
        <v>45636</v>
      </c>
      <c r="R1056" s="19">
        <f>'Cleaned Data'!$Q1056-'Cleaned Data'!$N1056</f>
        <v>3</v>
      </c>
      <c r="S1056" s="19" t="str">
        <f t="shared" si="33"/>
        <v>Winter</v>
      </c>
    </row>
    <row r="1057" spans="1:19" x14ac:dyDescent="0.3">
      <c r="A1057" s="11" t="s">
        <v>1234</v>
      </c>
      <c r="B1057" s="11" t="s">
        <v>23</v>
      </c>
      <c r="C1057" s="3" t="s">
        <v>35</v>
      </c>
      <c r="D1057" s="3" t="s">
        <v>44</v>
      </c>
      <c r="E1057" s="3" t="s">
        <v>60</v>
      </c>
      <c r="F1057" s="3" t="s">
        <v>62</v>
      </c>
      <c r="G1057" s="3" t="s">
        <v>66</v>
      </c>
      <c r="H1057" s="37">
        <v>21084.94</v>
      </c>
      <c r="I1057" s="12">
        <v>0.05</v>
      </c>
      <c r="J1057" s="37">
        <v>20030.692999999999</v>
      </c>
      <c r="K1057" s="3">
        <v>1</v>
      </c>
      <c r="L1057" s="61">
        <f>Table1[[#This Row],[Final_Unit_Price]]*Table1[[#This Row],[Quantity]]</f>
        <v>20030.692999999999</v>
      </c>
      <c r="M1057" s="59">
        <v>3004.6</v>
      </c>
      <c r="N1057" s="42">
        <v>45701</v>
      </c>
      <c r="O1057" s="20" t="str">
        <f>TEXT(Table1[[#This Row],[Order_Date]],"mmm")</f>
        <v>Feb</v>
      </c>
      <c r="P1057" s="20">
        <f t="shared" si="32"/>
        <v>2025</v>
      </c>
      <c r="Q1057" s="46">
        <v>45709</v>
      </c>
      <c r="R1057" s="20">
        <f>'Cleaned Data'!$Q1057-'Cleaned Data'!$N1057</f>
        <v>8</v>
      </c>
      <c r="S1057" s="19" t="str">
        <f t="shared" si="33"/>
        <v>Summer</v>
      </c>
    </row>
    <row r="1058" spans="1:19" x14ac:dyDescent="0.3">
      <c r="A1058" s="13" t="s">
        <v>1235</v>
      </c>
      <c r="B1058" s="13" t="s">
        <v>22</v>
      </c>
      <c r="C1058" s="5" t="s">
        <v>31</v>
      </c>
      <c r="D1058" s="5" t="s">
        <v>36</v>
      </c>
      <c r="E1058" s="5" t="s">
        <v>58</v>
      </c>
      <c r="F1058" s="5" t="s">
        <v>62</v>
      </c>
      <c r="G1058" s="5" t="s">
        <v>66</v>
      </c>
      <c r="H1058" s="38">
        <v>3732.18</v>
      </c>
      <c r="I1058" s="14">
        <v>0.1</v>
      </c>
      <c r="J1058" s="38">
        <v>3358.962</v>
      </c>
      <c r="K1058" s="5">
        <v>5</v>
      </c>
      <c r="L1058" s="62">
        <f>Table1[[#This Row],[Final_Unit_Price]]*Table1[[#This Row],[Quantity]]</f>
        <v>16794.810000000001</v>
      </c>
      <c r="M1058" s="60">
        <v>4198.7</v>
      </c>
      <c r="N1058" s="43">
        <v>45500</v>
      </c>
      <c r="O1058" s="18" t="str">
        <f>TEXT(Table1[[#This Row],[Order_Date]],"mmm")</f>
        <v>Jul</v>
      </c>
      <c r="P1058" s="18">
        <f t="shared" si="32"/>
        <v>2024</v>
      </c>
      <c r="Q1058" s="45">
        <v>45509</v>
      </c>
      <c r="R1058" s="19">
        <f>'Cleaned Data'!$Q1058-'Cleaned Data'!$N1058</f>
        <v>9</v>
      </c>
      <c r="S1058" s="19" t="str">
        <f t="shared" si="33"/>
        <v>Monsoon</v>
      </c>
    </row>
    <row r="1059" spans="1:19" x14ac:dyDescent="0.3">
      <c r="A1059" s="11" t="s">
        <v>1236</v>
      </c>
      <c r="B1059" s="11" t="s">
        <v>22</v>
      </c>
      <c r="C1059" s="3" t="s">
        <v>31</v>
      </c>
      <c r="D1059" s="3" t="s">
        <v>42</v>
      </c>
      <c r="E1059" s="3" t="s">
        <v>60</v>
      </c>
      <c r="F1059" s="3" t="s">
        <v>64</v>
      </c>
      <c r="G1059" s="3" t="s">
        <v>72</v>
      </c>
      <c r="H1059" s="37">
        <v>3181.86</v>
      </c>
      <c r="I1059" s="12">
        <v>0.25</v>
      </c>
      <c r="J1059" s="37">
        <v>2386.395</v>
      </c>
      <c r="K1059" s="3">
        <v>2</v>
      </c>
      <c r="L1059" s="61">
        <f>Table1[[#This Row],[Final_Unit_Price]]*Table1[[#This Row],[Quantity]]</f>
        <v>4772.79</v>
      </c>
      <c r="M1059" s="59">
        <v>715.92</v>
      </c>
      <c r="N1059" s="42">
        <v>45367</v>
      </c>
      <c r="O1059" s="20" t="str">
        <f>TEXT(Table1[[#This Row],[Order_Date]],"mmm")</f>
        <v>Mar</v>
      </c>
      <c r="P1059" s="20">
        <f t="shared" si="32"/>
        <v>2024</v>
      </c>
      <c r="Q1059" s="46">
        <v>45373</v>
      </c>
      <c r="R1059" s="20">
        <f>'Cleaned Data'!$Q1059-'Cleaned Data'!$N1059</f>
        <v>6</v>
      </c>
      <c r="S1059" s="19" t="str">
        <f t="shared" si="33"/>
        <v>Summer</v>
      </c>
    </row>
    <row r="1060" spans="1:19" x14ac:dyDescent="0.3">
      <c r="A1060" s="13" t="s">
        <v>1237</v>
      </c>
      <c r="B1060" s="13" t="s">
        <v>20</v>
      </c>
      <c r="C1060" s="5" t="s">
        <v>32</v>
      </c>
      <c r="D1060" s="5" t="s">
        <v>54</v>
      </c>
      <c r="E1060" s="5" t="s">
        <v>60</v>
      </c>
      <c r="F1060" s="5" t="s">
        <v>61</v>
      </c>
      <c r="G1060" s="5" t="s">
        <v>65</v>
      </c>
      <c r="H1060" s="38">
        <v>25719.33</v>
      </c>
      <c r="I1060" s="14">
        <v>0.3</v>
      </c>
      <c r="J1060" s="38">
        <v>18003.530999999999</v>
      </c>
      <c r="K1060" s="5">
        <v>5</v>
      </c>
      <c r="L1060" s="62">
        <f>Table1[[#This Row],[Final_Unit_Price]]*Table1[[#This Row],[Quantity]]</f>
        <v>90017.654999999999</v>
      </c>
      <c r="M1060" s="60">
        <v>13502.65</v>
      </c>
      <c r="N1060" s="43">
        <v>45857</v>
      </c>
      <c r="O1060" s="18" t="str">
        <f>TEXT(Table1[[#This Row],[Order_Date]],"mmm")</f>
        <v>Jul</v>
      </c>
      <c r="P1060" s="18">
        <f t="shared" si="32"/>
        <v>2025</v>
      </c>
      <c r="Q1060" s="45">
        <v>45867</v>
      </c>
      <c r="R1060" s="19">
        <f>'Cleaned Data'!$Q1060-'Cleaned Data'!$N1060</f>
        <v>10</v>
      </c>
      <c r="S1060" s="19" t="str">
        <f t="shared" si="33"/>
        <v>Monsoon</v>
      </c>
    </row>
    <row r="1061" spans="1:19" x14ac:dyDescent="0.3">
      <c r="A1061" s="11" t="s">
        <v>1238</v>
      </c>
      <c r="B1061" s="11" t="s">
        <v>27</v>
      </c>
      <c r="C1061" s="3" t="s">
        <v>35</v>
      </c>
      <c r="D1061" s="3" t="s">
        <v>46</v>
      </c>
      <c r="E1061" s="3" t="s">
        <v>59</v>
      </c>
      <c r="F1061" s="3" t="s">
        <v>61</v>
      </c>
      <c r="G1061" s="3" t="s">
        <v>71</v>
      </c>
      <c r="H1061" s="37">
        <v>9751.65</v>
      </c>
      <c r="I1061" s="12">
        <v>0.15</v>
      </c>
      <c r="J1061" s="37">
        <v>8288.9025000000001</v>
      </c>
      <c r="K1061" s="3">
        <v>4</v>
      </c>
      <c r="L1061" s="61">
        <f>Table1[[#This Row],[Final_Unit_Price]]*Table1[[#This Row],[Quantity]]</f>
        <v>33155.61</v>
      </c>
      <c r="M1061" s="59">
        <v>11604.46</v>
      </c>
      <c r="N1061" s="42">
        <v>45701</v>
      </c>
      <c r="O1061" s="20" t="str">
        <f>TEXT(Table1[[#This Row],[Order_Date]],"mmm")</f>
        <v>Feb</v>
      </c>
      <c r="P1061" s="20">
        <f t="shared" si="32"/>
        <v>2025</v>
      </c>
      <c r="Q1061" s="46">
        <v>45705</v>
      </c>
      <c r="R1061" s="20">
        <f>'Cleaned Data'!$Q1061-'Cleaned Data'!$N1061</f>
        <v>4</v>
      </c>
      <c r="S1061" s="19" t="str">
        <f t="shared" si="33"/>
        <v>Summer</v>
      </c>
    </row>
    <row r="1062" spans="1:19" x14ac:dyDescent="0.3">
      <c r="A1062" s="13" t="s">
        <v>1239</v>
      </c>
      <c r="B1062" s="13" t="s">
        <v>23</v>
      </c>
      <c r="C1062" s="5" t="s">
        <v>35</v>
      </c>
      <c r="D1062" s="5" t="s">
        <v>46</v>
      </c>
      <c r="E1062" s="5" t="s">
        <v>59</v>
      </c>
      <c r="F1062" s="5" t="s">
        <v>62</v>
      </c>
      <c r="G1062" s="5" t="s">
        <v>69</v>
      </c>
      <c r="H1062" s="38">
        <v>31018.36</v>
      </c>
      <c r="I1062" s="14">
        <v>0.2</v>
      </c>
      <c r="J1062" s="38">
        <v>24814.687999999998</v>
      </c>
      <c r="K1062" s="5">
        <v>2</v>
      </c>
      <c r="L1062" s="62">
        <f>Table1[[#This Row],[Final_Unit_Price]]*Table1[[#This Row],[Quantity]]</f>
        <v>49629.375999999997</v>
      </c>
      <c r="M1062" s="60">
        <v>17370.28</v>
      </c>
      <c r="N1062" s="43">
        <v>45591</v>
      </c>
      <c r="O1062" s="18" t="str">
        <f>TEXT(Table1[[#This Row],[Order_Date]],"mmm")</f>
        <v>Oct</v>
      </c>
      <c r="P1062" s="18">
        <f t="shared" si="32"/>
        <v>2024</v>
      </c>
      <c r="Q1062" s="45">
        <v>45597</v>
      </c>
      <c r="R1062" s="19">
        <f>'Cleaned Data'!$Q1062-'Cleaned Data'!$N1062</f>
        <v>6</v>
      </c>
      <c r="S1062" s="19" t="str">
        <f t="shared" si="33"/>
        <v>Winter</v>
      </c>
    </row>
    <row r="1063" spans="1:19" x14ac:dyDescent="0.3">
      <c r="A1063" s="11" t="s">
        <v>1240</v>
      </c>
      <c r="B1063" s="11" t="s">
        <v>20</v>
      </c>
      <c r="C1063" s="3" t="s">
        <v>32</v>
      </c>
      <c r="D1063" s="3" t="s">
        <v>54</v>
      </c>
      <c r="E1063" s="3" t="s">
        <v>60</v>
      </c>
      <c r="F1063" s="3" t="s">
        <v>61</v>
      </c>
      <c r="G1063" s="3" t="s">
        <v>71</v>
      </c>
      <c r="H1063" s="37">
        <v>24324.959999999999</v>
      </c>
      <c r="I1063" s="12">
        <v>0.1</v>
      </c>
      <c r="J1063" s="37">
        <v>21892.464</v>
      </c>
      <c r="K1063" s="3">
        <v>2</v>
      </c>
      <c r="L1063" s="61">
        <f>Table1[[#This Row],[Final_Unit_Price]]*Table1[[#This Row],[Quantity]]</f>
        <v>43784.928</v>
      </c>
      <c r="M1063" s="59">
        <v>6567.74</v>
      </c>
      <c r="N1063" s="42">
        <v>45646</v>
      </c>
      <c r="O1063" s="20" t="str">
        <f>TEXT(Table1[[#This Row],[Order_Date]],"mmm")</f>
        <v>Dec</v>
      </c>
      <c r="P1063" s="20">
        <f t="shared" si="32"/>
        <v>2024</v>
      </c>
      <c r="Q1063" s="46">
        <v>45656</v>
      </c>
      <c r="R1063" s="20">
        <f>'Cleaned Data'!$Q1063-'Cleaned Data'!$N1063</f>
        <v>10</v>
      </c>
      <c r="S1063" s="19" t="str">
        <f t="shared" si="33"/>
        <v>Winter</v>
      </c>
    </row>
    <row r="1064" spans="1:19" x14ac:dyDescent="0.3">
      <c r="A1064" s="13" t="s">
        <v>1241</v>
      </c>
      <c r="B1064" s="13" t="s">
        <v>19</v>
      </c>
      <c r="C1064" s="5" t="s">
        <v>33</v>
      </c>
      <c r="D1064" s="5" t="s">
        <v>57</v>
      </c>
      <c r="E1064" s="5" t="s">
        <v>60</v>
      </c>
      <c r="F1064" s="5" t="s">
        <v>61</v>
      </c>
      <c r="G1064" s="5" t="s">
        <v>71</v>
      </c>
      <c r="H1064" s="38">
        <v>1595.31</v>
      </c>
      <c r="I1064" s="14">
        <v>0.15</v>
      </c>
      <c r="J1064" s="38">
        <v>1356.0135</v>
      </c>
      <c r="K1064" s="5">
        <v>2</v>
      </c>
      <c r="L1064" s="62">
        <f>Table1[[#This Row],[Final_Unit_Price]]*Table1[[#This Row],[Quantity]]</f>
        <v>2712.027</v>
      </c>
      <c r="M1064" s="60">
        <v>406.8</v>
      </c>
      <c r="N1064" s="43">
        <v>45382</v>
      </c>
      <c r="O1064" s="18" t="str">
        <f>TEXT(Table1[[#This Row],[Order_Date]],"mmm")</f>
        <v>Mar</v>
      </c>
      <c r="P1064" s="18">
        <f t="shared" si="32"/>
        <v>2024</v>
      </c>
      <c r="Q1064" s="45">
        <v>45384</v>
      </c>
      <c r="R1064" s="19">
        <f>'Cleaned Data'!$Q1064-'Cleaned Data'!$N1064</f>
        <v>2</v>
      </c>
      <c r="S1064" s="19" t="str">
        <f t="shared" si="33"/>
        <v>Summer</v>
      </c>
    </row>
    <row r="1065" spans="1:19" x14ac:dyDescent="0.3">
      <c r="A1065" s="11" t="s">
        <v>1242</v>
      </c>
      <c r="B1065" s="11" t="s">
        <v>17</v>
      </c>
      <c r="C1065" s="3" t="s">
        <v>32</v>
      </c>
      <c r="D1065" s="3" t="s">
        <v>54</v>
      </c>
      <c r="E1065" s="3" t="s">
        <v>60</v>
      </c>
      <c r="F1065" s="3" t="s">
        <v>64</v>
      </c>
      <c r="G1065" s="3" t="s">
        <v>72</v>
      </c>
      <c r="H1065" s="37">
        <v>7458.88</v>
      </c>
      <c r="I1065" s="12">
        <v>0.15</v>
      </c>
      <c r="J1065" s="37">
        <v>6340.0479999999998</v>
      </c>
      <c r="K1065" s="3">
        <v>3</v>
      </c>
      <c r="L1065" s="61">
        <f>Table1[[#This Row],[Final_Unit_Price]]*Table1[[#This Row],[Quantity]]</f>
        <v>19020.144</v>
      </c>
      <c r="M1065" s="59">
        <v>2853.02</v>
      </c>
      <c r="N1065" s="42">
        <v>45605</v>
      </c>
      <c r="O1065" s="20" t="str">
        <f>TEXT(Table1[[#This Row],[Order_Date]],"mmm")</f>
        <v>Nov</v>
      </c>
      <c r="P1065" s="20">
        <f t="shared" si="32"/>
        <v>2024</v>
      </c>
      <c r="Q1065" s="46">
        <v>45608</v>
      </c>
      <c r="R1065" s="20">
        <f>'Cleaned Data'!$Q1065-'Cleaned Data'!$N1065</f>
        <v>3</v>
      </c>
      <c r="S1065" s="19" t="str">
        <f t="shared" si="33"/>
        <v>Winter</v>
      </c>
    </row>
    <row r="1066" spans="1:19" x14ac:dyDescent="0.3">
      <c r="A1066" s="13" t="s">
        <v>1243</v>
      </c>
      <c r="B1066" s="13" t="s">
        <v>29</v>
      </c>
      <c r="C1066" s="5" t="s">
        <v>35</v>
      </c>
      <c r="D1066" s="5" t="s">
        <v>46</v>
      </c>
      <c r="E1066" s="5" t="s">
        <v>59</v>
      </c>
      <c r="F1066" s="5" t="s">
        <v>62</v>
      </c>
      <c r="G1066" s="5" t="s">
        <v>69</v>
      </c>
      <c r="H1066" s="38">
        <v>21980.49</v>
      </c>
      <c r="I1066" s="14">
        <v>0</v>
      </c>
      <c r="J1066" s="38">
        <v>21980.49</v>
      </c>
      <c r="K1066" s="5">
        <v>2</v>
      </c>
      <c r="L1066" s="62">
        <f>Table1[[#This Row],[Final_Unit_Price]]*Table1[[#This Row],[Quantity]]</f>
        <v>43960.98</v>
      </c>
      <c r="M1066" s="60">
        <v>15386.34</v>
      </c>
      <c r="N1066" s="43">
        <v>45467</v>
      </c>
      <c r="O1066" s="18" t="str">
        <f>TEXT(Table1[[#This Row],[Order_Date]],"mmm")</f>
        <v>Jun</v>
      </c>
      <c r="P1066" s="18">
        <f t="shared" si="32"/>
        <v>2024</v>
      </c>
      <c r="Q1066" s="45">
        <v>45473</v>
      </c>
      <c r="R1066" s="19">
        <f>'Cleaned Data'!$Q1066-'Cleaned Data'!$N1066</f>
        <v>6</v>
      </c>
      <c r="S1066" s="19" t="str">
        <f t="shared" si="33"/>
        <v>Monsoon</v>
      </c>
    </row>
    <row r="1067" spans="1:19" x14ac:dyDescent="0.3">
      <c r="A1067" s="11" t="s">
        <v>1244</v>
      </c>
      <c r="B1067" s="11" t="s">
        <v>25</v>
      </c>
      <c r="C1067" s="3" t="s">
        <v>34</v>
      </c>
      <c r="D1067" s="3" t="s">
        <v>52</v>
      </c>
      <c r="E1067" s="3" t="s">
        <v>60</v>
      </c>
      <c r="F1067" s="3" t="s">
        <v>63</v>
      </c>
      <c r="G1067" s="3" t="s">
        <v>75</v>
      </c>
      <c r="H1067" s="37">
        <v>616.08000000000004</v>
      </c>
      <c r="I1067" s="12">
        <v>0.15</v>
      </c>
      <c r="J1067" s="37">
        <v>523.66800000000001</v>
      </c>
      <c r="K1067" s="3">
        <v>1</v>
      </c>
      <c r="L1067" s="61">
        <f>Table1[[#This Row],[Final_Unit_Price]]*Table1[[#This Row],[Quantity]]</f>
        <v>523.66800000000001</v>
      </c>
      <c r="M1067" s="59">
        <v>78.55</v>
      </c>
      <c r="N1067" s="42">
        <v>45420</v>
      </c>
      <c r="O1067" s="20" t="str">
        <f>TEXT(Table1[[#This Row],[Order_Date]],"mmm")</f>
        <v>May</v>
      </c>
      <c r="P1067" s="20">
        <f t="shared" si="32"/>
        <v>2024</v>
      </c>
      <c r="Q1067" s="46">
        <v>45430</v>
      </c>
      <c r="R1067" s="20">
        <f>'Cleaned Data'!$Q1067-'Cleaned Data'!$N1067</f>
        <v>10</v>
      </c>
      <c r="S1067" s="19" t="str">
        <f t="shared" si="33"/>
        <v>Summer</v>
      </c>
    </row>
    <row r="1068" spans="1:19" x14ac:dyDescent="0.3">
      <c r="A1068" s="13" t="s">
        <v>1245</v>
      </c>
      <c r="B1068" s="13" t="s">
        <v>22</v>
      </c>
      <c r="C1068" s="5" t="s">
        <v>31</v>
      </c>
      <c r="D1068" s="5" t="s">
        <v>47</v>
      </c>
      <c r="E1068" s="5" t="s">
        <v>59</v>
      </c>
      <c r="F1068" s="5" t="s">
        <v>62</v>
      </c>
      <c r="G1068" s="5" t="s">
        <v>67</v>
      </c>
      <c r="H1068" s="38">
        <v>4404.55</v>
      </c>
      <c r="I1068" s="14">
        <v>0.25</v>
      </c>
      <c r="J1068" s="38">
        <v>3303.4124999999999</v>
      </c>
      <c r="K1068" s="5">
        <v>1</v>
      </c>
      <c r="L1068" s="62">
        <f>Table1[[#This Row],[Final_Unit_Price]]*Table1[[#This Row],[Quantity]]</f>
        <v>3303.4124999999999</v>
      </c>
      <c r="M1068" s="60">
        <v>1156.19</v>
      </c>
      <c r="N1068" s="43">
        <v>45430</v>
      </c>
      <c r="O1068" s="18" t="str">
        <f>TEXT(Table1[[#This Row],[Order_Date]],"mmm")</f>
        <v>May</v>
      </c>
      <c r="P1068" s="18">
        <f t="shared" si="32"/>
        <v>2024</v>
      </c>
      <c r="Q1068" s="45">
        <v>45436</v>
      </c>
      <c r="R1068" s="19">
        <f>'Cleaned Data'!$Q1068-'Cleaned Data'!$N1068</f>
        <v>6</v>
      </c>
      <c r="S1068" s="19" t="str">
        <f t="shared" si="33"/>
        <v>Summer</v>
      </c>
    </row>
    <row r="1069" spans="1:19" x14ac:dyDescent="0.3">
      <c r="A1069" s="11" t="s">
        <v>1246</v>
      </c>
      <c r="B1069" s="11" t="s">
        <v>18</v>
      </c>
      <c r="C1069" s="3" t="s">
        <v>33</v>
      </c>
      <c r="D1069" s="3" t="s">
        <v>39</v>
      </c>
      <c r="E1069" s="3" t="s">
        <v>58</v>
      </c>
      <c r="F1069" s="3" t="s">
        <v>63</v>
      </c>
      <c r="G1069" s="3" t="s">
        <v>73</v>
      </c>
      <c r="H1069" s="37">
        <v>47643.09</v>
      </c>
      <c r="I1069" s="12">
        <v>0.3</v>
      </c>
      <c r="J1069" s="37">
        <v>33350.162999999993</v>
      </c>
      <c r="K1069" s="3">
        <v>3</v>
      </c>
      <c r="L1069" s="61">
        <f>Table1[[#This Row],[Final_Unit_Price]]*Table1[[#This Row],[Quantity]]</f>
        <v>100050.48899999997</v>
      </c>
      <c r="M1069" s="59">
        <v>25012.62</v>
      </c>
      <c r="N1069" s="42">
        <v>45465</v>
      </c>
      <c r="O1069" s="20" t="str">
        <f>TEXT(Table1[[#This Row],[Order_Date]],"mmm")</f>
        <v>Jun</v>
      </c>
      <c r="P1069" s="20">
        <f t="shared" si="32"/>
        <v>2024</v>
      </c>
      <c r="Q1069" s="46">
        <v>45471</v>
      </c>
      <c r="R1069" s="20">
        <f>'Cleaned Data'!$Q1069-'Cleaned Data'!$N1069</f>
        <v>6</v>
      </c>
      <c r="S1069" s="19" t="str">
        <f t="shared" si="33"/>
        <v>Monsoon</v>
      </c>
    </row>
    <row r="1070" spans="1:19" x14ac:dyDescent="0.3">
      <c r="A1070" s="13" t="s">
        <v>1247</v>
      </c>
      <c r="B1070" s="13" t="s">
        <v>24</v>
      </c>
      <c r="C1070" s="5" t="s">
        <v>32</v>
      </c>
      <c r="D1070" s="5" t="s">
        <v>37</v>
      </c>
      <c r="E1070" s="5" t="s">
        <v>59</v>
      </c>
      <c r="F1070" s="5" t="s">
        <v>62</v>
      </c>
      <c r="G1070" s="5" t="s">
        <v>69</v>
      </c>
      <c r="H1070" s="38">
        <v>30682.03</v>
      </c>
      <c r="I1070" s="14">
        <v>0</v>
      </c>
      <c r="J1070" s="38">
        <v>30682.03</v>
      </c>
      <c r="K1070" s="5">
        <v>2</v>
      </c>
      <c r="L1070" s="62">
        <f>Table1[[#This Row],[Final_Unit_Price]]*Table1[[#This Row],[Quantity]]</f>
        <v>61364.06</v>
      </c>
      <c r="M1070" s="60">
        <v>21477.42</v>
      </c>
      <c r="N1070" s="43">
        <v>45831</v>
      </c>
      <c r="O1070" s="18" t="str">
        <f>TEXT(Table1[[#This Row],[Order_Date]],"mmm")</f>
        <v>Jun</v>
      </c>
      <c r="P1070" s="18">
        <f t="shared" si="32"/>
        <v>2025</v>
      </c>
      <c r="Q1070" s="45">
        <v>45837</v>
      </c>
      <c r="R1070" s="19">
        <f>'Cleaned Data'!$Q1070-'Cleaned Data'!$N1070</f>
        <v>6</v>
      </c>
      <c r="S1070" s="19" t="str">
        <f t="shared" si="33"/>
        <v>Monsoon</v>
      </c>
    </row>
    <row r="1071" spans="1:19" x14ac:dyDescent="0.3">
      <c r="A1071" s="11" t="s">
        <v>1248</v>
      </c>
      <c r="B1071" s="11" t="s">
        <v>23</v>
      </c>
      <c r="C1071" s="3" t="s">
        <v>35</v>
      </c>
      <c r="D1071" s="3" t="s">
        <v>48</v>
      </c>
      <c r="E1071" s="3" t="s">
        <v>58</v>
      </c>
      <c r="F1071" s="3" t="s">
        <v>62</v>
      </c>
      <c r="G1071" s="3" t="s">
        <v>69</v>
      </c>
      <c r="H1071" s="37">
        <v>25400.63</v>
      </c>
      <c r="I1071" s="12">
        <v>0.25</v>
      </c>
      <c r="J1071" s="37">
        <v>19050.4725</v>
      </c>
      <c r="K1071" s="3">
        <v>5</v>
      </c>
      <c r="L1071" s="61">
        <f>Table1[[#This Row],[Final_Unit_Price]]*Table1[[#This Row],[Quantity]]</f>
        <v>95252.362500000003</v>
      </c>
      <c r="M1071" s="59">
        <v>23813.09</v>
      </c>
      <c r="N1071" s="42">
        <v>45831</v>
      </c>
      <c r="O1071" s="20" t="str">
        <f>TEXT(Table1[[#This Row],[Order_Date]],"mmm")</f>
        <v>Jun</v>
      </c>
      <c r="P1071" s="20">
        <f t="shared" si="32"/>
        <v>2025</v>
      </c>
      <c r="Q1071" s="46">
        <v>45833</v>
      </c>
      <c r="R1071" s="20">
        <f>'Cleaned Data'!$Q1071-'Cleaned Data'!$N1071</f>
        <v>2</v>
      </c>
      <c r="S1071" s="19" t="str">
        <f t="shared" si="33"/>
        <v>Monsoon</v>
      </c>
    </row>
    <row r="1072" spans="1:19" x14ac:dyDescent="0.3">
      <c r="A1072" s="13" t="s">
        <v>1249</v>
      </c>
      <c r="B1072" s="13" t="s">
        <v>21</v>
      </c>
      <c r="C1072" s="5" t="s">
        <v>34</v>
      </c>
      <c r="D1072" s="5" t="s">
        <v>49</v>
      </c>
      <c r="E1072" s="5" t="s">
        <v>59</v>
      </c>
      <c r="F1072" s="5" t="s">
        <v>63</v>
      </c>
      <c r="G1072" s="5" t="s">
        <v>73</v>
      </c>
      <c r="H1072" s="38">
        <v>3512.46</v>
      </c>
      <c r="I1072" s="14">
        <v>0.1</v>
      </c>
      <c r="J1072" s="38">
        <v>3161.2139999999999</v>
      </c>
      <c r="K1072" s="5">
        <v>4</v>
      </c>
      <c r="L1072" s="62">
        <f>Table1[[#This Row],[Final_Unit_Price]]*Table1[[#This Row],[Quantity]]</f>
        <v>12644.856</v>
      </c>
      <c r="M1072" s="60">
        <v>4425.7</v>
      </c>
      <c r="N1072" s="43">
        <v>45727</v>
      </c>
      <c r="O1072" s="18" t="str">
        <f>TEXT(Table1[[#This Row],[Order_Date]],"mmm")</f>
        <v>Mar</v>
      </c>
      <c r="P1072" s="18">
        <f t="shared" si="32"/>
        <v>2025</v>
      </c>
      <c r="Q1072" s="45">
        <v>45734</v>
      </c>
      <c r="R1072" s="19">
        <f>'Cleaned Data'!$Q1072-'Cleaned Data'!$N1072</f>
        <v>7</v>
      </c>
      <c r="S1072" s="19" t="str">
        <f t="shared" si="33"/>
        <v>Summer</v>
      </c>
    </row>
    <row r="1073" spans="1:19" x14ac:dyDescent="0.3">
      <c r="A1073" s="11" t="s">
        <v>1250</v>
      </c>
      <c r="B1073" s="11" t="s">
        <v>22</v>
      </c>
      <c r="C1073" s="3" t="s">
        <v>31</v>
      </c>
      <c r="D1073" s="3" t="s">
        <v>47</v>
      </c>
      <c r="E1073" s="3" t="s">
        <v>59</v>
      </c>
      <c r="F1073" s="3" t="s">
        <v>64</v>
      </c>
      <c r="G1073" s="3" t="s">
        <v>74</v>
      </c>
      <c r="H1073" s="37">
        <v>4742.08</v>
      </c>
      <c r="I1073" s="12">
        <v>0.25</v>
      </c>
      <c r="J1073" s="37">
        <v>3556.56</v>
      </c>
      <c r="K1073" s="3">
        <v>1</v>
      </c>
      <c r="L1073" s="61">
        <f>Table1[[#This Row],[Final_Unit_Price]]*Table1[[#This Row],[Quantity]]</f>
        <v>3556.56</v>
      </c>
      <c r="M1073" s="59">
        <v>1244.8</v>
      </c>
      <c r="N1073" s="42">
        <v>45520</v>
      </c>
      <c r="O1073" s="20" t="str">
        <f>TEXT(Table1[[#This Row],[Order_Date]],"mmm")</f>
        <v>Aug</v>
      </c>
      <c r="P1073" s="20">
        <f t="shared" si="32"/>
        <v>2024</v>
      </c>
      <c r="Q1073" s="46">
        <v>45529</v>
      </c>
      <c r="R1073" s="20">
        <f>'Cleaned Data'!$Q1073-'Cleaned Data'!$N1073</f>
        <v>9</v>
      </c>
      <c r="S1073" s="19" t="str">
        <f t="shared" si="33"/>
        <v>Monsoon</v>
      </c>
    </row>
    <row r="1074" spans="1:19" x14ac:dyDescent="0.3">
      <c r="A1074" s="13" t="s">
        <v>1251</v>
      </c>
      <c r="B1074" s="13" t="s">
        <v>30</v>
      </c>
      <c r="C1074" s="5" t="s">
        <v>33</v>
      </c>
      <c r="D1074" s="5" t="s">
        <v>53</v>
      </c>
      <c r="E1074" s="5" t="s">
        <v>58</v>
      </c>
      <c r="F1074" s="5" t="s">
        <v>64</v>
      </c>
      <c r="G1074" s="5" t="s">
        <v>74</v>
      </c>
      <c r="H1074" s="38">
        <v>16112.3</v>
      </c>
      <c r="I1074" s="14">
        <v>0.2</v>
      </c>
      <c r="J1074" s="38">
        <v>12889.84</v>
      </c>
      <c r="K1074" s="5">
        <v>2</v>
      </c>
      <c r="L1074" s="62">
        <f>Table1[[#This Row],[Final_Unit_Price]]*Table1[[#This Row],[Quantity]]</f>
        <v>25779.68</v>
      </c>
      <c r="M1074" s="60">
        <v>6444.92</v>
      </c>
      <c r="N1074" s="43">
        <v>45460</v>
      </c>
      <c r="O1074" s="18" t="str">
        <f>TEXT(Table1[[#This Row],[Order_Date]],"mmm")</f>
        <v>Jun</v>
      </c>
      <c r="P1074" s="18">
        <f t="shared" si="32"/>
        <v>2024</v>
      </c>
      <c r="Q1074" s="45">
        <v>45470</v>
      </c>
      <c r="R1074" s="19">
        <f>'Cleaned Data'!$Q1074-'Cleaned Data'!$N1074</f>
        <v>10</v>
      </c>
      <c r="S1074" s="19" t="str">
        <f t="shared" si="33"/>
        <v>Monsoon</v>
      </c>
    </row>
    <row r="1075" spans="1:19" x14ac:dyDescent="0.3">
      <c r="A1075" s="11" t="s">
        <v>1252</v>
      </c>
      <c r="B1075" s="11" t="s">
        <v>27</v>
      </c>
      <c r="C1075" s="3" t="s">
        <v>35</v>
      </c>
      <c r="D1075" s="3" t="s">
        <v>44</v>
      </c>
      <c r="E1075" s="3" t="s">
        <v>60</v>
      </c>
      <c r="F1075" s="3" t="s">
        <v>64</v>
      </c>
      <c r="G1075" s="3" t="s">
        <v>74</v>
      </c>
      <c r="H1075" s="37">
        <v>7673.37</v>
      </c>
      <c r="I1075" s="12">
        <v>0.05</v>
      </c>
      <c r="J1075" s="37">
        <v>7289.7014999999992</v>
      </c>
      <c r="K1075" s="3">
        <v>5</v>
      </c>
      <c r="L1075" s="61">
        <f>Table1[[#This Row],[Final_Unit_Price]]*Table1[[#This Row],[Quantity]]</f>
        <v>36448.507499999992</v>
      </c>
      <c r="M1075" s="59">
        <v>5467.28</v>
      </c>
      <c r="N1075" s="42">
        <v>45371</v>
      </c>
      <c r="O1075" s="20" t="str">
        <f>TEXT(Table1[[#This Row],[Order_Date]],"mmm")</f>
        <v>Mar</v>
      </c>
      <c r="P1075" s="20">
        <f t="shared" si="32"/>
        <v>2024</v>
      </c>
      <c r="Q1075" s="46">
        <v>45374</v>
      </c>
      <c r="R1075" s="20">
        <f>'Cleaned Data'!$Q1075-'Cleaned Data'!$N1075</f>
        <v>3</v>
      </c>
      <c r="S1075" s="19" t="str">
        <f t="shared" si="33"/>
        <v>Summer</v>
      </c>
    </row>
    <row r="1076" spans="1:19" x14ac:dyDescent="0.3">
      <c r="A1076" s="13" t="s">
        <v>1253</v>
      </c>
      <c r="B1076" s="13" t="s">
        <v>16</v>
      </c>
      <c r="C1076" s="5" t="s">
        <v>31</v>
      </c>
      <c r="D1076" s="5" t="s">
        <v>47</v>
      </c>
      <c r="E1076" s="5" t="s">
        <v>59</v>
      </c>
      <c r="F1076" s="5" t="s">
        <v>62</v>
      </c>
      <c r="G1076" s="5" t="s">
        <v>67</v>
      </c>
      <c r="H1076" s="38">
        <v>2982.78</v>
      </c>
      <c r="I1076" s="14">
        <v>0.15</v>
      </c>
      <c r="J1076" s="38">
        <v>2535.3629999999998</v>
      </c>
      <c r="K1076" s="5">
        <v>5</v>
      </c>
      <c r="L1076" s="62">
        <f>Table1[[#This Row],[Final_Unit_Price]]*Table1[[#This Row],[Quantity]]</f>
        <v>12676.814999999999</v>
      </c>
      <c r="M1076" s="60">
        <v>4436.8900000000003</v>
      </c>
      <c r="N1076" s="43">
        <v>45379</v>
      </c>
      <c r="O1076" s="18" t="str">
        <f>TEXT(Table1[[#This Row],[Order_Date]],"mmm")</f>
        <v>Mar</v>
      </c>
      <c r="P1076" s="18">
        <f t="shared" si="32"/>
        <v>2024</v>
      </c>
      <c r="Q1076" s="45">
        <v>45386</v>
      </c>
      <c r="R1076" s="19">
        <f>'Cleaned Data'!$Q1076-'Cleaned Data'!$N1076</f>
        <v>7</v>
      </c>
      <c r="S1076" s="19" t="str">
        <f t="shared" si="33"/>
        <v>Summer</v>
      </c>
    </row>
    <row r="1077" spans="1:19" x14ac:dyDescent="0.3">
      <c r="A1077" s="11" t="s">
        <v>1254</v>
      </c>
      <c r="B1077" s="11" t="s">
        <v>29</v>
      </c>
      <c r="C1077" s="3" t="s">
        <v>35</v>
      </c>
      <c r="D1077" s="3" t="s">
        <v>48</v>
      </c>
      <c r="E1077" s="3" t="s">
        <v>58</v>
      </c>
      <c r="F1077" s="3" t="s">
        <v>64</v>
      </c>
      <c r="G1077" s="3" t="s">
        <v>74</v>
      </c>
      <c r="H1077" s="37">
        <v>19557.900000000001</v>
      </c>
      <c r="I1077" s="12">
        <v>0</v>
      </c>
      <c r="J1077" s="37">
        <v>19557.900000000001</v>
      </c>
      <c r="K1077" s="3">
        <v>3</v>
      </c>
      <c r="L1077" s="61">
        <f>Table1[[#This Row],[Final_Unit_Price]]*Table1[[#This Row],[Quantity]]</f>
        <v>58673.700000000004</v>
      </c>
      <c r="M1077" s="59">
        <v>14668.42</v>
      </c>
      <c r="N1077" s="42">
        <v>45702</v>
      </c>
      <c r="O1077" s="20" t="str">
        <f>TEXT(Table1[[#This Row],[Order_Date]],"mmm")</f>
        <v>Feb</v>
      </c>
      <c r="P1077" s="20">
        <f t="shared" si="32"/>
        <v>2025</v>
      </c>
      <c r="Q1077" s="46">
        <v>45709</v>
      </c>
      <c r="R1077" s="20">
        <f>'Cleaned Data'!$Q1077-'Cleaned Data'!$N1077</f>
        <v>7</v>
      </c>
      <c r="S1077" s="19" t="str">
        <f t="shared" si="33"/>
        <v>Summer</v>
      </c>
    </row>
    <row r="1078" spans="1:19" x14ac:dyDescent="0.3">
      <c r="A1078" s="13" t="s">
        <v>1255</v>
      </c>
      <c r="B1078" s="13" t="s">
        <v>29</v>
      </c>
      <c r="C1078" s="5" t="s">
        <v>35</v>
      </c>
      <c r="D1078" s="5" t="s">
        <v>44</v>
      </c>
      <c r="E1078" s="5" t="s">
        <v>60</v>
      </c>
      <c r="F1078" s="5" t="s">
        <v>61</v>
      </c>
      <c r="G1078" s="5" t="s">
        <v>70</v>
      </c>
      <c r="H1078" s="38">
        <v>14955.69</v>
      </c>
      <c r="I1078" s="14">
        <v>0.1</v>
      </c>
      <c r="J1078" s="38">
        <v>13460.120999999999</v>
      </c>
      <c r="K1078" s="5">
        <v>3</v>
      </c>
      <c r="L1078" s="62">
        <f>Table1[[#This Row],[Final_Unit_Price]]*Table1[[#This Row],[Quantity]]</f>
        <v>40380.362999999998</v>
      </c>
      <c r="M1078" s="60">
        <v>6057.05</v>
      </c>
      <c r="N1078" s="43">
        <v>45595</v>
      </c>
      <c r="O1078" s="18" t="str">
        <f>TEXT(Table1[[#This Row],[Order_Date]],"mmm")</f>
        <v>Oct</v>
      </c>
      <c r="P1078" s="18">
        <f t="shared" si="32"/>
        <v>2024</v>
      </c>
      <c r="Q1078" s="45">
        <v>45605</v>
      </c>
      <c r="R1078" s="19">
        <f>'Cleaned Data'!$Q1078-'Cleaned Data'!$N1078</f>
        <v>10</v>
      </c>
      <c r="S1078" s="19" t="str">
        <f t="shared" si="33"/>
        <v>Winter</v>
      </c>
    </row>
    <row r="1079" spans="1:19" x14ac:dyDescent="0.3">
      <c r="A1079" s="11" t="s">
        <v>1256</v>
      </c>
      <c r="B1079" s="11" t="s">
        <v>20</v>
      </c>
      <c r="C1079" s="3" t="s">
        <v>32</v>
      </c>
      <c r="D1079" s="3" t="s">
        <v>40</v>
      </c>
      <c r="E1079" s="3" t="s">
        <v>59</v>
      </c>
      <c r="F1079" s="3" t="s">
        <v>64</v>
      </c>
      <c r="G1079" s="3" t="s">
        <v>74</v>
      </c>
      <c r="H1079" s="37">
        <v>39961.64</v>
      </c>
      <c r="I1079" s="12">
        <v>0.1</v>
      </c>
      <c r="J1079" s="37">
        <v>35965.476000000002</v>
      </c>
      <c r="K1079" s="3">
        <v>3</v>
      </c>
      <c r="L1079" s="61">
        <f>Table1[[#This Row],[Final_Unit_Price]]*Table1[[#This Row],[Quantity]]</f>
        <v>107896.42800000001</v>
      </c>
      <c r="M1079" s="59">
        <v>37763.75</v>
      </c>
      <c r="N1079" s="42">
        <v>45568</v>
      </c>
      <c r="O1079" s="20" t="str">
        <f>TEXT(Table1[[#This Row],[Order_Date]],"mmm")</f>
        <v>Oct</v>
      </c>
      <c r="P1079" s="20">
        <f t="shared" si="32"/>
        <v>2024</v>
      </c>
      <c r="Q1079" s="46">
        <v>45571</v>
      </c>
      <c r="R1079" s="20">
        <f>'Cleaned Data'!$Q1079-'Cleaned Data'!$N1079</f>
        <v>3</v>
      </c>
      <c r="S1079" s="19" t="str">
        <f t="shared" si="33"/>
        <v>Winter</v>
      </c>
    </row>
    <row r="1080" spans="1:19" x14ac:dyDescent="0.3">
      <c r="A1080" s="13" t="s">
        <v>1257</v>
      </c>
      <c r="B1080" s="13" t="s">
        <v>22</v>
      </c>
      <c r="C1080" s="5" t="s">
        <v>31</v>
      </c>
      <c r="D1080" s="5" t="s">
        <v>42</v>
      </c>
      <c r="E1080" s="5" t="s">
        <v>60</v>
      </c>
      <c r="F1080" s="5" t="s">
        <v>62</v>
      </c>
      <c r="G1080" s="5" t="s">
        <v>69</v>
      </c>
      <c r="H1080" s="38">
        <v>3180.35</v>
      </c>
      <c r="I1080" s="14">
        <v>0.2</v>
      </c>
      <c r="J1080" s="38">
        <v>2544.2800000000002</v>
      </c>
      <c r="K1080" s="5">
        <v>2</v>
      </c>
      <c r="L1080" s="62">
        <f>Table1[[#This Row],[Final_Unit_Price]]*Table1[[#This Row],[Quantity]]</f>
        <v>5088.5600000000004</v>
      </c>
      <c r="M1080" s="60">
        <v>763.28</v>
      </c>
      <c r="N1080" s="43">
        <v>45345</v>
      </c>
      <c r="O1080" s="18" t="str">
        <f>TEXT(Table1[[#This Row],[Order_Date]],"mmm")</f>
        <v>Feb</v>
      </c>
      <c r="P1080" s="18">
        <f t="shared" si="32"/>
        <v>2024</v>
      </c>
      <c r="Q1080" s="45">
        <v>45352</v>
      </c>
      <c r="R1080" s="19">
        <f>'Cleaned Data'!$Q1080-'Cleaned Data'!$N1080</f>
        <v>7</v>
      </c>
      <c r="S1080" s="19" t="str">
        <f t="shared" si="33"/>
        <v>Summer</v>
      </c>
    </row>
    <row r="1081" spans="1:19" x14ac:dyDescent="0.3">
      <c r="A1081" s="11" t="s">
        <v>1258</v>
      </c>
      <c r="B1081" s="11" t="s">
        <v>20</v>
      </c>
      <c r="C1081" s="3" t="s">
        <v>32</v>
      </c>
      <c r="D1081" s="3" t="s">
        <v>37</v>
      </c>
      <c r="E1081" s="3" t="s">
        <v>59</v>
      </c>
      <c r="F1081" s="3" t="s">
        <v>61</v>
      </c>
      <c r="G1081" s="3" t="s">
        <v>65</v>
      </c>
      <c r="H1081" s="37">
        <v>34923.839999999997</v>
      </c>
      <c r="I1081" s="12">
        <v>0.25</v>
      </c>
      <c r="J1081" s="37">
        <v>26192.880000000001</v>
      </c>
      <c r="K1081" s="3">
        <v>3</v>
      </c>
      <c r="L1081" s="61">
        <f>Table1[[#This Row],[Final_Unit_Price]]*Table1[[#This Row],[Quantity]]</f>
        <v>78578.64</v>
      </c>
      <c r="M1081" s="59">
        <v>27502.52</v>
      </c>
      <c r="N1081" s="42">
        <v>45622</v>
      </c>
      <c r="O1081" s="20" t="str">
        <f>TEXT(Table1[[#This Row],[Order_Date]],"mmm")</f>
        <v>Nov</v>
      </c>
      <c r="P1081" s="20">
        <f t="shared" si="32"/>
        <v>2024</v>
      </c>
      <c r="Q1081" s="46">
        <v>45624</v>
      </c>
      <c r="R1081" s="20">
        <f>'Cleaned Data'!$Q1081-'Cleaned Data'!$N1081</f>
        <v>2</v>
      </c>
      <c r="S1081" s="19" t="str">
        <f t="shared" si="33"/>
        <v>Winter</v>
      </c>
    </row>
    <row r="1082" spans="1:19" x14ac:dyDescent="0.3">
      <c r="A1082" s="13" t="s">
        <v>1259</v>
      </c>
      <c r="B1082" s="13" t="s">
        <v>30</v>
      </c>
      <c r="C1082" s="5" t="s">
        <v>33</v>
      </c>
      <c r="D1082" s="5" t="s">
        <v>56</v>
      </c>
      <c r="E1082" s="5" t="s">
        <v>60</v>
      </c>
      <c r="F1082" s="5" t="s">
        <v>63</v>
      </c>
      <c r="G1082" s="5" t="s">
        <v>68</v>
      </c>
      <c r="H1082" s="38">
        <v>12109.14</v>
      </c>
      <c r="I1082" s="14">
        <v>0.1</v>
      </c>
      <c r="J1082" s="38">
        <v>10898.226000000001</v>
      </c>
      <c r="K1082" s="5">
        <v>4</v>
      </c>
      <c r="L1082" s="62">
        <f>Table1[[#This Row],[Final_Unit_Price]]*Table1[[#This Row],[Quantity]]</f>
        <v>43592.904000000002</v>
      </c>
      <c r="M1082" s="60">
        <v>6538.94</v>
      </c>
      <c r="N1082" s="43">
        <v>45762</v>
      </c>
      <c r="O1082" s="18" t="str">
        <f>TEXT(Table1[[#This Row],[Order_Date]],"mmm")</f>
        <v>Apr</v>
      </c>
      <c r="P1082" s="18">
        <f t="shared" si="32"/>
        <v>2025</v>
      </c>
      <c r="Q1082" s="45">
        <v>45765</v>
      </c>
      <c r="R1082" s="19">
        <f>'Cleaned Data'!$Q1082-'Cleaned Data'!$N1082</f>
        <v>3</v>
      </c>
      <c r="S1082" s="19" t="str">
        <f t="shared" si="33"/>
        <v>Summer</v>
      </c>
    </row>
    <row r="1083" spans="1:19" x14ac:dyDescent="0.3">
      <c r="A1083" s="11" t="s">
        <v>1260</v>
      </c>
      <c r="B1083" s="11" t="s">
        <v>16</v>
      </c>
      <c r="C1083" s="3" t="s">
        <v>31</v>
      </c>
      <c r="D1083" s="3" t="s">
        <v>47</v>
      </c>
      <c r="E1083" s="3" t="s">
        <v>59</v>
      </c>
      <c r="F1083" s="3" t="s">
        <v>62</v>
      </c>
      <c r="G1083" s="3" t="s">
        <v>69</v>
      </c>
      <c r="H1083" s="37">
        <v>3220.01</v>
      </c>
      <c r="I1083" s="12">
        <v>0</v>
      </c>
      <c r="J1083" s="37">
        <v>3220.01</v>
      </c>
      <c r="K1083" s="3">
        <v>4</v>
      </c>
      <c r="L1083" s="61">
        <f>Table1[[#This Row],[Final_Unit_Price]]*Table1[[#This Row],[Quantity]]</f>
        <v>12880.04</v>
      </c>
      <c r="M1083" s="59">
        <v>4508.01</v>
      </c>
      <c r="N1083" s="42">
        <v>45604</v>
      </c>
      <c r="O1083" s="20" t="str">
        <f>TEXT(Table1[[#This Row],[Order_Date]],"mmm")</f>
        <v>Nov</v>
      </c>
      <c r="P1083" s="20">
        <f t="shared" si="32"/>
        <v>2024</v>
      </c>
      <c r="Q1083" s="46">
        <v>45614</v>
      </c>
      <c r="R1083" s="20">
        <f>'Cleaned Data'!$Q1083-'Cleaned Data'!$N1083</f>
        <v>10</v>
      </c>
      <c r="S1083" s="19" t="str">
        <f t="shared" si="33"/>
        <v>Winter</v>
      </c>
    </row>
    <row r="1084" spans="1:19" x14ac:dyDescent="0.3">
      <c r="A1084" s="13" t="s">
        <v>1261</v>
      </c>
      <c r="B1084" s="13" t="s">
        <v>19</v>
      </c>
      <c r="C1084" s="5" t="s">
        <v>33</v>
      </c>
      <c r="D1084" s="5" t="s">
        <v>38</v>
      </c>
      <c r="E1084" s="5" t="s">
        <v>59</v>
      </c>
      <c r="F1084" s="5" t="s">
        <v>62</v>
      </c>
      <c r="G1084" s="5" t="s">
        <v>69</v>
      </c>
      <c r="H1084" s="38">
        <v>2407.7399999999998</v>
      </c>
      <c r="I1084" s="14">
        <v>0.05</v>
      </c>
      <c r="J1084" s="38">
        <v>2287.3530000000001</v>
      </c>
      <c r="K1084" s="5">
        <v>5</v>
      </c>
      <c r="L1084" s="62">
        <f>Table1[[#This Row],[Final_Unit_Price]]*Table1[[#This Row],[Quantity]]</f>
        <v>11436.764999999999</v>
      </c>
      <c r="M1084" s="60">
        <v>4002.87</v>
      </c>
      <c r="N1084" s="43">
        <v>45515</v>
      </c>
      <c r="O1084" s="18" t="str">
        <f>TEXT(Table1[[#This Row],[Order_Date]],"mmm")</f>
        <v>Aug</v>
      </c>
      <c r="P1084" s="18">
        <f t="shared" si="32"/>
        <v>2024</v>
      </c>
      <c r="Q1084" s="45">
        <v>45524</v>
      </c>
      <c r="R1084" s="19">
        <f>'Cleaned Data'!$Q1084-'Cleaned Data'!$N1084</f>
        <v>9</v>
      </c>
      <c r="S1084" s="19" t="str">
        <f t="shared" si="33"/>
        <v>Monsoon</v>
      </c>
    </row>
    <row r="1085" spans="1:19" x14ac:dyDescent="0.3">
      <c r="A1085" s="11" t="s">
        <v>1262</v>
      </c>
      <c r="B1085" s="11" t="s">
        <v>24</v>
      </c>
      <c r="C1085" s="3" t="s">
        <v>32</v>
      </c>
      <c r="D1085" s="3" t="s">
        <v>40</v>
      </c>
      <c r="E1085" s="3" t="s">
        <v>59</v>
      </c>
      <c r="F1085" s="3" t="s">
        <v>61</v>
      </c>
      <c r="G1085" s="3" t="s">
        <v>71</v>
      </c>
      <c r="H1085" s="37">
        <v>28964.85</v>
      </c>
      <c r="I1085" s="12">
        <v>0.3</v>
      </c>
      <c r="J1085" s="37">
        <v>20275.395</v>
      </c>
      <c r="K1085" s="3">
        <v>1</v>
      </c>
      <c r="L1085" s="61">
        <f>Table1[[#This Row],[Final_Unit_Price]]*Table1[[#This Row],[Quantity]]</f>
        <v>20275.395</v>
      </c>
      <c r="M1085" s="59">
        <v>7096.39</v>
      </c>
      <c r="N1085" s="42">
        <v>45445</v>
      </c>
      <c r="O1085" s="20" t="str">
        <f>TEXT(Table1[[#This Row],[Order_Date]],"mmm")</f>
        <v>Jun</v>
      </c>
      <c r="P1085" s="20">
        <f t="shared" si="32"/>
        <v>2024</v>
      </c>
      <c r="Q1085" s="46">
        <v>45452</v>
      </c>
      <c r="R1085" s="20">
        <f>'Cleaned Data'!$Q1085-'Cleaned Data'!$N1085</f>
        <v>7</v>
      </c>
      <c r="S1085" s="19" t="str">
        <f t="shared" si="33"/>
        <v>Monsoon</v>
      </c>
    </row>
    <row r="1086" spans="1:19" x14ac:dyDescent="0.3">
      <c r="A1086" s="13" t="s">
        <v>1263</v>
      </c>
      <c r="B1086" s="13" t="s">
        <v>20</v>
      </c>
      <c r="C1086" s="5" t="s">
        <v>32</v>
      </c>
      <c r="D1086" s="5" t="s">
        <v>37</v>
      </c>
      <c r="E1086" s="5" t="s">
        <v>59</v>
      </c>
      <c r="F1086" s="5" t="s">
        <v>62</v>
      </c>
      <c r="G1086" s="5" t="s">
        <v>67</v>
      </c>
      <c r="H1086" s="38">
        <v>37828.78</v>
      </c>
      <c r="I1086" s="14">
        <v>0</v>
      </c>
      <c r="J1086" s="38">
        <v>37828.78</v>
      </c>
      <c r="K1086" s="5">
        <v>3</v>
      </c>
      <c r="L1086" s="62">
        <f>Table1[[#This Row],[Final_Unit_Price]]*Table1[[#This Row],[Quantity]]</f>
        <v>113486.34</v>
      </c>
      <c r="M1086" s="60">
        <v>39720.22</v>
      </c>
      <c r="N1086" s="43">
        <v>45421</v>
      </c>
      <c r="O1086" s="18" t="str">
        <f>TEXT(Table1[[#This Row],[Order_Date]],"mmm")</f>
        <v>May</v>
      </c>
      <c r="P1086" s="18">
        <f t="shared" si="32"/>
        <v>2024</v>
      </c>
      <c r="Q1086" s="45">
        <v>45427</v>
      </c>
      <c r="R1086" s="19">
        <f>'Cleaned Data'!$Q1086-'Cleaned Data'!$N1086</f>
        <v>6</v>
      </c>
      <c r="S1086" s="19" t="str">
        <f t="shared" si="33"/>
        <v>Summer</v>
      </c>
    </row>
    <row r="1087" spans="1:19" x14ac:dyDescent="0.3">
      <c r="A1087" s="11" t="s">
        <v>1264</v>
      </c>
      <c r="B1087" s="11" t="s">
        <v>24</v>
      </c>
      <c r="C1087" s="3" t="s">
        <v>32</v>
      </c>
      <c r="D1087" s="3" t="s">
        <v>40</v>
      </c>
      <c r="E1087" s="3" t="s">
        <v>59</v>
      </c>
      <c r="F1087" s="3" t="s">
        <v>64</v>
      </c>
      <c r="G1087" s="3" t="s">
        <v>76</v>
      </c>
      <c r="H1087" s="37">
        <v>32546.99</v>
      </c>
      <c r="I1087" s="12">
        <v>0.25</v>
      </c>
      <c r="J1087" s="37">
        <v>24410.2425</v>
      </c>
      <c r="K1087" s="3">
        <v>5</v>
      </c>
      <c r="L1087" s="61">
        <f>Table1[[#This Row],[Final_Unit_Price]]*Table1[[#This Row],[Quantity]]</f>
        <v>122051.21249999999</v>
      </c>
      <c r="M1087" s="59">
        <v>42717.919999999998</v>
      </c>
      <c r="N1087" s="42">
        <v>45418</v>
      </c>
      <c r="O1087" s="20" t="str">
        <f>TEXT(Table1[[#This Row],[Order_Date]],"mmm")</f>
        <v>May</v>
      </c>
      <c r="P1087" s="20">
        <f t="shared" si="32"/>
        <v>2024</v>
      </c>
      <c r="Q1087" s="46">
        <v>45427</v>
      </c>
      <c r="R1087" s="20">
        <f>'Cleaned Data'!$Q1087-'Cleaned Data'!$N1087</f>
        <v>9</v>
      </c>
      <c r="S1087" s="19" t="str">
        <f t="shared" si="33"/>
        <v>Summer</v>
      </c>
    </row>
    <row r="1088" spans="1:19" x14ac:dyDescent="0.3">
      <c r="A1088" s="13" t="s">
        <v>1265</v>
      </c>
      <c r="B1088" s="13" t="s">
        <v>24</v>
      </c>
      <c r="C1088" s="5" t="s">
        <v>32</v>
      </c>
      <c r="D1088" s="5" t="s">
        <v>54</v>
      </c>
      <c r="E1088" s="5" t="s">
        <v>60</v>
      </c>
      <c r="F1088" s="5" t="s">
        <v>61</v>
      </c>
      <c r="G1088" s="5" t="s">
        <v>71</v>
      </c>
      <c r="H1088" s="38">
        <v>21463.48</v>
      </c>
      <c r="I1088" s="14">
        <v>0.25</v>
      </c>
      <c r="J1088" s="38">
        <v>16097.61</v>
      </c>
      <c r="K1088" s="5">
        <v>2</v>
      </c>
      <c r="L1088" s="62">
        <f>Table1[[#This Row],[Final_Unit_Price]]*Table1[[#This Row],[Quantity]]</f>
        <v>32195.22</v>
      </c>
      <c r="M1088" s="60">
        <v>4829.28</v>
      </c>
      <c r="N1088" s="43">
        <v>45674</v>
      </c>
      <c r="O1088" s="18" t="str">
        <f>TEXT(Table1[[#This Row],[Order_Date]],"mmm")</f>
        <v>Jan</v>
      </c>
      <c r="P1088" s="18">
        <f t="shared" si="32"/>
        <v>2025</v>
      </c>
      <c r="Q1088" s="45">
        <v>45678</v>
      </c>
      <c r="R1088" s="19">
        <f>'Cleaned Data'!$Q1088-'Cleaned Data'!$N1088</f>
        <v>4</v>
      </c>
      <c r="S1088" s="19" t="str">
        <f t="shared" si="33"/>
        <v>Winter</v>
      </c>
    </row>
    <row r="1089" spans="1:19" x14ac:dyDescent="0.3">
      <c r="A1089" s="11" t="s">
        <v>1266</v>
      </c>
      <c r="B1089" s="11" t="s">
        <v>23</v>
      </c>
      <c r="C1089" s="3" t="s">
        <v>35</v>
      </c>
      <c r="D1089" s="3" t="s">
        <v>44</v>
      </c>
      <c r="E1089" s="3" t="s">
        <v>60</v>
      </c>
      <c r="F1089" s="3" t="s">
        <v>61</v>
      </c>
      <c r="G1089" s="3" t="s">
        <v>70</v>
      </c>
      <c r="H1089" s="37">
        <v>20792.11</v>
      </c>
      <c r="I1089" s="12">
        <v>0.25</v>
      </c>
      <c r="J1089" s="37">
        <v>15594.0825</v>
      </c>
      <c r="K1089" s="3">
        <v>4</v>
      </c>
      <c r="L1089" s="61">
        <f>Table1[[#This Row],[Final_Unit_Price]]*Table1[[#This Row],[Quantity]]</f>
        <v>62376.33</v>
      </c>
      <c r="M1089" s="59">
        <v>9356.4500000000007</v>
      </c>
      <c r="N1089" s="42">
        <v>45357</v>
      </c>
      <c r="O1089" s="20" t="str">
        <f>TEXT(Table1[[#This Row],[Order_Date]],"mmm")</f>
        <v>Mar</v>
      </c>
      <c r="P1089" s="20">
        <f t="shared" si="32"/>
        <v>2024</v>
      </c>
      <c r="Q1089" s="46">
        <v>45362</v>
      </c>
      <c r="R1089" s="20">
        <f>'Cleaned Data'!$Q1089-'Cleaned Data'!$N1089</f>
        <v>5</v>
      </c>
      <c r="S1089" s="19" t="str">
        <f t="shared" si="33"/>
        <v>Summer</v>
      </c>
    </row>
    <row r="1090" spans="1:19" x14ac:dyDescent="0.3">
      <c r="A1090" s="13" t="s">
        <v>1267</v>
      </c>
      <c r="B1090" s="13" t="s">
        <v>19</v>
      </c>
      <c r="C1090" s="5" t="s">
        <v>33</v>
      </c>
      <c r="D1090" s="5" t="s">
        <v>53</v>
      </c>
      <c r="E1090" s="5" t="s">
        <v>58</v>
      </c>
      <c r="F1090" s="5" t="s">
        <v>62</v>
      </c>
      <c r="G1090" s="5" t="s">
        <v>66</v>
      </c>
      <c r="H1090" s="38">
        <v>2168.63</v>
      </c>
      <c r="I1090" s="14">
        <v>0.25</v>
      </c>
      <c r="J1090" s="38">
        <v>1626.4725000000001</v>
      </c>
      <c r="K1090" s="5">
        <v>1</v>
      </c>
      <c r="L1090" s="62">
        <f>Table1[[#This Row],[Final_Unit_Price]]*Table1[[#This Row],[Quantity]]</f>
        <v>1626.4725000000001</v>
      </c>
      <c r="M1090" s="60">
        <v>406.62</v>
      </c>
      <c r="N1090" s="43">
        <v>45521</v>
      </c>
      <c r="O1090" s="18" t="str">
        <f>TEXT(Table1[[#This Row],[Order_Date]],"mmm")</f>
        <v>Aug</v>
      </c>
      <c r="P1090" s="18">
        <f t="shared" si="32"/>
        <v>2024</v>
      </c>
      <c r="Q1090" s="45">
        <v>45529</v>
      </c>
      <c r="R1090" s="19">
        <f>'Cleaned Data'!$Q1090-'Cleaned Data'!$N1090</f>
        <v>8</v>
      </c>
      <c r="S1090" s="19" t="str">
        <f t="shared" si="33"/>
        <v>Monsoon</v>
      </c>
    </row>
    <row r="1091" spans="1:19" x14ac:dyDescent="0.3">
      <c r="A1091" s="11" t="s">
        <v>1268</v>
      </c>
      <c r="B1091" s="11" t="s">
        <v>22</v>
      </c>
      <c r="C1091" s="3" t="s">
        <v>31</v>
      </c>
      <c r="D1091" s="3" t="s">
        <v>47</v>
      </c>
      <c r="E1091" s="3" t="s">
        <v>59</v>
      </c>
      <c r="F1091" s="3" t="s">
        <v>62</v>
      </c>
      <c r="G1091" s="3" t="s">
        <v>69</v>
      </c>
      <c r="H1091" s="37">
        <v>4524.0200000000004</v>
      </c>
      <c r="I1091" s="12">
        <v>0.3</v>
      </c>
      <c r="J1091" s="37">
        <v>3166.8139999999999</v>
      </c>
      <c r="K1091" s="3">
        <v>2</v>
      </c>
      <c r="L1091" s="61">
        <f>Table1[[#This Row],[Final_Unit_Price]]*Table1[[#This Row],[Quantity]]</f>
        <v>6333.6279999999997</v>
      </c>
      <c r="M1091" s="59">
        <v>2216.77</v>
      </c>
      <c r="N1091" s="42">
        <v>45771</v>
      </c>
      <c r="O1091" s="20" t="str">
        <f>TEXT(Table1[[#This Row],[Order_Date]],"mmm")</f>
        <v>Apr</v>
      </c>
      <c r="P1091" s="20">
        <f t="shared" ref="P1091:P1154" si="34">YEAR(N1091)</f>
        <v>2025</v>
      </c>
      <c r="Q1091" s="46">
        <v>45773</v>
      </c>
      <c r="R1091" s="20">
        <f>'Cleaned Data'!$Q1091-'Cleaned Data'!$N1091</f>
        <v>2</v>
      </c>
      <c r="S1091" s="19" t="str">
        <f t="shared" ref="S1091:S1154" si="35">IF(OR(O1091="Feb",O1091="Mar",O1091="Apr",O1091="May"),"Summer",
   IF(OR(O1091="Jun",O1091="Jul",O1091="Aug",O1091="Sep"),"Monsoon",
   IF(OR(O1091="Oct",O1091="Nov",O1091="Dec",O1091= "Jan"),"Winter","Invalid")))</f>
        <v>Summer</v>
      </c>
    </row>
    <row r="1092" spans="1:19" x14ac:dyDescent="0.3">
      <c r="A1092" s="13" t="s">
        <v>1269</v>
      </c>
      <c r="B1092" s="13" t="s">
        <v>19</v>
      </c>
      <c r="C1092" s="5" t="s">
        <v>33</v>
      </c>
      <c r="D1092" s="5" t="s">
        <v>53</v>
      </c>
      <c r="E1092" s="5" t="s">
        <v>58</v>
      </c>
      <c r="F1092" s="5" t="s">
        <v>62</v>
      </c>
      <c r="G1092" s="5" t="s">
        <v>67</v>
      </c>
      <c r="H1092" s="38">
        <v>2066.04</v>
      </c>
      <c r="I1092" s="14">
        <v>0.2</v>
      </c>
      <c r="J1092" s="38">
        <v>1652.8320000000001</v>
      </c>
      <c r="K1092" s="5">
        <v>3</v>
      </c>
      <c r="L1092" s="62">
        <f>Table1[[#This Row],[Final_Unit_Price]]*Table1[[#This Row],[Quantity]]</f>
        <v>4958.4960000000001</v>
      </c>
      <c r="M1092" s="60">
        <v>1239.6199999999999</v>
      </c>
      <c r="N1092" s="43">
        <v>45509</v>
      </c>
      <c r="O1092" s="18" t="str">
        <f>TEXT(Table1[[#This Row],[Order_Date]],"mmm")</f>
        <v>Aug</v>
      </c>
      <c r="P1092" s="18">
        <f t="shared" si="34"/>
        <v>2024</v>
      </c>
      <c r="Q1092" s="45">
        <v>45516</v>
      </c>
      <c r="R1092" s="19">
        <f>'Cleaned Data'!$Q1092-'Cleaned Data'!$N1092</f>
        <v>7</v>
      </c>
      <c r="S1092" s="19" t="str">
        <f t="shared" si="35"/>
        <v>Monsoon</v>
      </c>
    </row>
    <row r="1093" spans="1:19" x14ac:dyDescent="0.3">
      <c r="A1093" s="11" t="s">
        <v>1270</v>
      </c>
      <c r="B1093" s="11" t="s">
        <v>19</v>
      </c>
      <c r="C1093" s="3" t="s">
        <v>33</v>
      </c>
      <c r="D1093" s="3" t="s">
        <v>53</v>
      </c>
      <c r="E1093" s="3" t="s">
        <v>58</v>
      </c>
      <c r="F1093" s="3" t="s">
        <v>64</v>
      </c>
      <c r="G1093" s="3" t="s">
        <v>74</v>
      </c>
      <c r="H1093" s="37">
        <v>2061.41</v>
      </c>
      <c r="I1093" s="12">
        <v>0.15</v>
      </c>
      <c r="J1093" s="37">
        <v>1752.1985</v>
      </c>
      <c r="K1093" s="3">
        <v>5</v>
      </c>
      <c r="L1093" s="61">
        <f>Table1[[#This Row],[Final_Unit_Price]]*Table1[[#This Row],[Quantity]]</f>
        <v>8760.9925000000003</v>
      </c>
      <c r="M1093" s="59">
        <v>2190.25</v>
      </c>
      <c r="N1093" s="42">
        <v>45385</v>
      </c>
      <c r="O1093" s="20" t="str">
        <f>TEXT(Table1[[#This Row],[Order_Date]],"mmm")</f>
        <v>Apr</v>
      </c>
      <c r="P1093" s="20">
        <f t="shared" si="34"/>
        <v>2024</v>
      </c>
      <c r="Q1093" s="46">
        <v>45388</v>
      </c>
      <c r="R1093" s="20">
        <f>'Cleaned Data'!$Q1093-'Cleaned Data'!$N1093</f>
        <v>3</v>
      </c>
      <c r="S1093" s="19" t="str">
        <f t="shared" si="35"/>
        <v>Summer</v>
      </c>
    </row>
    <row r="1094" spans="1:19" x14ac:dyDescent="0.3">
      <c r="A1094" s="13" t="s">
        <v>1271</v>
      </c>
      <c r="B1094" s="13" t="s">
        <v>27</v>
      </c>
      <c r="C1094" s="5" t="s">
        <v>35</v>
      </c>
      <c r="D1094" s="5" t="s">
        <v>48</v>
      </c>
      <c r="E1094" s="5" t="s">
        <v>58</v>
      </c>
      <c r="F1094" s="5" t="s">
        <v>63</v>
      </c>
      <c r="G1094" s="5" t="s">
        <v>73</v>
      </c>
      <c r="H1094" s="38">
        <v>7958.01</v>
      </c>
      <c r="I1094" s="14">
        <v>0.2</v>
      </c>
      <c r="J1094" s="38">
        <v>6366.4080000000004</v>
      </c>
      <c r="K1094" s="5">
        <v>4</v>
      </c>
      <c r="L1094" s="62">
        <f>Table1[[#This Row],[Final_Unit_Price]]*Table1[[#This Row],[Quantity]]</f>
        <v>25465.632000000001</v>
      </c>
      <c r="M1094" s="60">
        <v>6366.41</v>
      </c>
      <c r="N1094" s="43">
        <v>45846</v>
      </c>
      <c r="O1094" s="18" t="str">
        <f>TEXT(Table1[[#This Row],[Order_Date]],"mmm")</f>
        <v>Jul</v>
      </c>
      <c r="P1094" s="18">
        <f t="shared" si="34"/>
        <v>2025</v>
      </c>
      <c r="Q1094" s="45">
        <v>45852</v>
      </c>
      <c r="R1094" s="19">
        <f>'Cleaned Data'!$Q1094-'Cleaned Data'!$N1094</f>
        <v>6</v>
      </c>
      <c r="S1094" s="19" t="str">
        <f t="shared" si="35"/>
        <v>Monsoon</v>
      </c>
    </row>
    <row r="1095" spans="1:19" x14ac:dyDescent="0.3">
      <c r="A1095" s="11" t="s">
        <v>1272</v>
      </c>
      <c r="B1095" s="11" t="s">
        <v>26</v>
      </c>
      <c r="C1095" s="3" t="s">
        <v>32</v>
      </c>
      <c r="D1095" s="3" t="s">
        <v>37</v>
      </c>
      <c r="E1095" s="3" t="s">
        <v>59</v>
      </c>
      <c r="F1095" s="3" t="s">
        <v>61</v>
      </c>
      <c r="G1095" s="3" t="s">
        <v>71</v>
      </c>
      <c r="H1095" s="37">
        <v>39685.480000000003</v>
      </c>
      <c r="I1095" s="12">
        <v>0.05</v>
      </c>
      <c r="J1095" s="37">
        <v>37701.205999999998</v>
      </c>
      <c r="K1095" s="3">
        <v>5</v>
      </c>
      <c r="L1095" s="61">
        <f>Table1[[#This Row],[Final_Unit_Price]]*Table1[[#This Row],[Quantity]]</f>
        <v>188506.03</v>
      </c>
      <c r="M1095" s="59">
        <v>65977.11</v>
      </c>
      <c r="N1095" s="42">
        <v>45708</v>
      </c>
      <c r="O1095" s="20" t="str">
        <f>TEXT(Table1[[#This Row],[Order_Date]],"mmm")</f>
        <v>Feb</v>
      </c>
      <c r="P1095" s="20">
        <f t="shared" si="34"/>
        <v>2025</v>
      </c>
      <c r="Q1095" s="46">
        <v>45713</v>
      </c>
      <c r="R1095" s="20">
        <f>'Cleaned Data'!$Q1095-'Cleaned Data'!$N1095</f>
        <v>5</v>
      </c>
      <c r="S1095" s="19" t="str">
        <f t="shared" si="35"/>
        <v>Summer</v>
      </c>
    </row>
    <row r="1096" spans="1:19" x14ac:dyDescent="0.3">
      <c r="A1096" s="13" t="s">
        <v>1273</v>
      </c>
      <c r="B1096" s="13" t="s">
        <v>29</v>
      </c>
      <c r="C1096" s="5" t="s">
        <v>35</v>
      </c>
      <c r="D1096" s="5" t="s">
        <v>46</v>
      </c>
      <c r="E1096" s="5" t="s">
        <v>59</v>
      </c>
      <c r="F1096" s="5" t="s">
        <v>62</v>
      </c>
      <c r="G1096" s="5" t="s">
        <v>69</v>
      </c>
      <c r="H1096" s="38">
        <v>22134.87</v>
      </c>
      <c r="I1096" s="14">
        <v>0</v>
      </c>
      <c r="J1096" s="38">
        <v>22134.87</v>
      </c>
      <c r="K1096" s="5">
        <v>4</v>
      </c>
      <c r="L1096" s="62">
        <f>Table1[[#This Row],[Final_Unit_Price]]*Table1[[#This Row],[Quantity]]</f>
        <v>88539.48</v>
      </c>
      <c r="M1096" s="60">
        <v>30988.82</v>
      </c>
      <c r="N1096" s="43">
        <v>45717</v>
      </c>
      <c r="O1096" s="18" t="str">
        <f>TEXT(Table1[[#This Row],[Order_Date]],"mmm")</f>
        <v>Mar</v>
      </c>
      <c r="P1096" s="18">
        <f t="shared" si="34"/>
        <v>2025</v>
      </c>
      <c r="Q1096" s="45">
        <v>45720</v>
      </c>
      <c r="R1096" s="19">
        <f>'Cleaned Data'!$Q1096-'Cleaned Data'!$N1096</f>
        <v>3</v>
      </c>
      <c r="S1096" s="19" t="str">
        <f t="shared" si="35"/>
        <v>Summer</v>
      </c>
    </row>
    <row r="1097" spans="1:19" x14ac:dyDescent="0.3">
      <c r="A1097" s="11" t="s">
        <v>1274</v>
      </c>
      <c r="B1097" s="11" t="s">
        <v>30</v>
      </c>
      <c r="C1097" s="3" t="s">
        <v>33</v>
      </c>
      <c r="D1097" s="3" t="s">
        <v>53</v>
      </c>
      <c r="E1097" s="3" t="s">
        <v>58</v>
      </c>
      <c r="F1097" s="3" t="s">
        <v>64</v>
      </c>
      <c r="G1097" s="3" t="s">
        <v>74</v>
      </c>
      <c r="H1097" s="37">
        <v>15877.32</v>
      </c>
      <c r="I1097" s="12">
        <v>0</v>
      </c>
      <c r="J1097" s="37">
        <v>15877.32</v>
      </c>
      <c r="K1097" s="3">
        <v>4</v>
      </c>
      <c r="L1097" s="61">
        <f>Table1[[#This Row],[Final_Unit_Price]]*Table1[[#This Row],[Quantity]]</f>
        <v>63509.279999999999</v>
      </c>
      <c r="M1097" s="59">
        <v>15877.32</v>
      </c>
      <c r="N1097" s="42">
        <v>45803</v>
      </c>
      <c r="O1097" s="20" t="str">
        <f>TEXT(Table1[[#This Row],[Order_Date]],"mmm")</f>
        <v>May</v>
      </c>
      <c r="P1097" s="20">
        <f t="shared" si="34"/>
        <v>2025</v>
      </c>
      <c r="Q1097" s="46">
        <v>45805</v>
      </c>
      <c r="R1097" s="20">
        <f>'Cleaned Data'!$Q1097-'Cleaned Data'!$N1097</f>
        <v>2</v>
      </c>
      <c r="S1097" s="19" t="str">
        <f t="shared" si="35"/>
        <v>Summer</v>
      </c>
    </row>
    <row r="1098" spans="1:19" x14ac:dyDescent="0.3">
      <c r="A1098" s="13" t="s">
        <v>1275</v>
      </c>
      <c r="B1098" s="13" t="s">
        <v>29</v>
      </c>
      <c r="C1098" s="5" t="s">
        <v>35</v>
      </c>
      <c r="D1098" s="5" t="s">
        <v>44</v>
      </c>
      <c r="E1098" s="5" t="s">
        <v>60</v>
      </c>
      <c r="F1098" s="5" t="s">
        <v>64</v>
      </c>
      <c r="G1098" s="5" t="s">
        <v>74</v>
      </c>
      <c r="H1098" s="38">
        <v>15935.55</v>
      </c>
      <c r="I1098" s="14">
        <v>0.15</v>
      </c>
      <c r="J1098" s="38">
        <v>13545.217500000001</v>
      </c>
      <c r="K1098" s="5">
        <v>1</v>
      </c>
      <c r="L1098" s="62">
        <f>Table1[[#This Row],[Final_Unit_Price]]*Table1[[#This Row],[Quantity]]</f>
        <v>13545.217500000001</v>
      </c>
      <c r="M1098" s="60">
        <v>2031.78</v>
      </c>
      <c r="N1098" s="43">
        <v>45433</v>
      </c>
      <c r="O1098" s="18" t="str">
        <f>TEXT(Table1[[#This Row],[Order_Date]],"mmm")</f>
        <v>May</v>
      </c>
      <c r="P1098" s="18">
        <f t="shared" si="34"/>
        <v>2024</v>
      </c>
      <c r="Q1098" s="45">
        <v>45436</v>
      </c>
      <c r="R1098" s="19">
        <f>'Cleaned Data'!$Q1098-'Cleaned Data'!$N1098</f>
        <v>3</v>
      </c>
      <c r="S1098" s="19" t="str">
        <f t="shared" si="35"/>
        <v>Summer</v>
      </c>
    </row>
    <row r="1099" spans="1:19" x14ac:dyDescent="0.3">
      <c r="A1099" s="11" t="s">
        <v>1276</v>
      </c>
      <c r="B1099" s="11" t="s">
        <v>30</v>
      </c>
      <c r="C1099" s="3" t="s">
        <v>33</v>
      </c>
      <c r="D1099" s="3" t="s">
        <v>56</v>
      </c>
      <c r="E1099" s="3" t="s">
        <v>60</v>
      </c>
      <c r="F1099" s="3" t="s">
        <v>64</v>
      </c>
      <c r="G1099" s="3" t="s">
        <v>76</v>
      </c>
      <c r="H1099" s="37">
        <v>14143.54</v>
      </c>
      <c r="I1099" s="12">
        <v>0.1</v>
      </c>
      <c r="J1099" s="37">
        <v>12729.186</v>
      </c>
      <c r="K1099" s="3">
        <v>3</v>
      </c>
      <c r="L1099" s="61">
        <f>Table1[[#This Row],[Final_Unit_Price]]*Table1[[#This Row],[Quantity]]</f>
        <v>38187.557999999997</v>
      </c>
      <c r="M1099" s="59">
        <v>5728.13</v>
      </c>
      <c r="N1099" s="42">
        <v>45835</v>
      </c>
      <c r="O1099" s="20" t="str">
        <f>TEXT(Table1[[#This Row],[Order_Date]],"mmm")</f>
        <v>Jun</v>
      </c>
      <c r="P1099" s="20">
        <f t="shared" si="34"/>
        <v>2025</v>
      </c>
      <c r="Q1099" s="46">
        <v>45840</v>
      </c>
      <c r="R1099" s="20">
        <f>'Cleaned Data'!$Q1099-'Cleaned Data'!$N1099</f>
        <v>5</v>
      </c>
      <c r="S1099" s="19" t="str">
        <f t="shared" si="35"/>
        <v>Monsoon</v>
      </c>
    </row>
    <row r="1100" spans="1:19" x14ac:dyDescent="0.3">
      <c r="A1100" s="13" t="s">
        <v>1277</v>
      </c>
      <c r="B1100" s="13" t="s">
        <v>18</v>
      </c>
      <c r="C1100" s="5" t="s">
        <v>33</v>
      </c>
      <c r="D1100" s="5" t="s">
        <v>57</v>
      </c>
      <c r="E1100" s="5" t="s">
        <v>60</v>
      </c>
      <c r="F1100" s="5" t="s">
        <v>63</v>
      </c>
      <c r="G1100" s="5" t="s">
        <v>68</v>
      </c>
      <c r="H1100" s="38">
        <v>41092.699999999997</v>
      </c>
      <c r="I1100" s="14">
        <v>0.15</v>
      </c>
      <c r="J1100" s="38">
        <v>34928.794999999998</v>
      </c>
      <c r="K1100" s="5">
        <v>3</v>
      </c>
      <c r="L1100" s="62">
        <f>Table1[[#This Row],[Final_Unit_Price]]*Table1[[#This Row],[Quantity]]</f>
        <v>104786.38499999999</v>
      </c>
      <c r="M1100" s="60">
        <v>15717.96</v>
      </c>
      <c r="N1100" s="43">
        <v>45568</v>
      </c>
      <c r="O1100" s="18" t="str">
        <f>TEXT(Table1[[#This Row],[Order_Date]],"mmm")</f>
        <v>Oct</v>
      </c>
      <c r="P1100" s="18">
        <f t="shared" si="34"/>
        <v>2024</v>
      </c>
      <c r="Q1100" s="45">
        <v>45571</v>
      </c>
      <c r="R1100" s="19">
        <f>'Cleaned Data'!$Q1100-'Cleaned Data'!$N1100</f>
        <v>3</v>
      </c>
      <c r="S1100" s="19" t="str">
        <f t="shared" si="35"/>
        <v>Winter</v>
      </c>
    </row>
    <row r="1101" spans="1:19" x14ac:dyDescent="0.3">
      <c r="A1101" s="11" t="s">
        <v>1278</v>
      </c>
      <c r="B1101" s="11" t="s">
        <v>25</v>
      </c>
      <c r="C1101" s="3" t="s">
        <v>34</v>
      </c>
      <c r="D1101" s="3" t="s">
        <v>41</v>
      </c>
      <c r="E1101" s="3" t="s">
        <v>60</v>
      </c>
      <c r="F1101" s="3" t="s">
        <v>63</v>
      </c>
      <c r="G1101" s="3" t="s">
        <v>73</v>
      </c>
      <c r="H1101" s="37">
        <v>636.46</v>
      </c>
      <c r="I1101" s="12">
        <v>0.15</v>
      </c>
      <c r="J1101" s="37">
        <v>540.99099999999999</v>
      </c>
      <c r="K1101" s="3">
        <v>6</v>
      </c>
      <c r="L1101" s="61">
        <f>Table1[[#This Row],[Final_Unit_Price]]*Table1[[#This Row],[Quantity]]</f>
        <v>3245.9459999999999</v>
      </c>
      <c r="M1101" s="59">
        <v>243.45</v>
      </c>
      <c r="N1101" s="42">
        <v>45642</v>
      </c>
      <c r="O1101" s="20" t="str">
        <f>TEXT(Table1[[#This Row],[Order_Date]],"mmm")</f>
        <v>Dec</v>
      </c>
      <c r="P1101" s="20">
        <f t="shared" si="34"/>
        <v>2024</v>
      </c>
      <c r="Q1101" s="46">
        <v>45647</v>
      </c>
      <c r="R1101" s="20">
        <f>'Cleaned Data'!$Q1101-'Cleaned Data'!$N1101</f>
        <v>5</v>
      </c>
      <c r="S1101" s="19" t="str">
        <f t="shared" si="35"/>
        <v>Winter</v>
      </c>
    </row>
    <row r="1102" spans="1:19" x14ac:dyDescent="0.3">
      <c r="A1102" s="13" t="s">
        <v>1279</v>
      </c>
      <c r="B1102" s="13" t="s">
        <v>29</v>
      </c>
      <c r="C1102" s="5" t="s">
        <v>35</v>
      </c>
      <c r="D1102" s="5" t="s">
        <v>48</v>
      </c>
      <c r="E1102" s="5" t="s">
        <v>58</v>
      </c>
      <c r="F1102" s="5" t="s">
        <v>62</v>
      </c>
      <c r="G1102" s="5" t="s">
        <v>66</v>
      </c>
      <c r="H1102" s="38">
        <v>18382.73</v>
      </c>
      <c r="I1102" s="14">
        <v>0.05</v>
      </c>
      <c r="J1102" s="38">
        <v>17463.593499999999</v>
      </c>
      <c r="K1102" s="5">
        <v>1</v>
      </c>
      <c r="L1102" s="62">
        <f>Table1[[#This Row],[Final_Unit_Price]]*Table1[[#This Row],[Quantity]]</f>
        <v>17463.593499999999</v>
      </c>
      <c r="M1102" s="60">
        <v>4365.8999999999996</v>
      </c>
      <c r="N1102" s="43">
        <v>45816</v>
      </c>
      <c r="O1102" s="18" t="str">
        <f>TEXT(Table1[[#This Row],[Order_Date]],"mmm")</f>
        <v>Jun</v>
      </c>
      <c r="P1102" s="18">
        <f t="shared" si="34"/>
        <v>2025</v>
      </c>
      <c r="Q1102" s="45">
        <v>45823</v>
      </c>
      <c r="R1102" s="19">
        <f>'Cleaned Data'!$Q1102-'Cleaned Data'!$N1102</f>
        <v>7</v>
      </c>
      <c r="S1102" s="19" t="str">
        <f t="shared" si="35"/>
        <v>Monsoon</v>
      </c>
    </row>
    <row r="1103" spans="1:19" x14ac:dyDescent="0.3">
      <c r="A1103" s="11" t="s">
        <v>1280</v>
      </c>
      <c r="B1103" s="11" t="s">
        <v>24</v>
      </c>
      <c r="C1103" s="3" t="s">
        <v>32</v>
      </c>
      <c r="D1103" s="3" t="s">
        <v>43</v>
      </c>
      <c r="E1103" s="3" t="s">
        <v>58</v>
      </c>
      <c r="F1103" s="3" t="s">
        <v>61</v>
      </c>
      <c r="G1103" s="3" t="s">
        <v>71</v>
      </c>
      <c r="H1103" s="37">
        <v>24380.04</v>
      </c>
      <c r="I1103" s="12">
        <v>0.05</v>
      </c>
      <c r="J1103" s="37">
        <v>23161.038</v>
      </c>
      <c r="K1103" s="3">
        <v>1</v>
      </c>
      <c r="L1103" s="61">
        <f>Table1[[#This Row],[Final_Unit_Price]]*Table1[[#This Row],[Quantity]]</f>
        <v>23161.038</v>
      </c>
      <c r="M1103" s="59">
        <v>5790.26</v>
      </c>
      <c r="N1103" s="42">
        <v>45596</v>
      </c>
      <c r="O1103" s="20" t="str">
        <f>TEXT(Table1[[#This Row],[Order_Date]],"mmm")</f>
        <v>Oct</v>
      </c>
      <c r="P1103" s="20">
        <f t="shared" si="34"/>
        <v>2024</v>
      </c>
      <c r="Q1103" s="46">
        <v>45601</v>
      </c>
      <c r="R1103" s="20">
        <f>'Cleaned Data'!$Q1103-'Cleaned Data'!$N1103</f>
        <v>5</v>
      </c>
      <c r="S1103" s="19" t="str">
        <f t="shared" si="35"/>
        <v>Winter</v>
      </c>
    </row>
    <row r="1104" spans="1:19" x14ac:dyDescent="0.3">
      <c r="A1104" s="13" t="s">
        <v>1281</v>
      </c>
      <c r="B1104" s="13" t="s">
        <v>21</v>
      </c>
      <c r="C1104" s="5" t="s">
        <v>34</v>
      </c>
      <c r="D1104" s="5" t="s">
        <v>52</v>
      </c>
      <c r="E1104" s="5" t="s">
        <v>60</v>
      </c>
      <c r="F1104" s="5" t="s">
        <v>63</v>
      </c>
      <c r="G1104" s="5" t="s">
        <v>73</v>
      </c>
      <c r="H1104" s="38">
        <v>2381.81</v>
      </c>
      <c r="I1104" s="14">
        <v>0.25</v>
      </c>
      <c r="J1104" s="38">
        <v>1786.3575000000001</v>
      </c>
      <c r="K1104" s="5">
        <v>3</v>
      </c>
      <c r="L1104" s="62">
        <f>Table1[[#This Row],[Final_Unit_Price]]*Table1[[#This Row],[Quantity]]</f>
        <v>5359.0725000000002</v>
      </c>
      <c r="M1104" s="60">
        <v>803.86</v>
      </c>
      <c r="N1104" s="43">
        <v>45449</v>
      </c>
      <c r="O1104" s="18" t="str">
        <f>TEXT(Table1[[#This Row],[Order_Date]],"mmm")</f>
        <v>Jun</v>
      </c>
      <c r="P1104" s="18">
        <f t="shared" si="34"/>
        <v>2024</v>
      </c>
      <c r="Q1104" s="45">
        <v>45451</v>
      </c>
      <c r="R1104" s="19">
        <f>'Cleaned Data'!$Q1104-'Cleaned Data'!$N1104</f>
        <v>2</v>
      </c>
      <c r="S1104" s="19" t="str">
        <f t="shared" si="35"/>
        <v>Monsoon</v>
      </c>
    </row>
    <row r="1105" spans="1:19" x14ac:dyDescent="0.3">
      <c r="A1105" s="11" t="s">
        <v>1282</v>
      </c>
      <c r="B1105" s="11" t="s">
        <v>18</v>
      </c>
      <c r="C1105" s="3" t="s">
        <v>33</v>
      </c>
      <c r="D1105" s="3" t="s">
        <v>38</v>
      </c>
      <c r="E1105" s="3" t="s">
        <v>59</v>
      </c>
      <c r="F1105" s="3" t="s">
        <v>61</v>
      </c>
      <c r="G1105" s="3" t="s">
        <v>71</v>
      </c>
      <c r="H1105" s="37">
        <v>56217.39</v>
      </c>
      <c r="I1105" s="12">
        <v>0.1</v>
      </c>
      <c r="J1105" s="37">
        <v>50595.650999999998</v>
      </c>
      <c r="K1105" s="3">
        <v>1</v>
      </c>
      <c r="L1105" s="61">
        <f>Table1[[#This Row],[Final_Unit_Price]]*Table1[[#This Row],[Quantity]]</f>
        <v>50595.650999999998</v>
      </c>
      <c r="M1105" s="59">
        <v>17708.48</v>
      </c>
      <c r="N1105" s="42">
        <v>45561</v>
      </c>
      <c r="O1105" s="20" t="str">
        <f>TEXT(Table1[[#This Row],[Order_Date]],"mmm")</f>
        <v>Sep</v>
      </c>
      <c r="P1105" s="20">
        <f t="shared" si="34"/>
        <v>2024</v>
      </c>
      <c r="Q1105" s="46">
        <v>45570</v>
      </c>
      <c r="R1105" s="20">
        <f>'Cleaned Data'!$Q1105-'Cleaned Data'!$N1105</f>
        <v>9</v>
      </c>
      <c r="S1105" s="19" t="str">
        <f t="shared" si="35"/>
        <v>Monsoon</v>
      </c>
    </row>
    <row r="1106" spans="1:19" x14ac:dyDescent="0.3">
      <c r="A1106" s="13" t="s">
        <v>1283</v>
      </c>
      <c r="B1106" s="13" t="s">
        <v>30</v>
      </c>
      <c r="C1106" s="5" t="s">
        <v>33</v>
      </c>
      <c r="D1106" s="5" t="s">
        <v>38</v>
      </c>
      <c r="E1106" s="5" t="s">
        <v>59</v>
      </c>
      <c r="F1106" s="5" t="s">
        <v>64</v>
      </c>
      <c r="G1106" s="5" t="s">
        <v>72</v>
      </c>
      <c r="H1106" s="38">
        <v>18721.5</v>
      </c>
      <c r="I1106" s="14">
        <v>0.25</v>
      </c>
      <c r="J1106" s="38">
        <v>14041.125</v>
      </c>
      <c r="K1106" s="5">
        <v>1</v>
      </c>
      <c r="L1106" s="62">
        <f>Table1[[#This Row],[Final_Unit_Price]]*Table1[[#This Row],[Quantity]]</f>
        <v>14041.125</v>
      </c>
      <c r="M1106" s="60">
        <v>4914.3900000000003</v>
      </c>
      <c r="N1106" s="43">
        <v>45582</v>
      </c>
      <c r="O1106" s="18" t="str">
        <f>TEXT(Table1[[#This Row],[Order_Date]],"mmm")</f>
        <v>Oct</v>
      </c>
      <c r="P1106" s="18">
        <f t="shared" si="34"/>
        <v>2024</v>
      </c>
      <c r="Q1106" s="45">
        <v>45587</v>
      </c>
      <c r="R1106" s="19">
        <f>'Cleaned Data'!$Q1106-'Cleaned Data'!$N1106</f>
        <v>5</v>
      </c>
      <c r="S1106" s="19" t="str">
        <f t="shared" si="35"/>
        <v>Winter</v>
      </c>
    </row>
    <row r="1107" spans="1:19" x14ac:dyDescent="0.3">
      <c r="A1107" s="11" t="s">
        <v>1284</v>
      </c>
      <c r="B1107" s="11" t="s">
        <v>27</v>
      </c>
      <c r="C1107" s="3" t="s">
        <v>35</v>
      </c>
      <c r="D1107" s="3" t="s">
        <v>48</v>
      </c>
      <c r="E1107" s="3" t="s">
        <v>58</v>
      </c>
      <c r="F1107" s="3" t="s">
        <v>62</v>
      </c>
      <c r="G1107" s="3" t="s">
        <v>66</v>
      </c>
      <c r="H1107" s="37">
        <v>8607.89</v>
      </c>
      <c r="I1107" s="12">
        <v>0.3</v>
      </c>
      <c r="J1107" s="37">
        <v>6025.5229999999992</v>
      </c>
      <c r="K1107" s="3">
        <v>1</v>
      </c>
      <c r="L1107" s="61">
        <f>Table1[[#This Row],[Final_Unit_Price]]*Table1[[#This Row],[Quantity]]</f>
        <v>6025.5229999999992</v>
      </c>
      <c r="M1107" s="59">
        <v>1506.38</v>
      </c>
      <c r="N1107" s="42">
        <v>45595</v>
      </c>
      <c r="O1107" s="20" t="str">
        <f>TEXT(Table1[[#This Row],[Order_Date]],"mmm")</f>
        <v>Oct</v>
      </c>
      <c r="P1107" s="20">
        <f t="shared" si="34"/>
        <v>2024</v>
      </c>
      <c r="Q1107" s="46">
        <v>45597</v>
      </c>
      <c r="R1107" s="20">
        <f>'Cleaned Data'!$Q1107-'Cleaned Data'!$N1107</f>
        <v>2</v>
      </c>
      <c r="S1107" s="19" t="str">
        <f t="shared" si="35"/>
        <v>Winter</v>
      </c>
    </row>
    <row r="1108" spans="1:19" x14ac:dyDescent="0.3">
      <c r="A1108" s="13" t="s">
        <v>1285</v>
      </c>
      <c r="B1108" s="13" t="s">
        <v>30</v>
      </c>
      <c r="C1108" s="5" t="s">
        <v>33</v>
      </c>
      <c r="D1108" s="5" t="s">
        <v>56</v>
      </c>
      <c r="E1108" s="5" t="s">
        <v>60</v>
      </c>
      <c r="F1108" s="5" t="s">
        <v>62</v>
      </c>
      <c r="G1108" s="5" t="s">
        <v>66</v>
      </c>
      <c r="H1108" s="38">
        <v>13445.68</v>
      </c>
      <c r="I1108" s="14">
        <v>0</v>
      </c>
      <c r="J1108" s="38">
        <v>13445.68</v>
      </c>
      <c r="K1108" s="5">
        <v>1</v>
      </c>
      <c r="L1108" s="62">
        <f>Table1[[#This Row],[Final_Unit_Price]]*Table1[[#This Row],[Quantity]]</f>
        <v>13445.68</v>
      </c>
      <c r="M1108" s="60">
        <v>2016.85</v>
      </c>
      <c r="N1108" s="43">
        <v>45781</v>
      </c>
      <c r="O1108" s="18" t="str">
        <f>TEXT(Table1[[#This Row],[Order_Date]],"mmm")</f>
        <v>May</v>
      </c>
      <c r="P1108" s="18">
        <f t="shared" si="34"/>
        <v>2025</v>
      </c>
      <c r="Q1108" s="45">
        <v>45788</v>
      </c>
      <c r="R1108" s="19">
        <f>'Cleaned Data'!$Q1108-'Cleaned Data'!$N1108</f>
        <v>7</v>
      </c>
      <c r="S1108" s="19" t="str">
        <f t="shared" si="35"/>
        <v>Summer</v>
      </c>
    </row>
    <row r="1109" spans="1:19" x14ac:dyDescent="0.3">
      <c r="A1109" s="11" t="s">
        <v>1286</v>
      </c>
      <c r="B1109" s="11" t="s">
        <v>29</v>
      </c>
      <c r="C1109" s="3" t="s">
        <v>35</v>
      </c>
      <c r="D1109" s="3" t="s">
        <v>38</v>
      </c>
      <c r="E1109" s="3" t="s">
        <v>59</v>
      </c>
      <c r="F1109" s="3" t="s">
        <v>63</v>
      </c>
      <c r="G1109" s="3" t="s">
        <v>73</v>
      </c>
      <c r="H1109" s="37">
        <v>20829.37</v>
      </c>
      <c r="I1109" s="12">
        <v>0.1</v>
      </c>
      <c r="J1109" s="37">
        <v>18746.433000000001</v>
      </c>
      <c r="K1109" s="3">
        <v>5</v>
      </c>
      <c r="L1109" s="61">
        <f>Table1[[#This Row],[Final_Unit_Price]]*Table1[[#This Row],[Quantity]]</f>
        <v>93732.165000000008</v>
      </c>
      <c r="M1109" s="59">
        <v>32806.26</v>
      </c>
      <c r="N1109" s="42">
        <v>45310</v>
      </c>
      <c r="O1109" s="20" t="str">
        <f>TEXT(Table1[[#This Row],[Order_Date]],"mmm")</f>
        <v>Jan</v>
      </c>
      <c r="P1109" s="20">
        <f t="shared" si="34"/>
        <v>2024</v>
      </c>
      <c r="Q1109" s="46">
        <v>45319</v>
      </c>
      <c r="R1109" s="20">
        <f>'Cleaned Data'!$Q1109-'Cleaned Data'!$N1109</f>
        <v>9</v>
      </c>
      <c r="S1109" s="19" t="str">
        <f t="shared" si="35"/>
        <v>Winter</v>
      </c>
    </row>
    <row r="1110" spans="1:19" x14ac:dyDescent="0.3">
      <c r="A1110" s="13" t="s">
        <v>1287</v>
      </c>
      <c r="B1110" s="13" t="s">
        <v>28</v>
      </c>
      <c r="C1110" s="5" t="s">
        <v>34</v>
      </c>
      <c r="D1110" s="5" t="s">
        <v>45</v>
      </c>
      <c r="E1110" s="5" t="s">
        <v>59</v>
      </c>
      <c r="F1110" s="5" t="s">
        <v>64</v>
      </c>
      <c r="G1110" s="5" t="s">
        <v>72</v>
      </c>
      <c r="H1110" s="38">
        <v>1851.03</v>
      </c>
      <c r="I1110" s="14">
        <v>0.15</v>
      </c>
      <c r="J1110" s="38">
        <v>1573.3755000000001</v>
      </c>
      <c r="K1110" s="5">
        <v>5</v>
      </c>
      <c r="L1110" s="62">
        <f>Table1[[#This Row],[Final_Unit_Price]]*Table1[[#This Row],[Quantity]]</f>
        <v>7866.8775000000005</v>
      </c>
      <c r="M1110" s="60">
        <v>2753.41</v>
      </c>
      <c r="N1110" s="43">
        <v>45788</v>
      </c>
      <c r="O1110" s="18" t="str">
        <f>TEXT(Table1[[#This Row],[Order_Date]],"mmm")</f>
        <v>May</v>
      </c>
      <c r="P1110" s="18">
        <f t="shared" si="34"/>
        <v>2025</v>
      </c>
      <c r="Q1110" s="45">
        <v>45797</v>
      </c>
      <c r="R1110" s="19">
        <f>'Cleaned Data'!$Q1110-'Cleaned Data'!$N1110</f>
        <v>9</v>
      </c>
      <c r="S1110" s="19" t="str">
        <f t="shared" si="35"/>
        <v>Summer</v>
      </c>
    </row>
    <row r="1111" spans="1:19" x14ac:dyDescent="0.3">
      <c r="A1111" s="11" t="s">
        <v>1288</v>
      </c>
      <c r="B1111" s="11" t="s">
        <v>26</v>
      </c>
      <c r="C1111" s="3" t="s">
        <v>32</v>
      </c>
      <c r="D1111" s="3" t="s">
        <v>37</v>
      </c>
      <c r="E1111" s="3" t="s">
        <v>59</v>
      </c>
      <c r="F1111" s="3" t="s">
        <v>61</v>
      </c>
      <c r="G1111" s="3" t="s">
        <v>70</v>
      </c>
      <c r="H1111" s="37">
        <v>39672.26</v>
      </c>
      <c r="I1111" s="12">
        <v>0.15</v>
      </c>
      <c r="J1111" s="37">
        <v>33721.421000000002</v>
      </c>
      <c r="K1111" s="3">
        <v>3</v>
      </c>
      <c r="L1111" s="61">
        <f>Table1[[#This Row],[Final_Unit_Price]]*Table1[[#This Row],[Quantity]]</f>
        <v>101164.26300000001</v>
      </c>
      <c r="M1111" s="59">
        <v>35407.49</v>
      </c>
      <c r="N1111" s="42">
        <v>45570</v>
      </c>
      <c r="O1111" s="20" t="str">
        <f>TEXT(Table1[[#This Row],[Order_Date]],"mmm")</f>
        <v>Oct</v>
      </c>
      <c r="P1111" s="20">
        <f t="shared" si="34"/>
        <v>2024</v>
      </c>
      <c r="Q1111" s="46">
        <v>45574</v>
      </c>
      <c r="R1111" s="20">
        <f>'Cleaned Data'!$Q1111-'Cleaned Data'!$N1111</f>
        <v>4</v>
      </c>
      <c r="S1111" s="19" t="str">
        <f t="shared" si="35"/>
        <v>Winter</v>
      </c>
    </row>
    <row r="1112" spans="1:19" x14ac:dyDescent="0.3">
      <c r="A1112" s="13" t="s">
        <v>1289</v>
      </c>
      <c r="B1112" s="13" t="s">
        <v>21</v>
      </c>
      <c r="C1112" s="5" t="s">
        <v>34</v>
      </c>
      <c r="D1112" s="5" t="s">
        <v>49</v>
      </c>
      <c r="E1112" s="5" t="s">
        <v>59</v>
      </c>
      <c r="F1112" s="5" t="s">
        <v>61</v>
      </c>
      <c r="G1112" s="5" t="s">
        <v>71</v>
      </c>
      <c r="H1112" s="38">
        <v>3381.89</v>
      </c>
      <c r="I1112" s="14">
        <v>0.15</v>
      </c>
      <c r="J1112" s="38">
        <v>2874.6064999999999</v>
      </c>
      <c r="K1112" s="5">
        <v>3</v>
      </c>
      <c r="L1112" s="62">
        <f>Table1[[#This Row],[Final_Unit_Price]]*Table1[[#This Row],[Quantity]]</f>
        <v>8623.8194999999996</v>
      </c>
      <c r="M1112" s="60">
        <v>3018.34</v>
      </c>
      <c r="N1112" s="43">
        <v>45751</v>
      </c>
      <c r="O1112" s="18" t="str">
        <f>TEXT(Table1[[#This Row],[Order_Date]],"mmm")</f>
        <v>Apr</v>
      </c>
      <c r="P1112" s="18">
        <f t="shared" si="34"/>
        <v>2025</v>
      </c>
      <c r="Q1112" s="45">
        <v>45756</v>
      </c>
      <c r="R1112" s="19">
        <f>'Cleaned Data'!$Q1112-'Cleaned Data'!$N1112</f>
        <v>5</v>
      </c>
      <c r="S1112" s="19" t="str">
        <f t="shared" si="35"/>
        <v>Summer</v>
      </c>
    </row>
    <row r="1113" spans="1:19" x14ac:dyDescent="0.3">
      <c r="A1113" s="11" t="s">
        <v>1290</v>
      </c>
      <c r="B1113" s="11" t="s">
        <v>29</v>
      </c>
      <c r="C1113" s="3" t="s">
        <v>35</v>
      </c>
      <c r="D1113" s="3" t="s">
        <v>44</v>
      </c>
      <c r="E1113" s="3" t="s">
        <v>60</v>
      </c>
      <c r="F1113" s="3" t="s">
        <v>63</v>
      </c>
      <c r="G1113" s="3" t="s">
        <v>75</v>
      </c>
      <c r="H1113" s="37">
        <v>13972.89</v>
      </c>
      <c r="I1113" s="12">
        <v>0.3</v>
      </c>
      <c r="J1113" s="37">
        <v>9781.0229999999992</v>
      </c>
      <c r="K1113" s="3">
        <v>3</v>
      </c>
      <c r="L1113" s="61">
        <f>Table1[[#This Row],[Final_Unit_Price]]*Table1[[#This Row],[Quantity]]</f>
        <v>29343.068999999996</v>
      </c>
      <c r="M1113" s="59">
        <v>4401.46</v>
      </c>
      <c r="N1113" s="42">
        <v>45614</v>
      </c>
      <c r="O1113" s="20" t="str">
        <f>TEXT(Table1[[#This Row],[Order_Date]],"mmm")</f>
        <v>Nov</v>
      </c>
      <c r="P1113" s="20">
        <f t="shared" si="34"/>
        <v>2024</v>
      </c>
      <c r="Q1113" s="46">
        <v>45623</v>
      </c>
      <c r="R1113" s="20">
        <f>'Cleaned Data'!$Q1113-'Cleaned Data'!$N1113</f>
        <v>9</v>
      </c>
      <c r="S1113" s="19" t="str">
        <f t="shared" si="35"/>
        <v>Winter</v>
      </c>
    </row>
    <row r="1114" spans="1:19" x14ac:dyDescent="0.3">
      <c r="A1114" s="13" t="s">
        <v>1291</v>
      </c>
      <c r="B1114" s="13" t="s">
        <v>20</v>
      </c>
      <c r="C1114" s="5" t="s">
        <v>32</v>
      </c>
      <c r="D1114" s="5" t="s">
        <v>43</v>
      </c>
      <c r="E1114" s="5" t="s">
        <v>58</v>
      </c>
      <c r="F1114" s="5" t="s">
        <v>61</v>
      </c>
      <c r="G1114" s="5" t="s">
        <v>65</v>
      </c>
      <c r="H1114" s="38">
        <v>30469.040000000001</v>
      </c>
      <c r="I1114" s="14">
        <v>0.2</v>
      </c>
      <c r="J1114" s="38">
        <v>24375.232</v>
      </c>
      <c r="K1114" s="5">
        <v>1</v>
      </c>
      <c r="L1114" s="62">
        <f>Table1[[#This Row],[Final_Unit_Price]]*Table1[[#This Row],[Quantity]]</f>
        <v>24375.232</v>
      </c>
      <c r="M1114" s="60">
        <v>6093.81</v>
      </c>
      <c r="N1114" s="43">
        <v>45558</v>
      </c>
      <c r="O1114" s="18" t="str">
        <f>TEXT(Table1[[#This Row],[Order_Date]],"mmm")</f>
        <v>Sep</v>
      </c>
      <c r="P1114" s="18">
        <f t="shared" si="34"/>
        <v>2024</v>
      </c>
      <c r="Q1114" s="45">
        <v>45563</v>
      </c>
      <c r="R1114" s="19">
        <f>'Cleaned Data'!$Q1114-'Cleaned Data'!$N1114</f>
        <v>5</v>
      </c>
      <c r="S1114" s="19" t="str">
        <f t="shared" si="35"/>
        <v>Monsoon</v>
      </c>
    </row>
    <row r="1115" spans="1:19" x14ac:dyDescent="0.3">
      <c r="A1115" s="11" t="s">
        <v>1292</v>
      </c>
      <c r="B1115" s="11" t="s">
        <v>24</v>
      </c>
      <c r="C1115" s="3" t="s">
        <v>32</v>
      </c>
      <c r="D1115" s="3" t="s">
        <v>43</v>
      </c>
      <c r="E1115" s="3" t="s">
        <v>58</v>
      </c>
      <c r="F1115" s="3" t="s">
        <v>61</v>
      </c>
      <c r="G1115" s="3" t="s">
        <v>70</v>
      </c>
      <c r="H1115" s="37">
        <v>23837.13</v>
      </c>
      <c r="I1115" s="12">
        <v>0.2</v>
      </c>
      <c r="J1115" s="37">
        <v>19069.704000000002</v>
      </c>
      <c r="K1115" s="3">
        <v>5</v>
      </c>
      <c r="L1115" s="61">
        <f>Table1[[#This Row],[Final_Unit_Price]]*Table1[[#This Row],[Quantity]]</f>
        <v>95348.52</v>
      </c>
      <c r="M1115" s="59">
        <v>23837.13</v>
      </c>
      <c r="N1115" s="42">
        <v>45598</v>
      </c>
      <c r="O1115" s="20" t="str">
        <f>TEXT(Table1[[#This Row],[Order_Date]],"mmm")</f>
        <v>Nov</v>
      </c>
      <c r="P1115" s="20">
        <f t="shared" si="34"/>
        <v>2024</v>
      </c>
      <c r="Q1115" s="46">
        <v>45607</v>
      </c>
      <c r="R1115" s="20">
        <f>'Cleaned Data'!$Q1115-'Cleaned Data'!$N1115</f>
        <v>9</v>
      </c>
      <c r="S1115" s="19" t="str">
        <f t="shared" si="35"/>
        <v>Winter</v>
      </c>
    </row>
    <row r="1116" spans="1:19" x14ac:dyDescent="0.3">
      <c r="A1116" s="13" t="s">
        <v>1293</v>
      </c>
      <c r="B1116" s="13" t="s">
        <v>30</v>
      </c>
      <c r="C1116" s="5" t="s">
        <v>33</v>
      </c>
      <c r="D1116" s="5" t="s">
        <v>57</v>
      </c>
      <c r="E1116" s="5" t="s">
        <v>60</v>
      </c>
      <c r="F1116" s="5" t="s">
        <v>61</v>
      </c>
      <c r="G1116" s="5" t="s">
        <v>70</v>
      </c>
      <c r="H1116" s="38">
        <v>11912.68</v>
      </c>
      <c r="I1116" s="14">
        <v>0</v>
      </c>
      <c r="J1116" s="38">
        <v>11912.68</v>
      </c>
      <c r="K1116" s="5">
        <v>3</v>
      </c>
      <c r="L1116" s="62">
        <f>Table1[[#This Row],[Final_Unit_Price]]*Table1[[#This Row],[Quantity]]</f>
        <v>35738.04</v>
      </c>
      <c r="M1116" s="60">
        <v>5360.71</v>
      </c>
      <c r="N1116" s="43">
        <v>45643</v>
      </c>
      <c r="O1116" s="18" t="str">
        <f>TEXT(Table1[[#This Row],[Order_Date]],"mmm")</f>
        <v>Dec</v>
      </c>
      <c r="P1116" s="18">
        <f t="shared" si="34"/>
        <v>2024</v>
      </c>
      <c r="Q1116" s="45">
        <v>45648</v>
      </c>
      <c r="R1116" s="19">
        <f>'Cleaned Data'!$Q1116-'Cleaned Data'!$N1116</f>
        <v>5</v>
      </c>
      <c r="S1116" s="19" t="str">
        <f t="shared" si="35"/>
        <v>Winter</v>
      </c>
    </row>
    <row r="1117" spans="1:19" x14ac:dyDescent="0.3">
      <c r="A1117" s="11" t="s">
        <v>1294</v>
      </c>
      <c r="B1117" s="11" t="s">
        <v>19</v>
      </c>
      <c r="C1117" s="3" t="s">
        <v>33</v>
      </c>
      <c r="D1117" s="3" t="s">
        <v>53</v>
      </c>
      <c r="E1117" s="3" t="s">
        <v>58</v>
      </c>
      <c r="F1117" s="3" t="s">
        <v>63</v>
      </c>
      <c r="G1117" s="3" t="s">
        <v>73</v>
      </c>
      <c r="H1117" s="37">
        <v>1954.68</v>
      </c>
      <c r="I1117" s="12">
        <v>0.1</v>
      </c>
      <c r="J1117" s="37">
        <v>1759.212</v>
      </c>
      <c r="K1117" s="3">
        <v>5</v>
      </c>
      <c r="L1117" s="61">
        <f>Table1[[#This Row],[Final_Unit_Price]]*Table1[[#This Row],[Quantity]]</f>
        <v>8796.06</v>
      </c>
      <c r="M1117" s="59">
        <v>2199.0100000000002</v>
      </c>
      <c r="N1117" s="42">
        <v>45540</v>
      </c>
      <c r="O1117" s="20" t="str">
        <f>TEXT(Table1[[#This Row],[Order_Date]],"mmm")</f>
        <v>Sep</v>
      </c>
      <c r="P1117" s="20">
        <f t="shared" si="34"/>
        <v>2024</v>
      </c>
      <c r="Q1117" s="46">
        <v>45543</v>
      </c>
      <c r="R1117" s="20">
        <f>'Cleaned Data'!$Q1117-'Cleaned Data'!$N1117</f>
        <v>3</v>
      </c>
      <c r="S1117" s="19" t="str">
        <f t="shared" si="35"/>
        <v>Monsoon</v>
      </c>
    </row>
    <row r="1118" spans="1:19" x14ac:dyDescent="0.3">
      <c r="A1118" s="13" t="s">
        <v>1295</v>
      </c>
      <c r="B1118" s="13" t="s">
        <v>18</v>
      </c>
      <c r="C1118" s="5" t="s">
        <v>33</v>
      </c>
      <c r="D1118" s="5" t="s">
        <v>53</v>
      </c>
      <c r="E1118" s="5" t="s">
        <v>58</v>
      </c>
      <c r="F1118" s="5" t="s">
        <v>63</v>
      </c>
      <c r="G1118" s="5" t="s">
        <v>73</v>
      </c>
      <c r="H1118" s="38">
        <v>48996.75</v>
      </c>
      <c r="I1118" s="14">
        <v>0.2</v>
      </c>
      <c r="J1118" s="38">
        <v>39197.4</v>
      </c>
      <c r="K1118" s="5">
        <v>4</v>
      </c>
      <c r="L1118" s="62">
        <f>Table1[[#This Row],[Final_Unit_Price]]*Table1[[#This Row],[Quantity]]</f>
        <v>156789.6</v>
      </c>
      <c r="M1118" s="60">
        <v>39197.4</v>
      </c>
      <c r="N1118" s="43">
        <v>45338</v>
      </c>
      <c r="O1118" s="18" t="str">
        <f>TEXT(Table1[[#This Row],[Order_Date]],"mmm")</f>
        <v>Feb</v>
      </c>
      <c r="P1118" s="18">
        <f t="shared" si="34"/>
        <v>2024</v>
      </c>
      <c r="Q1118" s="45">
        <v>45341</v>
      </c>
      <c r="R1118" s="19">
        <f>'Cleaned Data'!$Q1118-'Cleaned Data'!$N1118</f>
        <v>3</v>
      </c>
      <c r="S1118" s="19" t="str">
        <f t="shared" si="35"/>
        <v>Summer</v>
      </c>
    </row>
    <row r="1119" spans="1:19" x14ac:dyDescent="0.3">
      <c r="A1119" s="11" t="s">
        <v>1296</v>
      </c>
      <c r="B1119" s="11" t="s">
        <v>25</v>
      </c>
      <c r="C1119" s="3" t="s">
        <v>34</v>
      </c>
      <c r="D1119" s="3" t="s">
        <v>51</v>
      </c>
      <c r="E1119" s="3" t="s">
        <v>59</v>
      </c>
      <c r="F1119" s="3" t="s">
        <v>64</v>
      </c>
      <c r="G1119" s="3" t="s">
        <v>74</v>
      </c>
      <c r="H1119" s="37">
        <v>1002.94</v>
      </c>
      <c r="I1119" s="12">
        <v>0.2</v>
      </c>
      <c r="J1119" s="37">
        <v>802.35200000000009</v>
      </c>
      <c r="K1119" s="3">
        <v>1</v>
      </c>
      <c r="L1119" s="61">
        <f>Table1[[#This Row],[Final_Unit_Price]]*Table1[[#This Row],[Quantity]]</f>
        <v>802.35200000000009</v>
      </c>
      <c r="M1119" s="59">
        <v>280.82</v>
      </c>
      <c r="N1119" s="42">
        <v>45820</v>
      </c>
      <c r="O1119" s="20" t="str">
        <f>TEXT(Table1[[#This Row],[Order_Date]],"mmm")</f>
        <v>Jun</v>
      </c>
      <c r="P1119" s="20">
        <f t="shared" si="34"/>
        <v>2025</v>
      </c>
      <c r="Q1119" s="46">
        <v>45824</v>
      </c>
      <c r="R1119" s="20">
        <f>'Cleaned Data'!$Q1119-'Cleaned Data'!$N1119</f>
        <v>4</v>
      </c>
      <c r="S1119" s="19" t="str">
        <f t="shared" si="35"/>
        <v>Monsoon</v>
      </c>
    </row>
    <row r="1120" spans="1:19" x14ac:dyDescent="0.3">
      <c r="A1120" s="13" t="s">
        <v>1297</v>
      </c>
      <c r="B1120" s="13" t="s">
        <v>19</v>
      </c>
      <c r="C1120" s="5" t="s">
        <v>33</v>
      </c>
      <c r="D1120" s="5" t="s">
        <v>56</v>
      </c>
      <c r="E1120" s="5" t="s">
        <v>60</v>
      </c>
      <c r="F1120" s="5" t="s">
        <v>64</v>
      </c>
      <c r="G1120" s="5" t="s">
        <v>76</v>
      </c>
      <c r="H1120" s="38">
        <v>1752.61</v>
      </c>
      <c r="I1120" s="14">
        <v>0.3</v>
      </c>
      <c r="J1120" s="38">
        <v>1226.827</v>
      </c>
      <c r="K1120" s="5">
        <v>5</v>
      </c>
      <c r="L1120" s="62">
        <f>Table1[[#This Row],[Final_Unit_Price]]*Table1[[#This Row],[Quantity]]</f>
        <v>6134.1350000000002</v>
      </c>
      <c r="M1120" s="60">
        <v>920.12</v>
      </c>
      <c r="N1120" s="43">
        <v>45505</v>
      </c>
      <c r="O1120" s="18" t="str">
        <f>TEXT(Table1[[#This Row],[Order_Date]],"mmm")</f>
        <v>Aug</v>
      </c>
      <c r="P1120" s="18">
        <f t="shared" si="34"/>
        <v>2024</v>
      </c>
      <c r="Q1120" s="45">
        <v>45509</v>
      </c>
      <c r="R1120" s="19">
        <f>'Cleaned Data'!$Q1120-'Cleaned Data'!$N1120</f>
        <v>4</v>
      </c>
      <c r="S1120" s="19" t="str">
        <f t="shared" si="35"/>
        <v>Monsoon</v>
      </c>
    </row>
    <row r="1121" spans="1:19" x14ac:dyDescent="0.3">
      <c r="A1121" s="11" t="s">
        <v>1298</v>
      </c>
      <c r="B1121" s="11" t="s">
        <v>17</v>
      </c>
      <c r="C1121" s="3" t="s">
        <v>32</v>
      </c>
      <c r="D1121" s="3" t="s">
        <v>40</v>
      </c>
      <c r="E1121" s="3" t="s">
        <v>59</v>
      </c>
      <c r="F1121" s="3" t="s">
        <v>62</v>
      </c>
      <c r="G1121" s="3" t="s">
        <v>66</v>
      </c>
      <c r="H1121" s="37">
        <v>10169.02</v>
      </c>
      <c r="I1121" s="12">
        <v>0.1</v>
      </c>
      <c r="J1121" s="37">
        <v>9152.1180000000004</v>
      </c>
      <c r="K1121" s="3">
        <v>5</v>
      </c>
      <c r="L1121" s="61">
        <f>Table1[[#This Row],[Final_Unit_Price]]*Table1[[#This Row],[Quantity]]</f>
        <v>45760.590000000004</v>
      </c>
      <c r="M1121" s="59">
        <v>16016.21</v>
      </c>
      <c r="N1121" s="42">
        <v>45557</v>
      </c>
      <c r="O1121" s="20" t="str">
        <f>TEXT(Table1[[#This Row],[Order_Date]],"mmm")</f>
        <v>Sep</v>
      </c>
      <c r="P1121" s="20">
        <f t="shared" si="34"/>
        <v>2024</v>
      </c>
      <c r="Q1121" s="46">
        <v>45564</v>
      </c>
      <c r="R1121" s="20">
        <f>'Cleaned Data'!$Q1121-'Cleaned Data'!$N1121</f>
        <v>7</v>
      </c>
      <c r="S1121" s="19" t="str">
        <f t="shared" si="35"/>
        <v>Monsoon</v>
      </c>
    </row>
    <row r="1122" spans="1:19" x14ac:dyDescent="0.3">
      <c r="A1122" s="13" t="s">
        <v>1299</v>
      </c>
      <c r="B1122" s="13" t="s">
        <v>25</v>
      </c>
      <c r="C1122" s="5" t="s">
        <v>34</v>
      </c>
      <c r="D1122" s="5" t="s">
        <v>52</v>
      </c>
      <c r="E1122" s="5" t="s">
        <v>60</v>
      </c>
      <c r="F1122" s="5" t="s">
        <v>61</v>
      </c>
      <c r="G1122" s="5" t="s">
        <v>65</v>
      </c>
      <c r="H1122" s="38">
        <v>661.89</v>
      </c>
      <c r="I1122" s="14">
        <v>0.2</v>
      </c>
      <c r="J1122" s="38">
        <v>529.51200000000006</v>
      </c>
      <c r="K1122" s="5">
        <v>4</v>
      </c>
      <c r="L1122" s="62">
        <f>Table1[[#This Row],[Final_Unit_Price]]*Table1[[#This Row],[Quantity]]</f>
        <v>2118.0480000000002</v>
      </c>
      <c r="M1122" s="60">
        <v>238.28</v>
      </c>
      <c r="N1122" s="43">
        <v>45647</v>
      </c>
      <c r="O1122" s="18" t="str">
        <f>TEXT(Table1[[#This Row],[Order_Date]],"mmm")</f>
        <v>Dec</v>
      </c>
      <c r="P1122" s="18">
        <f t="shared" si="34"/>
        <v>2024</v>
      </c>
      <c r="Q1122" s="45">
        <v>45655</v>
      </c>
      <c r="R1122" s="19">
        <f>'Cleaned Data'!$Q1122-'Cleaned Data'!$N1122</f>
        <v>8</v>
      </c>
      <c r="S1122" s="19" t="str">
        <f t="shared" si="35"/>
        <v>Winter</v>
      </c>
    </row>
    <row r="1123" spans="1:19" x14ac:dyDescent="0.3">
      <c r="A1123" s="11" t="s">
        <v>1300</v>
      </c>
      <c r="B1123" s="11" t="s">
        <v>30</v>
      </c>
      <c r="C1123" s="3" t="s">
        <v>33</v>
      </c>
      <c r="D1123" s="3" t="s">
        <v>38</v>
      </c>
      <c r="E1123" s="3" t="s">
        <v>59</v>
      </c>
      <c r="F1123" s="3" t="s">
        <v>62</v>
      </c>
      <c r="G1123" s="3" t="s">
        <v>66</v>
      </c>
      <c r="H1123" s="37">
        <v>18953.05</v>
      </c>
      <c r="I1123" s="12">
        <v>0.1</v>
      </c>
      <c r="J1123" s="37">
        <v>17057.744999999999</v>
      </c>
      <c r="K1123" s="3">
        <v>4</v>
      </c>
      <c r="L1123" s="61">
        <f>Table1[[#This Row],[Final_Unit_Price]]*Table1[[#This Row],[Quantity]]</f>
        <v>68230.98</v>
      </c>
      <c r="M1123" s="59">
        <v>23880.84</v>
      </c>
      <c r="N1123" s="42">
        <v>45621</v>
      </c>
      <c r="O1123" s="20" t="str">
        <f>TEXT(Table1[[#This Row],[Order_Date]],"mmm")</f>
        <v>Nov</v>
      </c>
      <c r="P1123" s="20">
        <f t="shared" si="34"/>
        <v>2024</v>
      </c>
      <c r="Q1123" s="46">
        <v>45629</v>
      </c>
      <c r="R1123" s="20">
        <f>'Cleaned Data'!$Q1123-'Cleaned Data'!$N1123</f>
        <v>8</v>
      </c>
      <c r="S1123" s="19" t="str">
        <f t="shared" si="35"/>
        <v>Winter</v>
      </c>
    </row>
    <row r="1124" spans="1:19" x14ac:dyDescent="0.3">
      <c r="A1124" s="13" t="s">
        <v>1301</v>
      </c>
      <c r="B1124" s="13" t="s">
        <v>30</v>
      </c>
      <c r="C1124" s="5" t="s">
        <v>33</v>
      </c>
      <c r="D1124" s="5" t="s">
        <v>38</v>
      </c>
      <c r="E1124" s="5" t="s">
        <v>59</v>
      </c>
      <c r="F1124" s="5" t="s">
        <v>62</v>
      </c>
      <c r="G1124" s="5" t="s">
        <v>66</v>
      </c>
      <c r="H1124" s="38">
        <v>19058.490000000002</v>
      </c>
      <c r="I1124" s="14">
        <v>0.15</v>
      </c>
      <c r="J1124" s="38">
        <v>16199.7165</v>
      </c>
      <c r="K1124" s="5">
        <v>4</v>
      </c>
      <c r="L1124" s="62">
        <f>Table1[[#This Row],[Final_Unit_Price]]*Table1[[#This Row],[Quantity]]</f>
        <v>64798.866000000002</v>
      </c>
      <c r="M1124" s="60">
        <v>22679.599999999999</v>
      </c>
      <c r="N1124" s="43">
        <v>45447</v>
      </c>
      <c r="O1124" s="18" t="str">
        <f>TEXT(Table1[[#This Row],[Order_Date]],"mmm")</f>
        <v>Jun</v>
      </c>
      <c r="P1124" s="18">
        <f t="shared" si="34"/>
        <v>2024</v>
      </c>
      <c r="Q1124" s="45">
        <v>45449</v>
      </c>
      <c r="R1124" s="19">
        <f>'Cleaned Data'!$Q1124-'Cleaned Data'!$N1124</f>
        <v>2</v>
      </c>
      <c r="S1124" s="19" t="str">
        <f t="shared" si="35"/>
        <v>Monsoon</v>
      </c>
    </row>
    <row r="1125" spans="1:19" x14ac:dyDescent="0.3">
      <c r="A1125" s="11" t="s">
        <v>1302</v>
      </c>
      <c r="B1125" s="11" t="s">
        <v>21</v>
      </c>
      <c r="C1125" s="3" t="s">
        <v>34</v>
      </c>
      <c r="D1125" s="3" t="s">
        <v>51</v>
      </c>
      <c r="E1125" s="3" t="s">
        <v>59</v>
      </c>
      <c r="F1125" s="3" t="s">
        <v>62</v>
      </c>
      <c r="G1125" s="3" t="s">
        <v>66</v>
      </c>
      <c r="H1125" s="37">
        <v>3577.78</v>
      </c>
      <c r="I1125" s="12">
        <v>0.05</v>
      </c>
      <c r="J1125" s="37">
        <v>3398.8910000000001</v>
      </c>
      <c r="K1125" s="3">
        <v>5</v>
      </c>
      <c r="L1125" s="61">
        <f>Table1[[#This Row],[Final_Unit_Price]]*Table1[[#This Row],[Quantity]]</f>
        <v>16994.455000000002</v>
      </c>
      <c r="M1125" s="59">
        <v>1189.6099999999999</v>
      </c>
      <c r="N1125" s="42">
        <v>45608</v>
      </c>
      <c r="O1125" s="20" t="str">
        <f>TEXT(Table1[[#This Row],[Order_Date]],"mmm")</f>
        <v>Nov</v>
      </c>
      <c r="P1125" s="20">
        <f t="shared" si="34"/>
        <v>2024</v>
      </c>
      <c r="Q1125" s="46">
        <v>45615</v>
      </c>
      <c r="R1125" s="20">
        <f>'Cleaned Data'!$Q1125-'Cleaned Data'!$N1125</f>
        <v>7</v>
      </c>
      <c r="S1125" s="19" t="str">
        <f t="shared" si="35"/>
        <v>Winter</v>
      </c>
    </row>
    <row r="1126" spans="1:19" x14ac:dyDescent="0.3">
      <c r="A1126" s="13" t="s">
        <v>1303</v>
      </c>
      <c r="B1126" s="13" t="s">
        <v>27</v>
      </c>
      <c r="C1126" s="5" t="s">
        <v>35</v>
      </c>
      <c r="D1126" s="5" t="s">
        <v>44</v>
      </c>
      <c r="E1126" s="5" t="s">
        <v>60</v>
      </c>
      <c r="F1126" s="5" t="s">
        <v>62</v>
      </c>
      <c r="G1126" s="5" t="s">
        <v>69</v>
      </c>
      <c r="H1126" s="38">
        <v>6782.28</v>
      </c>
      <c r="I1126" s="14">
        <v>0.05</v>
      </c>
      <c r="J1126" s="38">
        <v>6443.1659999999993</v>
      </c>
      <c r="K1126" s="5">
        <v>5</v>
      </c>
      <c r="L1126" s="62">
        <f>Table1[[#This Row],[Final_Unit_Price]]*Table1[[#This Row],[Quantity]]</f>
        <v>32215.829999999994</v>
      </c>
      <c r="M1126" s="60">
        <v>4832.37</v>
      </c>
      <c r="N1126" s="43">
        <v>45471</v>
      </c>
      <c r="O1126" s="18" t="str">
        <f>TEXT(Table1[[#This Row],[Order_Date]],"mmm")</f>
        <v>Jun</v>
      </c>
      <c r="P1126" s="18">
        <f t="shared" si="34"/>
        <v>2024</v>
      </c>
      <c r="Q1126" s="45">
        <v>45480</v>
      </c>
      <c r="R1126" s="19">
        <f>'Cleaned Data'!$Q1126-'Cleaned Data'!$N1126</f>
        <v>9</v>
      </c>
      <c r="S1126" s="19" t="str">
        <f t="shared" si="35"/>
        <v>Monsoon</v>
      </c>
    </row>
    <row r="1127" spans="1:19" x14ac:dyDescent="0.3">
      <c r="A1127" s="11" t="s">
        <v>1304</v>
      </c>
      <c r="B1127" s="11" t="s">
        <v>25</v>
      </c>
      <c r="C1127" s="3" t="s">
        <v>34</v>
      </c>
      <c r="D1127" s="3" t="s">
        <v>51</v>
      </c>
      <c r="E1127" s="3" t="s">
        <v>59</v>
      </c>
      <c r="F1127" s="3" t="s">
        <v>61</v>
      </c>
      <c r="G1127" s="3" t="s">
        <v>65</v>
      </c>
      <c r="H1127" s="37">
        <v>980.52</v>
      </c>
      <c r="I1127" s="12">
        <v>0</v>
      </c>
      <c r="J1127" s="37">
        <v>980.52</v>
      </c>
      <c r="K1127" s="3">
        <v>3</v>
      </c>
      <c r="L1127" s="61">
        <f>Table1[[#This Row],[Final_Unit_Price]]*Table1[[#This Row],[Quantity]]</f>
        <v>2941.56</v>
      </c>
      <c r="M1127" s="59">
        <v>1029.55</v>
      </c>
      <c r="N1127" s="42">
        <v>45480</v>
      </c>
      <c r="O1127" s="20" t="str">
        <f>TEXT(Table1[[#This Row],[Order_Date]],"mmm")</f>
        <v>Jul</v>
      </c>
      <c r="P1127" s="20">
        <f t="shared" si="34"/>
        <v>2024</v>
      </c>
      <c r="Q1127" s="46">
        <v>45482</v>
      </c>
      <c r="R1127" s="20">
        <f>'Cleaned Data'!$Q1127-'Cleaned Data'!$N1127</f>
        <v>2</v>
      </c>
      <c r="S1127" s="19" t="str">
        <f t="shared" si="35"/>
        <v>Monsoon</v>
      </c>
    </row>
    <row r="1128" spans="1:19" x14ac:dyDescent="0.3">
      <c r="A1128" s="13" t="s">
        <v>1305</v>
      </c>
      <c r="B1128" s="13" t="s">
        <v>25</v>
      </c>
      <c r="C1128" s="5" t="s">
        <v>34</v>
      </c>
      <c r="D1128" s="5" t="s">
        <v>49</v>
      </c>
      <c r="E1128" s="5" t="s">
        <v>59</v>
      </c>
      <c r="F1128" s="5" t="s">
        <v>61</v>
      </c>
      <c r="G1128" s="5" t="s">
        <v>70</v>
      </c>
      <c r="H1128" s="38">
        <v>934.48</v>
      </c>
      <c r="I1128" s="14">
        <v>0</v>
      </c>
      <c r="J1128" s="38">
        <v>934.48</v>
      </c>
      <c r="K1128" s="5">
        <v>4</v>
      </c>
      <c r="L1128" s="62">
        <f>Table1[[#This Row],[Final_Unit_Price]]*Table1[[#This Row],[Quantity]]</f>
        <v>3737.92</v>
      </c>
      <c r="M1128" s="60">
        <v>981.2</v>
      </c>
      <c r="N1128" s="43">
        <v>45593</v>
      </c>
      <c r="O1128" s="18" t="str">
        <f>TEXT(Table1[[#This Row],[Order_Date]],"mmm")</f>
        <v>Oct</v>
      </c>
      <c r="P1128" s="18">
        <f t="shared" si="34"/>
        <v>2024</v>
      </c>
      <c r="Q1128" s="45">
        <v>45595</v>
      </c>
      <c r="R1128" s="19">
        <f>'Cleaned Data'!$Q1128-'Cleaned Data'!$N1128</f>
        <v>2</v>
      </c>
      <c r="S1128" s="19" t="str">
        <f t="shared" si="35"/>
        <v>Winter</v>
      </c>
    </row>
    <row r="1129" spans="1:19" x14ac:dyDescent="0.3">
      <c r="A1129" s="11" t="s">
        <v>1306</v>
      </c>
      <c r="B1129" s="11" t="s">
        <v>21</v>
      </c>
      <c r="C1129" s="3" t="s">
        <v>34</v>
      </c>
      <c r="D1129" s="3" t="s">
        <v>52</v>
      </c>
      <c r="E1129" s="3" t="s">
        <v>60</v>
      </c>
      <c r="F1129" s="3" t="s">
        <v>62</v>
      </c>
      <c r="G1129" s="3" t="s">
        <v>66</v>
      </c>
      <c r="H1129" s="37">
        <v>2546.87</v>
      </c>
      <c r="I1129" s="12">
        <v>0.2</v>
      </c>
      <c r="J1129" s="37">
        <v>2037.4960000000001</v>
      </c>
      <c r="K1129" s="3">
        <v>8</v>
      </c>
      <c r="L1129" s="61">
        <f>Table1[[#This Row],[Final_Unit_Price]]*Table1[[#This Row],[Quantity]]</f>
        <v>16299.968000000001</v>
      </c>
      <c r="M1129" s="59">
        <v>305.62</v>
      </c>
      <c r="N1129" s="42">
        <v>45597</v>
      </c>
      <c r="O1129" s="20" t="str">
        <f>TEXT(Table1[[#This Row],[Order_Date]],"mmm")</f>
        <v>Nov</v>
      </c>
      <c r="P1129" s="20">
        <f t="shared" si="34"/>
        <v>2024</v>
      </c>
      <c r="Q1129" s="46">
        <v>45606</v>
      </c>
      <c r="R1129" s="20">
        <f>'Cleaned Data'!$Q1129-'Cleaned Data'!$N1129</f>
        <v>9</v>
      </c>
      <c r="S1129" s="19" t="str">
        <f t="shared" si="35"/>
        <v>Winter</v>
      </c>
    </row>
    <row r="1130" spans="1:19" x14ac:dyDescent="0.3">
      <c r="A1130" s="13" t="s">
        <v>1307</v>
      </c>
      <c r="B1130" s="13" t="s">
        <v>17</v>
      </c>
      <c r="C1130" s="5" t="s">
        <v>32</v>
      </c>
      <c r="D1130" s="5" t="s">
        <v>37</v>
      </c>
      <c r="E1130" s="5" t="s">
        <v>59</v>
      </c>
      <c r="F1130" s="5" t="s">
        <v>63</v>
      </c>
      <c r="G1130" s="5" t="s">
        <v>73</v>
      </c>
      <c r="H1130" s="38">
        <v>9213.06</v>
      </c>
      <c r="I1130" s="14">
        <v>0.2</v>
      </c>
      <c r="J1130" s="38">
        <v>7370.4480000000003</v>
      </c>
      <c r="K1130" s="5">
        <v>1</v>
      </c>
      <c r="L1130" s="62">
        <f>Table1[[#This Row],[Final_Unit_Price]]*Table1[[#This Row],[Quantity]]</f>
        <v>7370.4480000000003</v>
      </c>
      <c r="M1130" s="60">
        <v>2579.66</v>
      </c>
      <c r="N1130" s="43">
        <v>45336</v>
      </c>
      <c r="O1130" s="18" t="str">
        <f>TEXT(Table1[[#This Row],[Order_Date]],"mmm")</f>
        <v>Feb</v>
      </c>
      <c r="P1130" s="18">
        <f t="shared" si="34"/>
        <v>2024</v>
      </c>
      <c r="Q1130" s="45">
        <v>45342</v>
      </c>
      <c r="R1130" s="19">
        <f>'Cleaned Data'!$Q1130-'Cleaned Data'!$N1130</f>
        <v>6</v>
      </c>
      <c r="S1130" s="19" t="str">
        <f t="shared" si="35"/>
        <v>Summer</v>
      </c>
    </row>
    <row r="1131" spans="1:19" x14ac:dyDescent="0.3">
      <c r="A1131" s="11" t="s">
        <v>1308</v>
      </c>
      <c r="B1131" s="11" t="s">
        <v>30</v>
      </c>
      <c r="C1131" s="3" t="s">
        <v>33</v>
      </c>
      <c r="D1131" s="3" t="s">
        <v>57</v>
      </c>
      <c r="E1131" s="3" t="s">
        <v>60</v>
      </c>
      <c r="F1131" s="3" t="s">
        <v>61</v>
      </c>
      <c r="G1131" s="3" t="s">
        <v>71</v>
      </c>
      <c r="H1131" s="37">
        <v>12299.52</v>
      </c>
      <c r="I1131" s="12">
        <v>0.1</v>
      </c>
      <c r="J1131" s="37">
        <v>11069.567999999999</v>
      </c>
      <c r="K1131" s="3">
        <v>5</v>
      </c>
      <c r="L1131" s="61">
        <f>Table1[[#This Row],[Final_Unit_Price]]*Table1[[#This Row],[Quantity]]</f>
        <v>55347.839999999997</v>
      </c>
      <c r="M1131" s="59">
        <v>8302.18</v>
      </c>
      <c r="N1131" s="42">
        <v>45443</v>
      </c>
      <c r="O1131" s="20" t="str">
        <f>TEXT(Table1[[#This Row],[Order_Date]],"mmm")</f>
        <v>May</v>
      </c>
      <c r="P1131" s="20">
        <f t="shared" si="34"/>
        <v>2024</v>
      </c>
      <c r="Q1131" s="46">
        <v>45452</v>
      </c>
      <c r="R1131" s="20">
        <f>'Cleaned Data'!$Q1131-'Cleaned Data'!$N1131</f>
        <v>9</v>
      </c>
      <c r="S1131" s="19" t="str">
        <f t="shared" si="35"/>
        <v>Summer</v>
      </c>
    </row>
    <row r="1132" spans="1:19" x14ac:dyDescent="0.3">
      <c r="A1132" s="13" t="s">
        <v>1309</v>
      </c>
      <c r="B1132" s="13" t="s">
        <v>23</v>
      </c>
      <c r="C1132" s="5" t="s">
        <v>35</v>
      </c>
      <c r="D1132" s="5" t="s">
        <v>38</v>
      </c>
      <c r="E1132" s="5" t="s">
        <v>59</v>
      </c>
      <c r="F1132" s="5" t="s">
        <v>62</v>
      </c>
      <c r="G1132" s="5" t="s">
        <v>67</v>
      </c>
      <c r="H1132" s="38">
        <v>31393.23</v>
      </c>
      <c r="I1132" s="14">
        <v>0.3</v>
      </c>
      <c r="J1132" s="38">
        <v>21975.260999999999</v>
      </c>
      <c r="K1132" s="5">
        <v>2</v>
      </c>
      <c r="L1132" s="62">
        <f>Table1[[#This Row],[Final_Unit_Price]]*Table1[[#This Row],[Quantity]]</f>
        <v>43950.521999999997</v>
      </c>
      <c r="M1132" s="60">
        <v>15382.68</v>
      </c>
      <c r="N1132" s="43">
        <v>45434</v>
      </c>
      <c r="O1132" s="18" t="str">
        <f>TEXT(Table1[[#This Row],[Order_Date]],"mmm")</f>
        <v>May</v>
      </c>
      <c r="P1132" s="18">
        <f t="shared" si="34"/>
        <v>2024</v>
      </c>
      <c r="Q1132" s="45">
        <v>45441</v>
      </c>
      <c r="R1132" s="19">
        <f>'Cleaned Data'!$Q1132-'Cleaned Data'!$N1132</f>
        <v>7</v>
      </c>
      <c r="S1132" s="19" t="str">
        <f t="shared" si="35"/>
        <v>Summer</v>
      </c>
    </row>
    <row r="1133" spans="1:19" x14ac:dyDescent="0.3">
      <c r="A1133" s="11" t="s">
        <v>1310</v>
      </c>
      <c r="B1133" s="11" t="s">
        <v>25</v>
      </c>
      <c r="C1133" s="3" t="s">
        <v>34</v>
      </c>
      <c r="D1133" s="3" t="s">
        <v>52</v>
      </c>
      <c r="E1133" s="3" t="s">
        <v>60</v>
      </c>
      <c r="F1133" s="3" t="s">
        <v>64</v>
      </c>
      <c r="G1133" s="3" t="s">
        <v>72</v>
      </c>
      <c r="H1133" s="37">
        <v>699.6</v>
      </c>
      <c r="I1133" s="12">
        <v>0.15</v>
      </c>
      <c r="J1133" s="37">
        <v>594.66</v>
      </c>
      <c r="K1133" s="3">
        <v>5</v>
      </c>
      <c r="L1133" s="61">
        <f>Table1[[#This Row],[Final_Unit_Price]]*Table1[[#This Row],[Quantity]]</f>
        <v>2973.2999999999997</v>
      </c>
      <c r="M1133" s="59">
        <v>267.60000000000002</v>
      </c>
      <c r="N1133" s="42">
        <v>45683</v>
      </c>
      <c r="O1133" s="20" t="str">
        <f>TEXT(Table1[[#This Row],[Order_Date]],"mmm")</f>
        <v>Jan</v>
      </c>
      <c r="P1133" s="20">
        <f t="shared" si="34"/>
        <v>2025</v>
      </c>
      <c r="Q1133" s="46">
        <v>45691</v>
      </c>
      <c r="R1133" s="20">
        <f>'Cleaned Data'!$Q1133-'Cleaned Data'!$N1133</f>
        <v>8</v>
      </c>
      <c r="S1133" s="19" t="str">
        <f t="shared" si="35"/>
        <v>Winter</v>
      </c>
    </row>
    <row r="1134" spans="1:19" x14ac:dyDescent="0.3">
      <c r="A1134" s="13" t="s">
        <v>1311</v>
      </c>
      <c r="B1134" s="13" t="s">
        <v>29</v>
      </c>
      <c r="C1134" s="5" t="s">
        <v>35</v>
      </c>
      <c r="D1134" s="5" t="s">
        <v>46</v>
      </c>
      <c r="E1134" s="5" t="s">
        <v>59</v>
      </c>
      <c r="F1134" s="5" t="s">
        <v>62</v>
      </c>
      <c r="G1134" s="5" t="s">
        <v>69</v>
      </c>
      <c r="H1134" s="38">
        <v>22125.599999999999</v>
      </c>
      <c r="I1134" s="14">
        <v>0.3</v>
      </c>
      <c r="J1134" s="38">
        <v>15487.92</v>
      </c>
      <c r="K1134" s="5">
        <v>1</v>
      </c>
      <c r="L1134" s="62">
        <f>Table1[[#This Row],[Final_Unit_Price]]*Table1[[#This Row],[Quantity]]</f>
        <v>15487.92</v>
      </c>
      <c r="M1134" s="60">
        <v>5420.77</v>
      </c>
      <c r="N1134" s="43">
        <v>45817</v>
      </c>
      <c r="O1134" s="18" t="str">
        <f>TEXT(Table1[[#This Row],[Order_Date]],"mmm")</f>
        <v>Jun</v>
      </c>
      <c r="P1134" s="18">
        <f t="shared" si="34"/>
        <v>2025</v>
      </c>
      <c r="Q1134" s="45">
        <v>45823</v>
      </c>
      <c r="R1134" s="19">
        <f>'Cleaned Data'!$Q1134-'Cleaned Data'!$N1134</f>
        <v>6</v>
      </c>
      <c r="S1134" s="19" t="str">
        <f t="shared" si="35"/>
        <v>Monsoon</v>
      </c>
    </row>
    <row r="1135" spans="1:19" x14ac:dyDescent="0.3">
      <c r="A1135" s="11" t="s">
        <v>1312</v>
      </c>
      <c r="B1135" s="11" t="s">
        <v>27</v>
      </c>
      <c r="C1135" s="3" t="s">
        <v>35</v>
      </c>
      <c r="D1135" s="3" t="s">
        <v>46</v>
      </c>
      <c r="E1135" s="3" t="s">
        <v>59</v>
      </c>
      <c r="F1135" s="3" t="s">
        <v>62</v>
      </c>
      <c r="G1135" s="3" t="s">
        <v>67</v>
      </c>
      <c r="H1135" s="37">
        <v>9957.09</v>
      </c>
      <c r="I1135" s="12">
        <v>0</v>
      </c>
      <c r="J1135" s="37">
        <v>9957.09</v>
      </c>
      <c r="K1135" s="3">
        <v>1</v>
      </c>
      <c r="L1135" s="61">
        <f>Table1[[#This Row],[Final_Unit_Price]]*Table1[[#This Row],[Quantity]]</f>
        <v>9957.09</v>
      </c>
      <c r="M1135" s="59">
        <v>3484.98</v>
      </c>
      <c r="N1135" s="42">
        <v>45378</v>
      </c>
      <c r="O1135" s="20" t="str">
        <f>TEXT(Table1[[#This Row],[Order_Date]],"mmm")</f>
        <v>Mar</v>
      </c>
      <c r="P1135" s="20">
        <f t="shared" si="34"/>
        <v>2024</v>
      </c>
      <c r="Q1135" s="46">
        <v>45380</v>
      </c>
      <c r="R1135" s="20">
        <f>'Cleaned Data'!$Q1135-'Cleaned Data'!$N1135</f>
        <v>2</v>
      </c>
      <c r="S1135" s="19" t="str">
        <f t="shared" si="35"/>
        <v>Summer</v>
      </c>
    </row>
    <row r="1136" spans="1:19" x14ac:dyDescent="0.3">
      <c r="A1136" s="13" t="s">
        <v>1313</v>
      </c>
      <c r="B1136" s="13" t="s">
        <v>29</v>
      </c>
      <c r="C1136" s="5" t="s">
        <v>35</v>
      </c>
      <c r="D1136" s="5" t="s">
        <v>48</v>
      </c>
      <c r="E1136" s="5" t="s">
        <v>58</v>
      </c>
      <c r="F1136" s="5" t="s">
        <v>61</v>
      </c>
      <c r="G1136" s="5" t="s">
        <v>65</v>
      </c>
      <c r="H1136" s="38">
        <v>18316.259999999998</v>
      </c>
      <c r="I1136" s="14">
        <v>0.1</v>
      </c>
      <c r="J1136" s="38">
        <v>16484.633999999998</v>
      </c>
      <c r="K1136" s="5">
        <v>5</v>
      </c>
      <c r="L1136" s="62">
        <f>Table1[[#This Row],[Final_Unit_Price]]*Table1[[#This Row],[Quantity]]</f>
        <v>82423.169999999984</v>
      </c>
      <c r="M1136" s="60">
        <v>20605.79</v>
      </c>
      <c r="N1136" s="43">
        <v>45309</v>
      </c>
      <c r="O1136" s="18" t="str">
        <f>TEXT(Table1[[#This Row],[Order_Date]],"mmm")</f>
        <v>Jan</v>
      </c>
      <c r="P1136" s="18">
        <f t="shared" si="34"/>
        <v>2024</v>
      </c>
      <c r="Q1136" s="45">
        <v>45317</v>
      </c>
      <c r="R1136" s="19">
        <f>'Cleaned Data'!$Q1136-'Cleaned Data'!$N1136</f>
        <v>8</v>
      </c>
      <c r="S1136" s="19" t="str">
        <f t="shared" si="35"/>
        <v>Winter</v>
      </c>
    </row>
    <row r="1137" spans="1:19" x14ac:dyDescent="0.3">
      <c r="A1137" s="11" t="s">
        <v>1314</v>
      </c>
      <c r="B1137" s="11" t="s">
        <v>25</v>
      </c>
      <c r="C1137" s="3" t="s">
        <v>34</v>
      </c>
      <c r="D1137" s="3" t="s">
        <v>41</v>
      </c>
      <c r="E1137" s="3" t="s">
        <v>60</v>
      </c>
      <c r="F1137" s="3" t="s">
        <v>61</v>
      </c>
      <c r="G1137" s="3" t="s">
        <v>71</v>
      </c>
      <c r="H1137" s="37">
        <v>661.85</v>
      </c>
      <c r="I1137" s="12">
        <v>0</v>
      </c>
      <c r="J1137" s="37">
        <v>661.85</v>
      </c>
      <c r="K1137" s="3">
        <v>5</v>
      </c>
      <c r="L1137" s="61">
        <f>Table1[[#This Row],[Final_Unit_Price]]*Table1[[#This Row],[Quantity]]</f>
        <v>3309.25</v>
      </c>
      <c r="M1137" s="59">
        <v>496.39</v>
      </c>
      <c r="N1137" s="42">
        <v>45842</v>
      </c>
      <c r="O1137" s="20" t="str">
        <f>TEXT(Table1[[#This Row],[Order_Date]],"mmm")</f>
        <v>Jul</v>
      </c>
      <c r="P1137" s="20">
        <f t="shared" si="34"/>
        <v>2025</v>
      </c>
      <c r="Q1137" s="46">
        <v>45845</v>
      </c>
      <c r="R1137" s="20">
        <f>'Cleaned Data'!$Q1137-'Cleaned Data'!$N1137</f>
        <v>3</v>
      </c>
      <c r="S1137" s="19" t="str">
        <f t="shared" si="35"/>
        <v>Monsoon</v>
      </c>
    </row>
    <row r="1138" spans="1:19" x14ac:dyDescent="0.3">
      <c r="A1138" s="13" t="s">
        <v>1315</v>
      </c>
      <c r="B1138" s="13" t="s">
        <v>24</v>
      </c>
      <c r="C1138" s="5" t="s">
        <v>32</v>
      </c>
      <c r="D1138" s="5" t="s">
        <v>43</v>
      </c>
      <c r="E1138" s="5" t="s">
        <v>58</v>
      </c>
      <c r="F1138" s="5" t="s">
        <v>63</v>
      </c>
      <c r="G1138" s="5" t="s">
        <v>75</v>
      </c>
      <c r="H1138" s="38">
        <v>23471.75</v>
      </c>
      <c r="I1138" s="14">
        <v>0.25</v>
      </c>
      <c r="J1138" s="38">
        <v>17603.8125</v>
      </c>
      <c r="K1138" s="5">
        <v>4</v>
      </c>
      <c r="L1138" s="62">
        <f>Table1[[#This Row],[Final_Unit_Price]]*Table1[[#This Row],[Quantity]]</f>
        <v>70415.25</v>
      </c>
      <c r="M1138" s="60">
        <v>17603.810000000001</v>
      </c>
      <c r="N1138" s="43">
        <v>45766</v>
      </c>
      <c r="O1138" s="18" t="str">
        <f>TEXT(Table1[[#This Row],[Order_Date]],"mmm")</f>
        <v>Apr</v>
      </c>
      <c r="P1138" s="18">
        <f t="shared" si="34"/>
        <v>2025</v>
      </c>
      <c r="Q1138" s="45">
        <v>45771</v>
      </c>
      <c r="R1138" s="19">
        <f>'Cleaned Data'!$Q1138-'Cleaned Data'!$N1138</f>
        <v>5</v>
      </c>
      <c r="S1138" s="19" t="str">
        <f t="shared" si="35"/>
        <v>Summer</v>
      </c>
    </row>
    <row r="1139" spans="1:19" x14ac:dyDescent="0.3">
      <c r="A1139" s="11" t="s">
        <v>1316</v>
      </c>
      <c r="B1139" s="11" t="s">
        <v>21</v>
      </c>
      <c r="C1139" s="3" t="s">
        <v>34</v>
      </c>
      <c r="D1139" s="3" t="s">
        <v>55</v>
      </c>
      <c r="E1139" s="3" t="s">
        <v>58</v>
      </c>
      <c r="F1139" s="3" t="s">
        <v>64</v>
      </c>
      <c r="G1139" s="3" t="s">
        <v>74</v>
      </c>
      <c r="H1139" s="37">
        <v>3250.91</v>
      </c>
      <c r="I1139" s="12">
        <v>0.05</v>
      </c>
      <c r="J1139" s="37">
        <v>3088.3645000000001</v>
      </c>
      <c r="K1139" s="3">
        <v>3</v>
      </c>
      <c r="L1139" s="61">
        <f>Table1[[#This Row],[Final_Unit_Price]]*Table1[[#This Row],[Quantity]]</f>
        <v>9265.0935000000009</v>
      </c>
      <c r="M1139" s="59">
        <v>2316.27</v>
      </c>
      <c r="N1139" s="42">
        <v>45659</v>
      </c>
      <c r="O1139" s="20" t="str">
        <f>TEXT(Table1[[#This Row],[Order_Date]],"mmm")</f>
        <v>Jan</v>
      </c>
      <c r="P1139" s="20">
        <f t="shared" si="34"/>
        <v>2025</v>
      </c>
      <c r="Q1139" s="46">
        <v>45661</v>
      </c>
      <c r="R1139" s="20">
        <f>'Cleaned Data'!$Q1139-'Cleaned Data'!$N1139</f>
        <v>2</v>
      </c>
      <c r="S1139" s="19" t="str">
        <f t="shared" si="35"/>
        <v>Winter</v>
      </c>
    </row>
    <row r="1140" spans="1:19" x14ac:dyDescent="0.3">
      <c r="A1140" s="13" t="s">
        <v>1317</v>
      </c>
      <c r="B1140" s="13" t="s">
        <v>27</v>
      </c>
      <c r="C1140" s="5" t="s">
        <v>35</v>
      </c>
      <c r="D1140" s="5" t="s">
        <v>48</v>
      </c>
      <c r="E1140" s="5" t="s">
        <v>58</v>
      </c>
      <c r="F1140" s="5" t="s">
        <v>61</v>
      </c>
      <c r="G1140" s="5" t="s">
        <v>65</v>
      </c>
      <c r="H1140" s="38">
        <v>7626.39</v>
      </c>
      <c r="I1140" s="14">
        <v>0.1</v>
      </c>
      <c r="J1140" s="38">
        <v>6863.7510000000002</v>
      </c>
      <c r="K1140" s="5">
        <v>2</v>
      </c>
      <c r="L1140" s="62">
        <f>Table1[[#This Row],[Final_Unit_Price]]*Table1[[#This Row],[Quantity]]</f>
        <v>13727.502</v>
      </c>
      <c r="M1140" s="60">
        <v>3431.88</v>
      </c>
      <c r="N1140" s="43">
        <v>45341</v>
      </c>
      <c r="O1140" s="18" t="str">
        <f>TEXT(Table1[[#This Row],[Order_Date]],"mmm")</f>
        <v>Feb</v>
      </c>
      <c r="P1140" s="18">
        <f t="shared" si="34"/>
        <v>2024</v>
      </c>
      <c r="Q1140" s="45">
        <v>45344</v>
      </c>
      <c r="R1140" s="19">
        <f>'Cleaned Data'!$Q1140-'Cleaned Data'!$N1140</f>
        <v>3</v>
      </c>
      <c r="S1140" s="19" t="str">
        <f t="shared" si="35"/>
        <v>Summer</v>
      </c>
    </row>
    <row r="1141" spans="1:19" x14ac:dyDescent="0.3">
      <c r="A1141" s="11" t="s">
        <v>1318</v>
      </c>
      <c r="B1141" s="11" t="s">
        <v>18</v>
      </c>
      <c r="C1141" s="3" t="s">
        <v>33</v>
      </c>
      <c r="D1141" s="3" t="s">
        <v>38</v>
      </c>
      <c r="E1141" s="3" t="s">
        <v>59</v>
      </c>
      <c r="F1141" s="3" t="s">
        <v>62</v>
      </c>
      <c r="G1141" s="3" t="s">
        <v>66</v>
      </c>
      <c r="H1141" s="37">
        <v>63806.71</v>
      </c>
      <c r="I1141" s="12">
        <v>0.05</v>
      </c>
      <c r="J1141" s="37">
        <v>60616.374499999998</v>
      </c>
      <c r="K1141" s="3">
        <v>1</v>
      </c>
      <c r="L1141" s="61">
        <f>Table1[[#This Row],[Final_Unit_Price]]*Table1[[#This Row],[Quantity]]</f>
        <v>60616.374499999998</v>
      </c>
      <c r="M1141" s="59">
        <v>21215.73</v>
      </c>
      <c r="N1141" s="42">
        <v>45443</v>
      </c>
      <c r="O1141" s="20" t="str">
        <f>TEXT(Table1[[#This Row],[Order_Date]],"mmm")</f>
        <v>May</v>
      </c>
      <c r="P1141" s="20">
        <f t="shared" si="34"/>
        <v>2024</v>
      </c>
      <c r="Q1141" s="46">
        <v>45449</v>
      </c>
      <c r="R1141" s="20">
        <f>'Cleaned Data'!$Q1141-'Cleaned Data'!$N1141</f>
        <v>6</v>
      </c>
      <c r="S1141" s="19" t="str">
        <f t="shared" si="35"/>
        <v>Summer</v>
      </c>
    </row>
    <row r="1142" spans="1:19" x14ac:dyDescent="0.3">
      <c r="A1142" s="13" t="s">
        <v>1319</v>
      </c>
      <c r="B1142" s="13" t="s">
        <v>20</v>
      </c>
      <c r="C1142" s="5" t="s">
        <v>32</v>
      </c>
      <c r="D1142" s="5" t="s">
        <v>54</v>
      </c>
      <c r="E1142" s="5" t="s">
        <v>60</v>
      </c>
      <c r="F1142" s="5" t="s">
        <v>63</v>
      </c>
      <c r="G1142" s="5" t="s">
        <v>73</v>
      </c>
      <c r="H1142" s="38">
        <v>24547.26</v>
      </c>
      <c r="I1142" s="14">
        <v>0.3</v>
      </c>
      <c r="J1142" s="38">
        <v>17183.081999999999</v>
      </c>
      <c r="K1142" s="5">
        <v>2</v>
      </c>
      <c r="L1142" s="62">
        <f>Table1[[#This Row],[Final_Unit_Price]]*Table1[[#This Row],[Quantity]]</f>
        <v>34366.163999999997</v>
      </c>
      <c r="M1142" s="60">
        <v>5154.92</v>
      </c>
      <c r="N1142" s="43">
        <v>45336</v>
      </c>
      <c r="O1142" s="18" t="str">
        <f>TEXT(Table1[[#This Row],[Order_Date]],"mmm")</f>
        <v>Feb</v>
      </c>
      <c r="P1142" s="18">
        <f t="shared" si="34"/>
        <v>2024</v>
      </c>
      <c r="Q1142" s="45">
        <v>45343</v>
      </c>
      <c r="R1142" s="19">
        <f>'Cleaned Data'!$Q1142-'Cleaned Data'!$N1142</f>
        <v>7</v>
      </c>
      <c r="S1142" s="19" t="str">
        <f t="shared" si="35"/>
        <v>Summer</v>
      </c>
    </row>
    <row r="1143" spans="1:19" x14ac:dyDescent="0.3">
      <c r="A1143" s="11" t="s">
        <v>1320</v>
      </c>
      <c r="B1143" s="11" t="s">
        <v>16</v>
      </c>
      <c r="C1143" s="3" t="s">
        <v>31</v>
      </c>
      <c r="D1143" s="3" t="s">
        <v>47</v>
      </c>
      <c r="E1143" s="3" t="s">
        <v>59</v>
      </c>
      <c r="F1143" s="3" t="s">
        <v>62</v>
      </c>
      <c r="G1143" s="3" t="s">
        <v>66</v>
      </c>
      <c r="H1143" s="37">
        <v>3141.77</v>
      </c>
      <c r="I1143" s="12">
        <v>0.05</v>
      </c>
      <c r="J1143" s="37">
        <v>2984.6815000000001</v>
      </c>
      <c r="K1143" s="3">
        <v>4</v>
      </c>
      <c r="L1143" s="61">
        <f>Table1[[#This Row],[Final_Unit_Price]]*Table1[[#This Row],[Quantity]]</f>
        <v>11938.726000000001</v>
      </c>
      <c r="M1143" s="59">
        <v>4178.5600000000004</v>
      </c>
      <c r="N1143" s="42">
        <v>45343</v>
      </c>
      <c r="O1143" s="20" t="str">
        <f>TEXT(Table1[[#This Row],[Order_Date]],"mmm")</f>
        <v>Feb</v>
      </c>
      <c r="P1143" s="20">
        <f t="shared" si="34"/>
        <v>2024</v>
      </c>
      <c r="Q1143" s="46">
        <v>45353</v>
      </c>
      <c r="R1143" s="20">
        <f>'Cleaned Data'!$Q1143-'Cleaned Data'!$N1143</f>
        <v>10</v>
      </c>
      <c r="S1143" s="19" t="str">
        <f t="shared" si="35"/>
        <v>Summer</v>
      </c>
    </row>
    <row r="1144" spans="1:19" x14ac:dyDescent="0.3">
      <c r="A1144" s="13" t="s">
        <v>1321</v>
      </c>
      <c r="B1144" s="13" t="s">
        <v>21</v>
      </c>
      <c r="C1144" s="5" t="s">
        <v>34</v>
      </c>
      <c r="D1144" s="5" t="s">
        <v>41</v>
      </c>
      <c r="E1144" s="5" t="s">
        <v>60</v>
      </c>
      <c r="F1144" s="5" t="s">
        <v>62</v>
      </c>
      <c r="G1144" s="5" t="s">
        <v>69</v>
      </c>
      <c r="H1144" s="38">
        <v>2782.19</v>
      </c>
      <c r="I1144" s="14">
        <v>0</v>
      </c>
      <c r="J1144" s="38">
        <v>2782.19</v>
      </c>
      <c r="K1144" s="5">
        <v>5</v>
      </c>
      <c r="L1144" s="62">
        <f>Table1[[#This Row],[Final_Unit_Price]]*Table1[[#This Row],[Quantity]]</f>
        <v>13910.95</v>
      </c>
      <c r="M1144" s="60">
        <v>2086.64</v>
      </c>
      <c r="N1144" s="43">
        <v>45696</v>
      </c>
      <c r="O1144" s="18" t="str">
        <f>TEXT(Table1[[#This Row],[Order_Date]],"mmm")</f>
        <v>Feb</v>
      </c>
      <c r="P1144" s="18">
        <f t="shared" si="34"/>
        <v>2025</v>
      </c>
      <c r="Q1144" s="45">
        <v>45701</v>
      </c>
      <c r="R1144" s="19">
        <f>'Cleaned Data'!$Q1144-'Cleaned Data'!$N1144</f>
        <v>5</v>
      </c>
      <c r="S1144" s="19" t="str">
        <f t="shared" si="35"/>
        <v>Summer</v>
      </c>
    </row>
    <row r="1145" spans="1:19" x14ac:dyDescent="0.3">
      <c r="A1145" s="11" t="s">
        <v>1322</v>
      </c>
      <c r="B1145" s="11" t="s">
        <v>21</v>
      </c>
      <c r="C1145" s="3" t="s">
        <v>34</v>
      </c>
      <c r="D1145" s="3" t="s">
        <v>52</v>
      </c>
      <c r="E1145" s="3" t="s">
        <v>60</v>
      </c>
      <c r="F1145" s="3" t="s">
        <v>63</v>
      </c>
      <c r="G1145" s="3" t="s">
        <v>75</v>
      </c>
      <c r="H1145" s="37">
        <v>2512.7800000000002</v>
      </c>
      <c r="I1145" s="12">
        <v>0.15</v>
      </c>
      <c r="J1145" s="37">
        <v>2135.8629999999998</v>
      </c>
      <c r="K1145" s="3">
        <v>2</v>
      </c>
      <c r="L1145" s="61">
        <f>Table1[[#This Row],[Final_Unit_Price]]*Table1[[#This Row],[Quantity]]</f>
        <v>4271.7259999999997</v>
      </c>
      <c r="M1145" s="59">
        <v>640.76</v>
      </c>
      <c r="N1145" s="42">
        <v>45731</v>
      </c>
      <c r="O1145" s="20" t="str">
        <f>TEXT(Table1[[#This Row],[Order_Date]],"mmm")</f>
        <v>Mar</v>
      </c>
      <c r="P1145" s="20">
        <f t="shared" si="34"/>
        <v>2025</v>
      </c>
      <c r="Q1145" s="46">
        <v>45740</v>
      </c>
      <c r="R1145" s="20">
        <f>'Cleaned Data'!$Q1145-'Cleaned Data'!$N1145</f>
        <v>9</v>
      </c>
      <c r="S1145" s="19" t="str">
        <f t="shared" si="35"/>
        <v>Summer</v>
      </c>
    </row>
    <row r="1146" spans="1:19" x14ac:dyDescent="0.3">
      <c r="A1146" s="13" t="s">
        <v>1323</v>
      </c>
      <c r="B1146" s="13" t="s">
        <v>18</v>
      </c>
      <c r="C1146" s="5" t="s">
        <v>33</v>
      </c>
      <c r="D1146" s="5" t="s">
        <v>57</v>
      </c>
      <c r="E1146" s="5" t="s">
        <v>60</v>
      </c>
      <c r="F1146" s="5" t="s">
        <v>63</v>
      </c>
      <c r="G1146" s="5" t="s">
        <v>73</v>
      </c>
      <c r="H1146" s="38">
        <v>38674.239999999998</v>
      </c>
      <c r="I1146" s="14">
        <v>0.25</v>
      </c>
      <c r="J1146" s="38">
        <v>29005.68</v>
      </c>
      <c r="K1146" s="5">
        <v>4</v>
      </c>
      <c r="L1146" s="62">
        <f>Table1[[#This Row],[Final_Unit_Price]]*Table1[[#This Row],[Quantity]]</f>
        <v>116022.72</v>
      </c>
      <c r="M1146" s="60">
        <v>17403.41</v>
      </c>
      <c r="N1146" s="43">
        <v>45397</v>
      </c>
      <c r="O1146" s="18" t="str">
        <f>TEXT(Table1[[#This Row],[Order_Date]],"mmm")</f>
        <v>Apr</v>
      </c>
      <c r="P1146" s="18">
        <f t="shared" si="34"/>
        <v>2024</v>
      </c>
      <c r="Q1146" s="45">
        <v>45404</v>
      </c>
      <c r="R1146" s="19">
        <f>'Cleaned Data'!$Q1146-'Cleaned Data'!$N1146</f>
        <v>7</v>
      </c>
      <c r="S1146" s="19" t="str">
        <f t="shared" si="35"/>
        <v>Summer</v>
      </c>
    </row>
    <row r="1147" spans="1:19" x14ac:dyDescent="0.3">
      <c r="A1147" s="11" t="s">
        <v>1324</v>
      </c>
      <c r="B1147" s="11" t="s">
        <v>30</v>
      </c>
      <c r="C1147" s="3" t="s">
        <v>33</v>
      </c>
      <c r="D1147" s="3" t="s">
        <v>57</v>
      </c>
      <c r="E1147" s="3" t="s">
        <v>60</v>
      </c>
      <c r="F1147" s="3" t="s">
        <v>63</v>
      </c>
      <c r="G1147" s="3" t="s">
        <v>68</v>
      </c>
      <c r="H1147" s="37">
        <v>11913.2</v>
      </c>
      <c r="I1147" s="12">
        <v>0</v>
      </c>
      <c r="J1147" s="37">
        <v>11913.2</v>
      </c>
      <c r="K1147" s="3">
        <v>3</v>
      </c>
      <c r="L1147" s="61">
        <f>Table1[[#This Row],[Final_Unit_Price]]*Table1[[#This Row],[Quantity]]</f>
        <v>35739.600000000006</v>
      </c>
      <c r="M1147" s="59">
        <v>5360.94</v>
      </c>
      <c r="N1147" s="42">
        <v>45312</v>
      </c>
      <c r="O1147" s="20" t="str">
        <f>TEXT(Table1[[#This Row],[Order_Date]],"mmm")</f>
        <v>Jan</v>
      </c>
      <c r="P1147" s="20">
        <f t="shared" si="34"/>
        <v>2024</v>
      </c>
      <c r="Q1147" s="46">
        <v>45319</v>
      </c>
      <c r="R1147" s="20">
        <f>'Cleaned Data'!$Q1147-'Cleaned Data'!$N1147</f>
        <v>7</v>
      </c>
      <c r="S1147" s="19" t="str">
        <f t="shared" si="35"/>
        <v>Winter</v>
      </c>
    </row>
    <row r="1148" spans="1:19" x14ac:dyDescent="0.3">
      <c r="A1148" s="13" t="s">
        <v>1325</v>
      </c>
      <c r="B1148" s="13" t="s">
        <v>18</v>
      </c>
      <c r="C1148" s="5" t="s">
        <v>33</v>
      </c>
      <c r="D1148" s="5" t="s">
        <v>56</v>
      </c>
      <c r="E1148" s="5" t="s">
        <v>60</v>
      </c>
      <c r="F1148" s="5" t="s">
        <v>62</v>
      </c>
      <c r="G1148" s="5" t="s">
        <v>69</v>
      </c>
      <c r="H1148" s="38">
        <v>43356.14</v>
      </c>
      <c r="I1148" s="14">
        <v>0.15</v>
      </c>
      <c r="J1148" s="38">
        <v>36852.718999999997</v>
      </c>
      <c r="K1148" s="5">
        <v>3</v>
      </c>
      <c r="L1148" s="62">
        <f>Table1[[#This Row],[Final_Unit_Price]]*Table1[[#This Row],[Quantity]]</f>
        <v>110558.15699999999</v>
      </c>
      <c r="M1148" s="60">
        <v>16583.72</v>
      </c>
      <c r="N1148" s="43">
        <v>45581</v>
      </c>
      <c r="O1148" s="18" t="str">
        <f>TEXT(Table1[[#This Row],[Order_Date]],"mmm")</f>
        <v>Oct</v>
      </c>
      <c r="P1148" s="18">
        <f t="shared" si="34"/>
        <v>2024</v>
      </c>
      <c r="Q1148" s="45">
        <v>45584</v>
      </c>
      <c r="R1148" s="19">
        <f>'Cleaned Data'!$Q1148-'Cleaned Data'!$N1148</f>
        <v>3</v>
      </c>
      <c r="S1148" s="19" t="str">
        <f t="shared" si="35"/>
        <v>Winter</v>
      </c>
    </row>
    <row r="1149" spans="1:19" x14ac:dyDescent="0.3">
      <c r="A1149" s="11" t="s">
        <v>1326</v>
      </c>
      <c r="B1149" s="11" t="s">
        <v>23</v>
      </c>
      <c r="C1149" s="3" t="s">
        <v>35</v>
      </c>
      <c r="D1149" s="3" t="s">
        <v>46</v>
      </c>
      <c r="E1149" s="3" t="s">
        <v>59</v>
      </c>
      <c r="F1149" s="3" t="s">
        <v>64</v>
      </c>
      <c r="G1149" s="3" t="s">
        <v>76</v>
      </c>
      <c r="H1149" s="37">
        <v>33873.589999999997</v>
      </c>
      <c r="I1149" s="12">
        <v>0.3</v>
      </c>
      <c r="J1149" s="37">
        <v>23711.512999999999</v>
      </c>
      <c r="K1149" s="3">
        <v>3</v>
      </c>
      <c r="L1149" s="61">
        <f>Table1[[#This Row],[Final_Unit_Price]]*Table1[[#This Row],[Quantity]]</f>
        <v>71134.53899999999</v>
      </c>
      <c r="M1149" s="59">
        <v>24897.09</v>
      </c>
      <c r="N1149" s="42">
        <v>45439</v>
      </c>
      <c r="O1149" s="20" t="str">
        <f>TEXT(Table1[[#This Row],[Order_Date]],"mmm")</f>
        <v>May</v>
      </c>
      <c r="P1149" s="20">
        <f t="shared" si="34"/>
        <v>2024</v>
      </c>
      <c r="Q1149" s="46">
        <v>45448</v>
      </c>
      <c r="R1149" s="20">
        <f>'Cleaned Data'!$Q1149-'Cleaned Data'!$N1149</f>
        <v>9</v>
      </c>
      <c r="S1149" s="19" t="str">
        <f t="shared" si="35"/>
        <v>Summer</v>
      </c>
    </row>
    <row r="1150" spans="1:19" x14ac:dyDescent="0.3">
      <c r="A1150" s="13" t="s">
        <v>1327</v>
      </c>
      <c r="B1150" s="13" t="s">
        <v>25</v>
      </c>
      <c r="C1150" s="5" t="s">
        <v>34</v>
      </c>
      <c r="D1150" s="5" t="s">
        <v>41</v>
      </c>
      <c r="E1150" s="5" t="s">
        <v>60</v>
      </c>
      <c r="F1150" s="5" t="s">
        <v>63</v>
      </c>
      <c r="G1150" s="5" t="s">
        <v>68</v>
      </c>
      <c r="H1150" s="38">
        <v>674.09</v>
      </c>
      <c r="I1150" s="14">
        <v>0.2</v>
      </c>
      <c r="J1150" s="38">
        <v>539.27200000000005</v>
      </c>
      <c r="K1150" s="5">
        <v>1</v>
      </c>
      <c r="L1150" s="62">
        <f>Table1[[#This Row],[Final_Unit_Price]]*Table1[[#This Row],[Quantity]]</f>
        <v>539.27200000000005</v>
      </c>
      <c r="M1150" s="60">
        <v>80.89</v>
      </c>
      <c r="N1150" s="43">
        <v>45658</v>
      </c>
      <c r="O1150" s="18" t="str">
        <f>TEXT(Table1[[#This Row],[Order_Date]],"mmm")</f>
        <v>Jan</v>
      </c>
      <c r="P1150" s="18">
        <f t="shared" si="34"/>
        <v>2025</v>
      </c>
      <c r="Q1150" s="45">
        <v>45668</v>
      </c>
      <c r="R1150" s="19">
        <f>'Cleaned Data'!$Q1150-'Cleaned Data'!$N1150</f>
        <v>10</v>
      </c>
      <c r="S1150" s="19" t="str">
        <f t="shared" si="35"/>
        <v>Winter</v>
      </c>
    </row>
    <row r="1151" spans="1:19" x14ac:dyDescent="0.3">
      <c r="A1151" s="11" t="s">
        <v>1328</v>
      </c>
      <c r="B1151" s="11" t="s">
        <v>30</v>
      </c>
      <c r="C1151" s="3" t="s">
        <v>33</v>
      </c>
      <c r="D1151" s="3" t="s">
        <v>50</v>
      </c>
      <c r="E1151" s="3" t="s">
        <v>59</v>
      </c>
      <c r="F1151" s="3" t="s">
        <v>61</v>
      </c>
      <c r="G1151" s="3" t="s">
        <v>65</v>
      </c>
      <c r="H1151" s="37">
        <v>18276.27</v>
      </c>
      <c r="I1151" s="12">
        <v>0.1</v>
      </c>
      <c r="J1151" s="37">
        <v>16448.643</v>
      </c>
      <c r="K1151" s="3">
        <v>2</v>
      </c>
      <c r="L1151" s="61">
        <f>Table1[[#This Row],[Final_Unit_Price]]*Table1[[#This Row],[Quantity]]</f>
        <v>32897.286</v>
      </c>
      <c r="M1151" s="59">
        <v>11514.05</v>
      </c>
      <c r="N1151" s="42">
        <v>45563</v>
      </c>
      <c r="O1151" s="20" t="str">
        <f>TEXT(Table1[[#This Row],[Order_Date]],"mmm")</f>
        <v>Sep</v>
      </c>
      <c r="P1151" s="20">
        <f t="shared" si="34"/>
        <v>2024</v>
      </c>
      <c r="Q1151" s="46">
        <v>45566</v>
      </c>
      <c r="R1151" s="20">
        <f>'Cleaned Data'!$Q1151-'Cleaned Data'!$N1151</f>
        <v>3</v>
      </c>
      <c r="S1151" s="19" t="str">
        <f t="shared" si="35"/>
        <v>Monsoon</v>
      </c>
    </row>
    <row r="1152" spans="1:19" x14ac:dyDescent="0.3">
      <c r="A1152" s="13" t="s">
        <v>1329</v>
      </c>
      <c r="B1152" s="13" t="s">
        <v>17</v>
      </c>
      <c r="C1152" s="5" t="s">
        <v>32</v>
      </c>
      <c r="D1152" s="5" t="s">
        <v>40</v>
      </c>
      <c r="E1152" s="5" t="s">
        <v>59</v>
      </c>
      <c r="F1152" s="5" t="s">
        <v>63</v>
      </c>
      <c r="G1152" s="5" t="s">
        <v>75</v>
      </c>
      <c r="H1152" s="38">
        <v>8729.69</v>
      </c>
      <c r="I1152" s="14">
        <v>0</v>
      </c>
      <c r="J1152" s="38">
        <v>8729.69</v>
      </c>
      <c r="K1152" s="5">
        <v>2</v>
      </c>
      <c r="L1152" s="62">
        <f>Table1[[#This Row],[Final_Unit_Price]]*Table1[[#This Row],[Quantity]]</f>
        <v>17459.38</v>
      </c>
      <c r="M1152" s="60">
        <v>6110.78</v>
      </c>
      <c r="N1152" s="43">
        <v>45397</v>
      </c>
      <c r="O1152" s="18" t="str">
        <f>TEXT(Table1[[#This Row],[Order_Date]],"mmm")</f>
        <v>Apr</v>
      </c>
      <c r="P1152" s="18">
        <f t="shared" si="34"/>
        <v>2024</v>
      </c>
      <c r="Q1152" s="45">
        <v>45399</v>
      </c>
      <c r="R1152" s="19">
        <f>'Cleaned Data'!$Q1152-'Cleaned Data'!$N1152</f>
        <v>2</v>
      </c>
      <c r="S1152" s="19" t="str">
        <f t="shared" si="35"/>
        <v>Summer</v>
      </c>
    </row>
    <row r="1153" spans="1:19" x14ac:dyDescent="0.3">
      <c r="A1153" s="11" t="s">
        <v>1330</v>
      </c>
      <c r="B1153" s="11" t="s">
        <v>25</v>
      </c>
      <c r="C1153" s="3" t="s">
        <v>34</v>
      </c>
      <c r="D1153" s="3" t="s">
        <v>55</v>
      </c>
      <c r="E1153" s="3" t="s">
        <v>58</v>
      </c>
      <c r="F1153" s="3" t="s">
        <v>63</v>
      </c>
      <c r="G1153" s="3" t="s">
        <v>73</v>
      </c>
      <c r="H1153" s="37">
        <v>736.57</v>
      </c>
      <c r="I1153" s="12">
        <v>0.25</v>
      </c>
      <c r="J1153" s="37">
        <v>552.42750000000001</v>
      </c>
      <c r="K1153" s="3">
        <v>3</v>
      </c>
      <c r="L1153" s="61">
        <f>Table1[[#This Row],[Final_Unit_Price]]*Table1[[#This Row],[Quantity]]</f>
        <v>1657.2825</v>
      </c>
      <c r="M1153" s="59">
        <v>414.32</v>
      </c>
      <c r="N1153" s="42">
        <v>45566</v>
      </c>
      <c r="O1153" s="20" t="str">
        <f>TEXT(Table1[[#This Row],[Order_Date]],"mmm")</f>
        <v>Oct</v>
      </c>
      <c r="P1153" s="20">
        <f t="shared" si="34"/>
        <v>2024</v>
      </c>
      <c r="Q1153" s="46">
        <v>45575</v>
      </c>
      <c r="R1153" s="20">
        <f>'Cleaned Data'!$Q1153-'Cleaned Data'!$N1153</f>
        <v>9</v>
      </c>
      <c r="S1153" s="19" t="str">
        <f t="shared" si="35"/>
        <v>Winter</v>
      </c>
    </row>
    <row r="1154" spans="1:19" x14ac:dyDescent="0.3">
      <c r="A1154" s="13" t="s">
        <v>1331</v>
      </c>
      <c r="B1154" s="13" t="s">
        <v>17</v>
      </c>
      <c r="C1154" s="5" t="s">
        <v>32</v>
      </c>
      <c r="D1154" s="5" t="s">
        <v>54</v>
      </c>
      <c r="E1154" s="5" t="s">
        <v>60</v>
      </c>
      <c r="F1154" s="5" t="s">
        <v>62</v>
      </c>
      <c r="G1154" s="5" t="s">
        <v>69</v>
      </c>
      <c r="H1154" s="38">
        <v>6751.45</v>
      </c>
      <c r="I1154" s="14">
        <v>0</v>
      </c>
      <c r="J1154" s="38">
        <v>6751.45</v>
      </c>
      <c r="K1154" s="5">
        <v>4</v>
      </c>
      <c r="L1154" s="62">
        <f>Table1[[#This Row],[Final_Unit_Price]]*Table1[[#This Row],[Quantity]]</f>
        <v>27005.8</v>
      </c>
      <c r="M1154" s="60">
        <v>4050.87</v>
      </c>
      <c r="N1154" s="43">
        <v>45857</v>
      </c>
      <c r="O1154" s="18" t="str">
        <f>TEXT(Table1[[#This Row],[Order_Date]],"mmm")</f>
        <v>Jul</v>
      </c>
      <c r="P1154" s="18">
        <f t="shared" si="34"/>
        <v>2025</v>
      </c>
      <c r="Q1154" s="45">
        <v>45863</v>
      </c>
      <c r="R1154" s="19">
        <f>'Cleaned Data'!$Q1154-'Cleaned Data'!$N1154</f>
        <v>6</v>
      </c>
      <c r="S1154" s="19" t="str">
        <f t="shared" si="35"/>
        <v>Monsoon</v>
      </c>
    </row>
    <row r="1155" spans="1:19" x14ac:dyDescent="0.3">
      <c r="A1155" s="11" t="s">
        <v>1332</v>
      </c>
      <c r="B1155" s="11" t="s">
        <v>18</v>
      </c>
      <c r="C1155" s="3" t="s">
        <v>33</v>
      </c>
      <c r="D1155" s="3" t="s">
        <v>57</v>
      </c>
      <c r="E1155" s="3" t="s">
        <v>60</v>
      </c>
      <c r="F1155" s="3" t="s">
        <v>63</v>
      </c>
      <c r="G1155" s="3" t="s">
        <v>73</v>
      </c>
      <c r="H1155" s="37">
        <v>41412.19</v>
      </c>
      <c r="I1155" s="12">
        <v>0.15</v>
      </c>
      <c r="J1155" s="37">
        <v>35200.361499999999</v>
      </c>
      <c r="K1155" s="3">
        <v>4</v>
      </c>
      <c r="L1155" s="61">
        <f>Table1[[#This Row],[Final_Unit_Price]]*Table1[[#This Row],[Quantity]]</f>
        <v>140801.446</v>
      </c>
      <c r="M1155" s="59">
        <v>21120.22</v>
      </c>
      <c r="N1155" s="42">
        <v>45330</v>
      </c>
      <c r="O1155" s="20" t="str">
        <f>TEXT(Table1[[#This Row],[Order_Date]],"mmm")</f>
        <v>Feb</v>
      </c>
      <c r="P1155" s="20">
        <f t="shared" ref="P1155:P1201" si="36">YEAR(N1155)</f>
        <v>2024</v>
      </c>
      <c r="Q1155" s="46">
        <v>45337</v>
      </c>
      <c r="R1155" s="20">
        <f>'Cleaned Data'!$Q1155-'Cleaned Data'!$N1155</f>
        <v>7</v>
      </c>
      <c r="S1155" s="19" t="str">
        <f t="shared" ref="S1155:S1201" si="37">IF(OR(O1155="Feb",O1155="Mar",O1155="Apr",O1155="May"),"Summer",
   IF(OR(O1155="Jun",O1155="Jul",O1155="Aug",O1155="Sep"),"Monsoon",
   IF(OR(O1155="Oct",O1155="Nov",O1155="Dec",O1155= "Jan"),"Winter","Invalid")))</f>
        <v>Summer</v>
      </c>
    </row>
    <row r="1156" spans="1:19" x14ac:dyDescent="0.3">
      <c r="A1156" s="13" t="s">
        <v>1333</v>
      </c>
      <c r="B1156" s="13" t="s">
        <v>30</v>
      </c>
      <c r="C1156" s="5" t="s">
        <v>33</v>
      </c>
      <c r="D1156" s="5" t="s">
        <v>56</v>
      </c>
      <c r="E1156" s="5" t="s">
        <v>60</v>
      </c>
      <c r="F1156" s="5" t="s">
        <v>61</v>
      </c>
      <c r="G1156" s="5" t="s">
        <v>71</v>
      </c>
      <c r="H1156" s="38">
        <v>12538.44</v>
      </c>
      <c r="I1156" s="14">
        <v>0.1</v>
      </c>
      <c r="J1156" s="38">
        <v>11284.596</v>
      </c>
      <c r="K1156" s="5">
        <v>4</v>
      </c>
      <c r="L1156" s="62">
        <f>Table1[[#This Row],[Final_Unit_Price]]*Table1[[#This Row],[Quantity]]</f>
        <v>45138.383999999998</v>
      </c>
      <c r="M1156" s="60">
        <v>6770.76</v>
      </c>
      <c r="N1156" s="43">
        <v>45425</v>
      </c>
      <c r="O1156" s="18" t="str">
        <f>TEXT(Table1[[#This Row],[Order_Date]],"mmm")</f>
        <v>May</v>
      </c>
      <c r="P1156" s="18">
        <f t="shared" si="36"/>
        <v>2024</v>
      </c>
      <c r="Q1156" s="45">
        <v>45434</v>
      </c>
      <c r="R1156" s="19">
        <f>'Cleaned Data'!$Q1156-'Cleaned Data'!$N1156</f>
        <v>9</v>
      </c>
      <c r="S1156" s="19" t="str">
        <f t="shared" si="37"/>
        <v>Summer</v>
      </c>
    </row>
    <row r="1157" spans="1:19" x14ac:dyDescent="0.3">
      <c r="A1157" s="11" t="s">
        <v>1334</v>
      </c>
      <c r="B1157" s="11" t="s">
        <v>27</v>
      </c>
      <c r="C1157" s="3" t="s">
        <v>35</v>
      </c>
      <c r="D1157" s="3" t="s">
        <v>44</v>
      </c>
      <c r="E1157" s="3" t="s">
        <v>60</v>
      </c>
      <c r="F1157" s="3" t="s">
        <v>61</v>
      </c>
      <c r="G1157" s="3" t="s">
        <v>65</v>
      </c>
      <c r="H1157" s="37">
        <v>6763.01</v>
      </c>
      <c r="I1157" s="12">
        <v>0.1</v>
      </c>
      <c r="J1157" s="37">
        <v>6086.7090000000007</v>
      </c>
      <c r="K1157" s="3">
        <v>1</v>
      </c>
      <c r="L1157" s="61">
        <f>Table1[[#This Row],[Final_Unit_Price]]*Table1[[#This Row],[Quantity]]</f>
        <v>6086.7090000000007</v>
      </c>
      <c r="M1157" s="59">
        <v>913.01</v>
      </c>
      <c r="N1157" s="42">
        <v>45384</v>
      </c>
      <c r="O1157" s="20" t="str">
        <f>TEXT(Table1[[#This Row],[Order_Date]],"mmm")</f>
        <v>Apr</v>
      </c>
      <c r="P1157" s="20">
        <f t="shared" si="36"/>
        <v>2024</v>
      </c>
      <c r="Q1157" s="46">
        <v>45387</v>
      </c>
      <c r="R1157" s="20">
        <f>'Cleaned Data'!$Q1157-'Cleaned Data'!$N1157</f>
        <v>3</v>
      </c>
      <c r="S1157" s="19" t="str">
        <f t="shared" si="37"/>
        <v>Summer</v>
      </c>
    </row>
    <row r="1158" spans="1:19" x14ac:dyDescent="0.3">
      <c r="A1158" s="13" t="s">
        <v>1335</v>
      </c>
      <c r="B1158" s="13" t="s">
        <v>25</v>
      </c>
      <c r="C1158" s="5" t="s">
        <v>34</v>
      </c>
      <c r="D1158" s="5" t="s">
        <v>51</v>
      </c>
      <c r="E1158" s="5" t="s">
        <v>59</v>
      </c>
      <c r="F1158" s="5" t="s">
        <v>64</v>
      </c>
      <c r="G1158" s="5" t="s">
        <v>72</v>
      </c>
      <c r="H1158" s="38">
        <v>1023.36</v>
      </c>
      <c r="I1158" s="14">
        <v>0.15</v>
      </c>
      <c r="J1158" s="38">
        <v>869.85599999999999</v>
      </c>
      <c r="K1158" s="5">
        <v>3</v>
      </c>
      <c r="L1158" s="62">
        <f>Table1[[#This Row],[Final_Unit_Price]]*Table1[[#This Row],[Quantity]]</f>
        <v>2609.5680000000002</v>
      </c>
      <c r="M1158" s="60">
        <v>913.35</v>
      </c>
      <c r="N1158" s="43">
        <v>45601</v>
      </c>
      <c r="O1158" s="18" t="str">
        <f>TEXT(Table1[[#This Row],[Order_Date]],"mmm")</f>
        <v>Nov</v>
      </c>
      <c r="P1158" s="18">
        <f t="shared" si="36"/>
        <v>2024</v>
      </c>
      <c r="Q1158" s="45">
        <v>45610</v>
      </c>
      <c r="R1158" s="19">
        <f>'Cleaned Data'!$Q1158-'Cleaned Data'!$N1158</f>
        <v>9</v>
      </c>
      <c r="S1158" s="19" t="str">
        <f t="shared" si="37"/>
        <v>Winter</v>
      </c>
    </row>
    <row r="1159" spans="1:19" x14ac:dyDescent="0.3">
      <c r="A1159" s="11" t="s">
        <v>1336</v>
      </c>
      <c r="B1159" s="11" t="s">
        <v>28</v>
      </c>
      <c r="C1159" s="3" t="s">
        <v>34</v>
      </c>
      <c r="D1159" s="3" t="s">
        <v>55</v>
      </c>
      <c r="E1159" s="3" t="s">
        <v>58</v>
      </c>
      <c r="F1159" s="3" t="s">
        <v>61</v>
      </c>
      <c r="G1159" s="3" t="s">
        <v>71</v>
      </c>
      <c r="H1159" s="37">
        <v>1495.29</v>
      </c>
      <c r="I1159" s="12">
        <v>0.3</v>
      </c>
      <c r="J1159" s="37">
        <v>1046.703</v>
      </c>
      <c r="K1159" s="3">
        <v>3</v>
      </c>
      <c r="L1159" s="61">
        <f>Table1[[#This Row],[Final_Unit_Price]]*Table1[[#This Row],[Quantity]]</f>
        <v>3140.1089999999999</v>
      </c>
      <c r="M1159" s="59">
        <v>785.03</v>
      </c>
      <c r="N1159" s="42">
        <v>45560</v>
      </c>
      <c r="O1159" s="20" t="str">
        <f>TEXT(Table1[[#This Row],[Order_Date]],"mmm")</f>
        <v>Sep</v>
      </c>
      <c r="P1159" s="20">
        <f t="shared" si="36"/>
        <v>2024</v>
      </c>
      <c r="Q1159" s="46">
        <v>45566</v>
      </c>
      <c r="R1159" s="20">
        <f>'Cleaned Data'!$Q1159-'Cleaned Data'!$N1159</f>
        <v>6</v>
      </c>
      <c r="S1159" s="19" t="str">
        <f t="shared" si="37"/>
        <v>Monsoon</v>
      </c>
    </row>
    <row r="1160" spans="1:19" x14ac:dyDescent="0.3">
      <c r="A1160" s="13" t="s">
        <v>1337</v>
      </c>
      <c r="B1160" s="13" t="s">
        <v>29</v>
      </c>
      <c r="C1160" s="5" t="s">
        <v>35</v>
      </c>
      <c r="D1160" s="5" t="s">
        <v>44</v>
      </c>
      <c r="E1160" s="5" t="s">
        <v>60</v>
      </c>
      <c r="F1160" s="5" t="s">
        <v>62</v>
      </c>
      <c r="G1160" s="5" t="s">
        <v>69</v>
      </c>
      <c r="H1160" s="38">
        <v>15227.88</v>
      </c>
      <c r="I1160" s="14">
        <v>0</v>
      </c>
      <c r="J1160" s="38">
        <v>15227.88</v>
      </c>
      <c r="K1160" s="5">
        <v>5</v>
      </c>
      <c r="L1160" s="62">
        <f>Table1[[#This Row],[Final_Unit_Price]]*Table1[[#This Row],[Quantity]]</f>
        <v>76139.399999999994</v>
      </c>
      <c r="M1160" s="60">
        <v>11420.91</v>
      </c>
      <c r="N1160" s="43">
        <v>45419</v>
      </c>
      <c r="O1160" s="18" t="str">
        <f>TEXT(Table1[[#This Row],[Order_Date]],"mmm")</f>
        <v>May</v>
      </c>
      <c r="P1160" s="18">
        <f t="shared" si="36"/>
        <v>2024</v>
      </c>
      <c r="Q1160" s="45">
        <v>45423</v>
      </c>
      <c r="R1160" s="19">
        <f>'Cleaned Data'!$Q1160-'Cleaned Data'!$N1160</f>
        <v>4</v>
      </c>
      <c r="S1160" s="19" t="str">
        <f t="shared" si="37"/>
        <v>Summer</v>
      </c>
    </row>
    <row r="1161" spans="1:19" x14ac:dyDescent="0.3">
      <c r="A1161" s="11" t="s">
        <v>1338</v>
      </c>
      <c r="B1161" s="11" t="s">
        <v>18</v>
      </c>
      <c r="C1161" s="3" t="s">
        <v>33</v>
      </c>
      <c r="D1161" s="3" t="s">
        <v>38</v>
      </c>
      <c r="E1161" s="3" t="s">
        <v>59</v>
      </c>
      <c r="F1161" s="3" t="s">
        <v>63</v>
      </c>
      <c r="G1161" s="3" t="s">
        <v>73</v>
      </c>
      <c r="H1161" s="37">
        <v>59766.13</v>
      </c>
      <c r="I1161" s="12">
        <v>0.2</v>
      </c>
      <c r="J1161" s="37">
        <v>47812.904000000002</v>
      </c>
      <c r="K1161" s="3">
        <v>2</v>
      </c>
      <c r="L1161" s="61">
        <f>Table1[[#This Row],[Final_Unit_Price]]*Table1[[#This Row],[Quantity]]</f>
        <v>95625.808000000005</v>
      </c>
      <c r="M1161" s="59">
        <v>33469.03</v>
      </c>
      <c r="N1161" s="42">
        <v>45454</v>
      </c>
      <c r="O1161" s="20" t="str">
        <f>TEXT(Table1[[#This Row],[Order_Date]],"mmm")</f>
        <v>Jun</v>
      </c>
      <c r="P1161" s="20">
        <f t="shared" si="36"/>
        <v>2024</v>
      </c>
      <c r="Q1161" s="46">
        <v>45459</v>
      </c>
      <c r="R1161" s="20">
        <f>'Cleaned Data'!$Q1161-'Cleaned Data'!$N1161</f>
        <v>5</v>
      </c>
      <c r="S1161" s="19" t="str">
        <f t="shared" si="37"/>
        <v>Monsoon</v>
      </c>
    </row>
    <row r="1162" spans="1:19" x14ac:dyDescent="0.3">
      <c r="A1162" s="13" t="s">
        <v>1339</v>
      </c>
      <c r="B1162" s="13" t="s">
        <v>16</v>
      </c>
      <c r="C1162" s="5" t="s">
        <v>31</v>
      </c>
      <c r="D1162" s="5" t="s">
        <v>42</v>
      </c>
      <c r="E1162" s="5" t="s">
        <v>60</v>
      </c>
      <c r="F1162" s="5" t="s">
        <v>61</v>
      </c>
      <c r="G1162" s="5" t="s">
        <v>70</v>
      </c>
      <c r="H1162" s="38">
        <v>2068.0700000000002</v>
      </c>
      <c r="I1162" s="14">
        <v>0.15</v>
      </c>
      <c r="J1162" s="38">
        <v>1757.8595</v>
      </c>
      <c r="K1162" s="5">
        <v>7</v>
      </c>
      <c r="L1162" s="62">
        <f>Table1[[#This Row],[Final_Unit_Price]]*Table1[[#This Row],[Quantity]]</f>
        <v>12305.0165</v>
      </c>
      <c r="M1162" s="60">
        <v>263.68</v>
      </c>
      <c r="N1162" s="43">
        <v>45494</v>
      </c>
      <c r="O1162" s="18" t="str">
        <f>TEXT(Table1[[#This Row],[Order_Date]],"mmm")</f>
        <v>Jul</v>
      </c>
      <c r="P1162" s="18">
        <f t="shared" si="36"/>
        <v>2024</v>
      </c>
      <c r="Q1162" s="45">
        <v>45501</v>
      </c>
      <c r="R1162" s="19">
        <f>'Cleaned Data'!$Q1162-'Cleaned Data'!$N1162</f>
        <v>7</v>
      </c>
      <c r="S1162" s="19" t="str">
        <f t="shared" si="37"/>
        <v>Monsoon</v>
      </c>
    </row>
    <row r="1163" spans="1:19" x14ac:dyDescent="0.3">
      <c r="A1163" s="11" t="s">
        <v>1340</v>
      </c>
      <c r="B1163" s="11" t="s">
        <v>30</v>
      </c>
      <c r="C1163" s="3" t="s">
        <v>33</v>
      </c>
      <c r="D1163" s="3" t="s">
        <v>56</v>
      </c>
      <c r="E1163" s="3" t="s">
        <v>60</v>
      </c>
      <c r="F1163" s="3" t="s">
        <v>63</v>
      </c>
      <c r="G1163" s="3" t="s">
        <v>68</v>
      </c>
      <c r="H1163" s="37">
        <v>12327.23</v>
      </c>
      <c r="I1163" s="12">
        <v>0.3</v>
      </c>
      <c r="J1163" s="37">
        <v>8629.0609999999997</v>
      </c>
      <c r="K1163" s="3">
        <v>5</v>
      </c>
      <c r="L1163" s="61">
        <f>Table1[[#This Row],[Final_Unit_Price]]*Table1[[#This Row],[Quantity]]</f>
        <v>43145.305</v>
      </c>
      <c r="M1163" s="59">
        <v>6471.8</v>
      </c>
      <c r="N1163" s="42">
        <v>45548</v>
      </c>
      <c r="O1163" s="20" t="str">
        <f>TEXT(Table1[[#This Row],[Order_Date]],"mmm")</f>
        <v>Sep</v>
      </c>
      <c r="P1163" s="20">
        <f t="shared" si="36"/>
        <v>2024</v>
      </c>
      <c r="Q1163" s="46">
        <v>45551</v>
      </c>
      <c r="R1163" s="20">
        <f>'Cleaned Data'!$Q1163-'Cleaned Data'!$N1163</f>
        <v>3</v>
      </c>
      <c r="S1163" s="19" t="str">
        <f t="shared" si="37"/>
        <v>Monsoon</v>
      </c>
    </row>
    <row r="1164" spans="1:19" x14ac:dyDescent="0.3">
      <c r="A1164" s="13" t="s">
        <v>1341</v>
      </c>
      <c r="B1164" s="13" t="s">
        <v>16</v>
      </c>
      <c r="C1164" s="5" t="s">
        <v>31</v>
      </c>
      <c r="D1164" s="5" t="s">
        <v>47</v>
      </c>
      <c r="E1164" s="5" t="s">
        <v>59</v>
      </c>
      <c r="F1164" s="5" t="s">
        <v>62</v>
      </c>
      <c r="G1164" s="5" t="s">
        <v>67</v>
      </c>
      <c r="H1164" s="38">
        <v>3270.78</v>
      </c>
      <c r="I1164" s="14">
        <v>0</v>
      </c>
      <c r="J1164" s="38">
        <v>3270.78</v>
      </c>
      <c r="K1164" s="5">
        <v>5</v>
      </c>
      <c r="L1164" s="62">
        <f>Table1[[#This Row],[Final_Unit_Price]]*Table1[[#This Row],[Quantity]]</f>
        <v>16353.900000000001</v>
      </c>
      <c r="M1164" s="60">
        <v>3434.32</v>
      </c>
      <c r="N1164" s="43">
        <v>45861</v>
      </c>
      <c r="O1164" s="18" t="str">
        <f>TEXT(Table1[[#This Row],[Order_Date]],"mmm")</f>
        <v>Jul</v>
      </c>
      <c r="P1164" s="18">
        <f t="shared" si="36"/>
        <v>2025</v>
      </c>
      <c r="Q1164" s="45">
        <v>45865</v>
      </c>
      <c r="R1164" s="19">
        <f>'Cleaned Data'!$Q1164-'Cleaned Data'!$N1164</f>
        <v>4</v>
      </c>
      <c r="S1164" s="19" t="str">
        <f t="shared" si="37"/>
        <v>Monsoon</v>
      </c>
    </row>
    <row r="1165" spans="1:19" x14ac:dyDescent="0.3">
      <c r="A1165" s="11" t="s">
        <v>1342</v>
      </c>
      <c r="B1165" s="11" t="s">
        <v>30</v>
      </c>
      <c r="C1165" s="3" t="s">
        <v>33</v>
      </c>
      <c r="D1165" s="3" t="s">
        <v>50</v>
      </c>
      <c r="E1165" s="3" t="s">
        <v>59</v>
      </c>
      <c r="F1165" s="3" t="s">
        <v>63</v>
      </c>
      <c r="G1165" s="3" t="s">
        <v>73</v>
      </c>
      <c r="H1165" s="37">
        <v>16847.2</v>
      </c>
      <c r="I1165" s="12">
        <v>0.25</v>
      </c>
      <c r="J1165" s="37">
        <v>12635.4</v>
      </c>
      <c r="K1165" s="3">
        <v>3</v>
      </c>
      <c r="L1165" s="61">
        <f>Table1[[#This Row],[Final_Unit_Price]]*Table1[[#This Row],[Quantity]]</f>
        <v>37906.199999999997</v>
      </c>
      <c r="M1165" s="59">
        <v>13267.17</v>
      </c>
      <c r="N1165" s="42">
        <v>45353</v>
      </c>
      <c r="O1165" s="20" t="str">
        <f>TEXT(Table1[[#This Row],[Order_Date]],"mmm")</f>
        <v>Mar</v>
      </c>
      <c r="P1165" s="20">
        <f t="shared" si="36"/>
        <v>2024</v>
      </c>
      <c r="Q1165" s="46">
        <v>45361</v>
      </c>
      <c r="R1165" s="20">
        <f>'Cleaned Data'!$Q1165-'Cleaned Data'!$N1165</f>
        <v>8</v>
      </c>
      <c r="S1165" s="19" t="str">
        <f t="shared" si="37"/>
        <v>Summer</v>
      </c>
    </row>
    <row r="1166" spans="1:19" x14ac:dyDescent="0.3">
      <c r="A1166" s="13" t="s">
        <v>1343</v>
      </c>
      <c r="B1166" s="13" t="s">
        <v>20</v>
      </c>
      <c r="C1166" s="5" t="s">
        <v>32</v>
      </c>
      <c r="D1166" s="5" t="s">
        <v>43</v>
      </c>
      <c r="E1166" s="5" t="s">
        <v>58</v>
      </c>
      <c r="F1166" s="5" t="s">
        <v>62</v>
      </c>
      <c r="G1166" s="5" t="s">
        <v>67</v>
      </c>
      <c r="H1166" s="38">
        <v>31111.24</v>
      </c>
      <c r="I1166" s="14">
        <v>0.2</v>
      </c>
      <c r="J1166" s="38">
        <v>24888.991999999998</v>
      </c>
      <c r="K1166" s="5">
        <v>5</v>
      </c>
      <c r="L1166" s="62">
        <f>Table1[[#This Row],[Final_Unit_Price]]*Table1[[#This Row],[Quantity]]</f>
        <v>124444.95999999999</v>
      </c>
      <c r="M1166" s="60">
        <v>31111.24</v>
      </c>
      <c r="N1166" s="43">
        <v>45766</v>
      </c>
      <c r="O1166" s="18" t="str">
        <f>TEXT(Table1[[#This Row],[Order_Date]],"mmm")</f>
        <v>Apr</v>
      </c>
      <c r="P1166" s="18">
        <f t="shared" si="36"/>
        <v>2025</v>
      </c>
      <c r="Q1166" s="45">
        <v>45771</v>
      </c>
      <c r="R1166" s="19">
        <f>'Cleaned Data'!$Q1166-'Cleaned Data'!$N1166</f>
        <v>5</v>
      </c>
      <c r="S1166" s="19" t="str">
        <f t="shared" si="37"/>
        <v>Summer</v>
      </c>
    </row>
    <row r="1167" spans="1:19" x14ac:dyDescent="0.3">
      <c r="A1167" s="11" t="s">
        <v>1344</v>
      </c>
      <c r="B1167" s="11" t="s">
        <v>26</v>
      </c>
      <c r="C1167" s="3" t="s">
        <v>32</v>
      </c>
      <c r="D1167" s="3" t="s">
        <v>43</v>
      </c>
      <c r="E1167" s="3" t="s">
        <v>58</v>
      </c>
      <c r="F1167" s="3" t="s">
        <v>61</v>
      </c>
      <c r="G1167" s="3" t="s">
        <v>71</v>
      </c>
      <c r="H1167" s="37">
        <v>35070.92</v>
      </c>
      <c r="I1167" s="12">
        <v>0.1</v>
      </c>
      <c r="J1167" s="37">
        <v>31563.828000000001</v>
      </c>
      <c r="K1167" s="3">
        <v>3</v>
      </c>
      <c r="L1167" s="61">
        <f>Table1[[#This Row],[Final_Unit_Price]]*Table1[[#This Row],[Quantity]]</f>
        <v>94691.483999999997</v>
      </c>
      <c r="M1167" s="59">
        <v>23672.87</v>
      </c>
      <c r="N1167" s="42">
        <v>45800</v>
      </c>
      <c r="O1167" s="20" t="str">
        <f>TEXT(Table1[[#This Row],[Order_Date]],"mmm")</f>
        <v>May</v>
      </c>
      <c r="P1167" s="20">
        <f t="shared" si="36"/>
        <v>2025</v>
      </c>
      <c r="Q1167" s="46">
        <v>45809</v>
      </c>
      <c r="R1167" s="20">
        <f>'Cleaned Data'!$Q1167-'Cleaned Data'!$N1167</f>
        <v>9</v>
      </c>
      <c r="S1167" s="19" t="str">
        <f t="shared" si="37"/>
        <v>Summer</v>
      </c>
    </row>
    <row r="1168" spans="1:19" x14ac:dyDescent="0.3">
      <c r="A1168" s="13" t="s">
        <v>1345</v>
      </c>
      <c r="B1168" s="13" t="s">
        <v>29</v>
      </c>
      <c r="C1168" s="5" t="s">
        <v>35</v>
      </c>
      <c r="D1168" s="5" t="s">
        <v>48</v>
      </c>
      <c r="E1168" s="5" t="s">
        <v>58</v>
      </c>
      <c r="F1168" s="5" t="s">
        <v>61</v>
      </c>
      <c r="G1168" s="5" t="s">
        <v>71</v>
      </c>
      <c r="H1168" s="38">
        <v>17367.490000000002</v>
      </c>
      <c r="I1168" s="14">
        <v>0</v>
      </c>
      <c r="J1168" s="38">
        <v>17367.490000000002</v>
      </c>
      <c r="K1168" s="5">
        <v>3</v>
      </c>
      <c r="L1168" s="62">
        <f>Table1[[#This Row],[Final_Unit_Price]]*Table1[[#This Row],[Quantity]]</f>
        <v>52102.47</v>
      </c>
      <c r="M1168" s="60">
        <v>13025.62</v>
      </c>
      <c r="N1168" s="43">
        <v>45670</v>
      </c>
      <c r="O1168" s="18" t="str">
        <f>TEXT(Table1[[#This Row],[Order_Date]],"mmm")</f>
        <v>Jan</v>
      </c>
      <c r="P1168" s="18">
        <f t="shared" si="36"/>
        <v>2025</v>
      </c>
      <c r="Q1168" s="45">
        <v>45678</v>
      </c>
      <c r="R1168" s="19">
        <f>'Cleaned Data'!$Q1168-'Cleaned Data'!$N1168</f>
        <v>8</v>
      </c>
      <c r="S1168" s="19" t="str">
        <f t="shared" si="37"/>
        <v>Winter</v>
      </c>
    </row>
    <row r="1169" spans="1:19" x14ac:dyDescent="0.3">
      <c r="A1169" s="11" t="s">
        <v>1346</v>
      </c>
      <c r="B1169" s="11" t="s">
        <v>30</v>
      </c>
      <c r="C1169" s="3" t="s">
        <v>33</v>
      </c>
      <c r="D1169" s="3" t="s">
        <v>50</v>
      </c>
      <c r="E1169" s="3" t="s">
        <v>59</v>
      </c>
      <c r="F1169" s="3" t="s">
        <v>63</v>
      </c>
      <c r="G1169" s="3" t="s">
        <v>73</v>
      </c>
      <c r="H1169" s="37">
        <v>16586.05</v>
      </c>
      <c r="I1169" s="12">
        <v>0.2</v>
      </c>
      <c r="J1169" s="37">
        <v>13268.84</v>
      </c>
      <c r="K1169" s="3">
        <v>1</v>
      </c>
      <c r="L1169" s="61">
        <f>Table1[[#This Row],[Final_Unit_Price]]*Table1[[#This Row],[Quantity]]</f>
        <v>13268.84</v>
      </c>
      <c r="M1169" s="59">
        <v>4644.09</v>
      </c>
      <c r="N1169" s="42">
        <v>45675</v>
      </c>
      <c r="O1169" s="20" t="str">
        <f>TEXT(Table1[[#This Row],[Order_Date]],"mmm")</f>
        <v>Jan</v>
      </c>
      <c r="P1169" s="20">
        <f t="shared" si="36"/>
        <v>2025</v>
      </c>
      <c r="Q1169" s="46">
        <v>45684</v>
      </c>
      <c r="R1169" s="20">
        <f>'Cleaned Data'!$Q1169-'Cleaned Data'!$N1169</f>
        <v>9</v>
      </c>
      <c r="S1169" s="19" t="str">
        <f t="shared" si="37"/>
        <v>Winter</v>
      </c>
    </row>
    <row r="1170" spans="1:19" x14ac:dyDescent="0.3">
      <c r="A1170" s="13" t="s">
        <v>1347</v>
      </c>
      <c r="B1170" s="13" t="s">
        <v>28</v>
      </c>
      <c r="C1170" s="5" t="s">
        <v>34</v>
      </c>
      <c r="D1170" s="5" t="s">
        <v>41</v>
      </c>
      <c r="E1170" s="5" t="s">
        <v>60</v>
      </c>
      <c r="F1170" s="5" t="s">
        <v>64</v>
      </c>
      <c r="G1170" s="5" t="s">
        <v>76</v>
      </c>
      <c r="H1170" s="38">
        <v>1311.11</v>
      </c>
      <c r="I1170" s="14">
        <v>0.25</v>
      </c>
      <c r="J1170" s="38">
        <v>983.33249999999998</v>
      </c>
      <c r="K1170" s="5">
        <v>3</v>
      </c>
      <c r="L1170" s="62">
        <f>Table1[[#This Row],[Final_Unit_Price]]*Table1[[#This Row],[Quantity]]</f>
        <v>2949.9974999999999</v>
      </c>
      <c r="M1170" s="60">
        <v>442.5</v>
      </c>
      <c r="N1170" s="43">
        <v>45649</v>
      </c>
      <c r="O1170" s="18" t="str">
        <f>TEXT(Table1[[#This Row],[Order_Date]],"mmm")</f>
        <v>Dec</v>
      </c>
      <c r="P1170" s="18">
        <f t="shared" si="36"/>
        <v>2024</v>
      </c>
      <c r="Q1170" s="45">
        <v>45653</v>
      </c>
      <c r="R1170" s="19">
        <f>'Cleaned Data'!$Q1170-'Cleaned Data'!$N1170</f>
        <v>4</v>
      </c>
      <c r="S1170" s="19" t="str">
        <f t="shared" si="37"/>
        <v>Winter</v>
      </c>
    </row>
    <row r="1171" spans="1:19" x14ac:dyDescent="0.3">
      <c r="A1171" s="11" t="s">
        <v>1348</v>
      </c>
      <c r="B1171" s="11" t="s">
        <v>18</v>
      </c>
      <c r="C1171" s="3" t="s">
        <v>33</v>
      </c>
      <c r="D1171" s="3" t="s">
        <v>57</v>
      </c>
      <c r="E1171" s="3" t="s">
        <v>60</v>
      </c>
      <c r="F1171" s="3" t="s">
        <v>64</v>
      </c>
      <c r="G1171" s="3" t="s">
        <v>72</v>
      </c>
      <c r="H1171" s="37">
        <v>45141.04</v>
      </c>
      <c r="I1171" s="12">
        <v>0.15</v>
      </c>
      <c r="J1171" s="37">
        <v>38369.883999999998</v>
      </c>
      <c r="K1171" s="3">
        <v>3</v>
      </c>
      <c r="L1171" s="61">
        <f>Table1[[#This Row],[Final_Unit_Price]]*Table1[[#This Row],[Quantity]]</f>
        <v>115109.652</v>
      </c>
      <c r="M1171" s="59">
        <v>17266.45</v>
      </c>
      <c r="N1171" s="42">
        <v>45739</v>
      </c>
      <c r="O1171" s="20" t="str">
        <f>TEXT(Table1[[#This Row],[Order_Date]],"mmm")</f>
        <v>Mar</v>
      </c>
      <c r="P1171" s="20">
        <f t="shared" si="36"/>
        <v>2025</v>
      </c>
      <c r="Q1171" s="46">
        <v>45744</v>
      </c>
      <c r="R1171" s="20">
        <f>'Cleaned Data'!$Q1171-'Cleaned Data'!$N1171</f>
        <v>5</v>
      </c>
      <c r="S1171" s="19" t="str">
        <f t="shared" si="37"/>
        <v>Summer</v>
      </c>
    </row>
    <row r="1172" spans="1:19" x14ac:dyDescent="0.3">
      <c r="A1172" s="13" t="s">
        <v>1349</v>
      </c>
      <c r="B1172" s="13" t="s">
        <v>20</v>
      </c>
      <c r="C1172" s="5" t="s">
        <v>32</v>
      </c>
      <c r="D1172" s="5" t="s">
        <v>43</v>
      </c>
      <c r="E1172" s="5" t="s">
        <v>58</v>
      </c>
      <c r="F1172" s="5" t="s">
        <v>62</v>
      </c>
      <c r="G1172" s="5" t="s">
        <v>66</v>
      </c>
      <c r="H1172" s="38">
        <v>32655.95</v>
      </c>
      <c r="I1172" s="14">
        <v>0.05</v>
      </c>
      <c r="J1172" s="38">
        <v>31023.1525</v>
      </c>
      <c r="K1172" s="5">
        <v>4</v>
      </c>
      <c r="L1172" s="62">
        <f>Table1[[#This Row],[Final_Unit_Price]]*Table1[[#This Row],[Quantity]]</f>
        <v>124092.61</v>
      </c>
      <c r="M1172" s="60">
        <v>31023.15</v>
      </c>
      <c r="N1172" s="43">
        <v>45767</v>
      </c>
      <c r="O1172" s="18" t="str">
        <f>TEXT(Table1[[#This Row],[Order_Date]],"mmm")</f>
        <v>Apr</v>
      </c>
      <c r="P1172" s="18">
        <f t="shared" si="36"/>
        <v>2025</v>
      </c>
      <c r="Q1172" s="45">
        <v>45769</v>
      </c>
      <c r="R1172" s="19">
        <f>'Cleaned Data'!$Q1172-'Cleaned Data'!$N1172</f>
        <v>2</v>
      </c>
      <c r="S1172" s="19" t="str">
        <f t="shared" si="37"/>
        <v>Summer</v>
      </c>
    </row>
    <row r="1173" spans="1:19" x14ac:dyDescent="0.3">
      <c r="A1173" s="11" t="s">
        <v>1350</v>
      </c>
      <c r="B1173" s="11" t="s">
        <v>29</v>
      </c>
      <c r="C1173" s="3" t="s">
        <v>35</v>
      </c>
      <c r="D1173" s="3" t="s">
        <v>38</v>
      </c>
      <c r="E1173" s="3" t="s">
        <v>59</v>
      </c>
      <c r="F1173" s="3" t="s">
        <v>62</v>
      </c>
      <c r="G1173" s="3" t="s">
        <v>66</v>
      </c>
      <c r="H1173" s="37">
        <v>23515.77</v>
      </c>
      <c r="I1173" s="12">
        <v>0.05</v>
      </c>
      <c r="J1173" s="37">
        <v>22339.981500000002</v>
      </c>
      <c r="K1173" s="3">
        <v>4</v>
      </c>
      <c r="L1173" s="61">
        <f>Table1[[#This Row],[Final_Unit_Price]]*Table1[[#This Row],[Quantity]]</f>
        <v>89359.926000000007</v>
      </c>
      <c r="M1173" s="59">
        <v>31275.98</v>
      </c>
      <c r="N1173" s="42">
        <v>45642</v>
      </c>
      <c r="O1173" s="20" t="str">
        <f>TEXT(Table1[[#This Row],[Order_Date]],"mmm")</f>
        <v>Dec</v>
      </c>
      <c r="P1173" s="20">
        <f t="shared" si="36"/>
        <v>2024</v>
      </c>
      <c r="Q1173" s="46">
        <v>45651</v>
      </c>
      <c r="R1173" s="20">
        <f>'Cleaned Data'!$Q1173-'Cleaned Data'!$N1173</f>
        <v>9</v>
      </c>
      <c r="S1173" s="19" t="str">
        <f t="shared" si="37"/>
        <v>Winter</v>
      </c>
    </row>
    <row r="1174" spans="1:19" x14ac:dyDescent="0.3">
      <c r="A1174" s="13" t="s">
        <v>1351</v>
      </c>
      <c r="B1174" s="13" t="s">
        <v>25</v>
      </c>
      <c r="C1174" s="5" t="s">
        <v>34</v>
      </c>
      <c r="D1174" s="5" t="s">
        <v>51</v>
      </c>
      <c r="E1174" s="5" t="s">
        <v>59</v>
      </c>
      <c r="F1174" s="5" t="s">
        <v>61</v>
      </c>
      <c r="G1174" s="5" t="s">
        <v>65</v>
      </c>
      <c r="H1174" s="38">
        <v>896.74</v>
      </c>
      <c r="I1174" s="14">
        <v>0.3</v>
      </c>
      <c r="J1174" s="38">
        <v>627.71799999999996</v>
      </c>
      <c r="K1174" s="5">
        <v>4</v>
      </c>
      <c r="L1174" s="62">
        <f>Table1[[#This Row],[Final_Unit_Price]]*Table1[[#This Row],[Quantity]]</f>
        <v>2510.8719999999998</v>
      </c>
      <c r="M1174" s="60">
        <v>878.8</v>
      </c>
      <c r="N1174" s="43">
        <v>45323</v>
      </c>
      <c r="O1174" s="18" t="str">
        <f>TEXT(Table1[[#This Row],[Order_Date]],"mmm")</f>
        <v>Feb</v>
      </c>
      <c r="P1174" s="18">
        <f t="shared" si="36"/>
        <v>2024</v>
      </c>
      <c r="Q1174" s="45">
        <v>45326</v>
      </c>
      <c r="R1174" s="19">
        <f>'Cleaned Data'!$Q1174-'Cleaned Data'!$N1174</f>
        <v>3</v>
      </c>
      <c r="S1174" s="19" t="str">
        <f t="shared" si="37"/>
        <v>Summer</v>
      </c>
    </row>
    <row r="1175" spans="1:19" x14ac:dyDescent="0.3">
      <c r="A1175" s="11" t="s">
        <v>1352</v>
      </c>
      <c r="B1175" s="11" t="s">
        <v>27</v>
      </c>
      <c r="C1175" s="3" t="s">
        <v>35</v>
      </c>
      <c r="D1175" s="3" t="s">
        <v>44</v>
      </c>
      <c r="E1175" s="3" t="s">
        <v>60</v>
      </c>
      <c r="F1175" s="3" t="s">
        <v>62</v>
      </c>
      <c r="G1175" s="3" t="s">
        <v>67</v>
      </c>
      <c r="H1175" s="37">
        <v>7318.79</v>
      </c>
      <c r="I1175" s="12">
        <v>0.3</v>
      </c>
      <c r="J1175" s="37">
        <v>5123.1529999999993</v>
      </c>
      <c r="K1175" s="3">
        <v>3</v>
      </c>
      <c r="L1175" s="61">
        <f>Table1[[#This Row],[Final_Unit_Price]]*Table1[[#This Row],[Quantity]]</f>
        <v>15369.458999999999</v>
      </c>
      <c r="M1175" s="59">
        <v>2305.42</v>
      </c>
      <c r="N1175" s="42">
        <v>45740</v>
      </c>
      <c r="O1175" s="20" t="str">
        <f>TEXT(Table1[[#This Row],[Order_Date]],"mmm")</f>
        <v>Mar</v>
      </c>
      <c r="P1175" s="20">
        <f t="shared" si="36"/>
        <v>2025</v>
      </c>
      <c r="Q1175" s="46">
        <v>45742</v>
      </c>
      <c r="R1175" s="20">
        <f>'Cleaned Data'!$Q1175-'Cleaned Data'!$N1175</f>
        <v>2</v>
      </c>
      <c r="S1175" s="19" t="str">
        <f t="shared" si="37"/>
        <v>Summer</v>
      </c>
    </row>
    <row r="1176" spans="1:19" x14ac:dyDescent="0.3">
      <c r="A1176" s="13" t="s">
        <v>1353</v>
      </c>
      <c r="B1176" s="13" t="s">
        <v>27</v>
      </c>
      <c r="C1176" s="5" t="s">
        <v>35</v>
      </c>
      <c r="D1176" s="5" t="s">
        <v>46</v>
      </c>
      <c r="E1176" s="5" t="s">
        <v>59</v>
      </c>
      <c r="F1176" s="5" t="s">
        <v>61</v>
      </c>
      <c r="G1176" s="5" t="s">
        <v>70</v>
      </c>
      <c r="H1176" s="38">
        <v>9829.91</v>
      </c>
      <c r="I1176" s="14">
        <v>0.05</v>
      </c>
      <c r="J1176" s="38">
        <v>9338.414499999999</v>
      </c>
      <c r="K1176" s="5">
        <v>3</v>
      </c>
      <c r="L1176" s="62">
        <f>Table1[[#This Row],[Final_Unit_Price]]*Table1[[#This Row],[Quantity]]</f>
        <v>28015.243499999997</v>
      </c>
      <c r="M1176" s="60">
        <v>9805.33</v>
      </c>
      <c r="N1176" s="43">
        <v>45782</v>
      </c>
      <c r="O1176" s="18" t="str">
        <f>TEXT(Table1[[#This Row],[Order_Date]],"mmm")</f>
        <v>May</v>
      </c>
      <c r="P1176" s="18">
        <f t="shared" si="36"/>
        <v>2025</v>
      </c>
      <c r="Q1176" s="45">
        <v>45785</v>
      </c>
      <c r="R1176" s="19">
        <f>'Cleaned Data'!$Q1176-'Cleaned Data'!$N1176</f>
        <v>3</v>
      </c>
      <c r="S1176" s="19" t="str">
        <f t="shared" si="37"/>
        <v>Summer</v>
      </c>
    </row>
    <row r="1177" spans="1:19" x14ac:dyDescent="0.3">
      <c r="A1177" s="11" t="s">
        <v>1354</v>
      </c>
      <c r="B1177" s="11" t="s">
        <v>18</v>
      </c>
      <c r="C1177" s="3" t="s">
        <v>33</v>
      </c>
      <c r="D1177" s="3" t="s">
        <v>57</v>
      </c>
      <c r="E1177" s="3" t="s">
        <v>60</v>
      </c>
      <c r="F1177" s="3" t="s">
        <v>64</v>
      </c>
      <c r="G1177" s="3" t="s">
        <v>76</v>
      </c>
      <c r="H1177" s="37">
        <v>45841.86</v>
      </c>
      <c r="I1177" s="12">
        <v>0.05</v>
      </c>
      <c r="J1177" s="37">
        <v>43549.767</v>
      </c>
      <c r="K1177" s="3">
        <v>2</v>
      </c>
      <c r="L1177" s="61">
        <f>Table1[[#This Row],[Final_Unit_Price]]*Table1[[#This Row],[Quantity]]</f>
        <v>87099.534</v>
      </c>
      <c r="M1177" s="59">
        <v>13064.93</v>
      </c>
      <c r="N1177" s="42">
        <v>45372</v>
      </c>
      <c r="O1177" s="20" t="str">
        <f>TEXT(Table1[[#This Row],[Order_Date]],"mmm")</f>
        <v>Mar</v>
      </c>
      <c r="P1177" s="20">
        <f t="shared" si="36"/>
        <v>2024</v>
      </c>
      <c r="Q1177" s="46">
        <v>45376</v>
      </c>
      <c r="R1177" s="20">
        <f>'Cleaned Data'!$Q1177-'Cleaned Data'!$N1177</f>
        <v>4</v>
      </c>
      <c r="S1177" s="19" t="str">
        <f t="shared" si="37"/>
        <v>Summer</v>
      </c>
    </row>
    <row r="1178" spans="1:19" x14ac:dyDescent="0.3">
      <c r="A1178" s="13" t="s">
        <v>1355</v>
      </c>
      <c r="B1178" s="13" t="s">
        <v>17</v>
      </c>
      <c r="C1178" s="5" t="s">
        <v>32</v>
      </c>
      <c r="D1178" s="5" t="s">
        <v>40</v>
      </c>
      <c r="E1178" s="5" t="s">
        <v>59</v>
      </c>
      <c r="F1178" s="5" t="s">
        <v>64</v>
      </c>
      <c r="G1178" s="5" t="s">
        <v>74</v>
      </c>
      <c r="H1178" s="38">
        <v>10735.75</v>
      </c>
      <c r="I1178" s="14">
        <v>0</v>
      </c>
      <c r="J1178" s="38">
        <v>10735.75</v>
      </c>
      <c r="K1178" s="5">
        <v>2</v>
      </c>
      <c r="L1178" s="62">
        <f>Table1[[#This Row],[Final_Unit_Price]]*Table1[[#This Row],[Quantity]]</f>
        <v>21471.5</v>
      </c>
      <c r="M1178" s="60">
        <v>7515.02</v>
      </c>
      <c r="N1178" s="43">
        <v>45429</v>
      </c>
      <c r="O1178" s="18" t="str">
        <f>TEXT(Table1[[#This Row],[Order_Date]],"mmm")</f>
        <v>May</v>
      </c>
      <c r="P1178" s="18">
        <f t="shared" si="36"/>
        <v>2024</v>
      </c>
      <c r="Q1178" s="45">
        <v>45436</v>
      </c>
      <c r="R1178" s="19">
        <f>'Cleaned Data'!$Q1178-'Cleaned Data'!$N1178</f>
        <v>7</v>
      </c>
      <c r="S1178" s="19" t="str">
        <f t="shared" si="37"/>
        <v>Summer</v>
      </c>
    </row>
    <row r="1179" spans="1:19" x14ac:dyDescent="0.3">
      <c r="A1179" s="11" t="s">
        <v>1356</v>
      </c>
      <c r="B1179" s="11" t="s">
        <v>21</v>
      </c>
      <c r="C1179" s="3" t="s">
        <v>34</v>
      </c>
      <c r="D1179" s="3" t="s">
        <v>45</v>
      </c>
      <c r="E1179" s="3" t="s">
        <v>59</v>
      </c>
      <c r="F1179" s="3" t="s">
        <v>64</v>
      </c>
      <c r="G1179" s="3" t="s">
        <v>74</v>
      </c>
      <c r="H1179" s="37">
        <v>3708.02</v>
      </c>
      <c r="I1179" s="12">
        <v>0</v>
      </c>
      <c r="J1179" s="37">
        <v>3708.02</v>
      </c>
      <c r="K1179" s="3">
        <v>3</v>
      </c>
      <c r="L1179" s="61">
        <f>Table1[[#This Row],[Final_Unit_Price]]*Table1[[#This Row],[Quantity]]</f>
        <v>11124.06</v>
      </c>
      <c r="M1179" s="59">
        <v>3893.42</v>
      </c>
      <c r="N1179" s="42">
        <v>45833</v>
      </c>
      <c r="O1179" s="20" t="str">
        <f>TEXT(Table1[[#This Row],[Order_Date]],"mmm")</f>
        <v>Jun</v>
      </c>
      <c r="P1179" s="20">
        <f t="shared" si="36"/>
        <v>2025</v>
      </c>
      <c r="Q1179" s="46">
        <v>45841</v>
      </c>
      <c r="R1179" s="20">
        <f>'Cleaned Data'!$Q1179-'Cleaned Data'!$N1179</f>
        <v>8</v>
      </c>
      <c r="S1179" s="19" t="str">
        <f t="shared" si="37"/>
        <v>Monsoon</v>
      </c>
    </row>
    <row r="1180" spans="1:19" x14ac:dyDescent="0.3">
      <c r="A1180" s="13" t="s">
        <v>1357</v>
      </c>
      <c r="B1180" s="13" t="s">
        <v>24</v>
      </c>
      <c r="C1180" s="5" t="s">
        <v>32</v>
      </c>
      <c r="D1180" s="5" t="s">
        <v>40</v>
      </c>
      <c r="E1180" s="5" t="s">
        <v>59</v>
      </c>
      <c r="F1180" s="5" t="s">
        <v>63</v>
      </c>
      <c r="G1180" s="5" t="s">
        <v>68</v>
      </c>
      <c r="H1180" s="38">
        <v>28487.33</v>
      </c>
      <c r="I1180" s="14">
        <v>0.2</v>
      </c>
      <c r="J1180" s="38">
        <v>22789.864000000001</v>
      </c>
      <c r="K1180" s="5">
        <v>4</v>
      </c>
      <c r="L1180" s="62">
        <f>Table1[[#This Row],[Final_Unit_Price]]*Table1[[#This Row],[Quantity]]</f>
        <v>91159.456000000006</v>
      </c>
      <c r="M1180" s="60">
        <v>31905.81</v>
      </c>
      <c r="N1180" s="43">
        <v>45772</v>
      </c>
      <c r="O1180" s="18" t="str">
        <f>TEXT(Table1[[#This Row],[Order_Date]],"mmm")</f>
        <v>Apr</v>
      </c>
      <c r="P1180" s="18">
        <f t="shared" si="36"/>
        <v>2025</v>
      </c>
      <c r="Q1180" s="45">
        <v>45782</v>
      </c>
      <c r="R1180" s="19">
        <f>'Cleaned Data'!$Q1180-'Cleaned Data'!$N1180</f>
        <v>10</v>
      </c>
      <c r="S1180" s="19" t="str">
        <f t="shared" si="37"/>
        <v>Summer</v>
      </c>
    </row>
    <row r="1181" spans="1:19" x14ac:dyDescent="0.3">
      <c r="A1181" s="11" t="s">
        <v>1358</v>
      </c>
      <c r="B1181" s="11" t="s">
        <v>28</v>
      </c>
      <c r="C1181" s="3" t="s">
        <v>34</v>
      </c>
      <c r="D1181" s="3" t="s">
        <v>45</v>
      </c>
      <c r="E1181" s="3" t="s">
        <v>59</v>
      </c>
      <c r="F1181" s="3" t="s">
        <v>64</v>
      </c>
      <c r="G1181" s="3" t="s">
        <v>74</v>
      </c>
      <c r="H1181" s="37">
        <v>2008.06</v>
      </c>
      <c r="I1181" s="12">
        <v>0.1</v>
      </c>
      <c r="J1181" s="37">
        <v>1807.2539999999999</v>
      </c>
      <c r="K1181" s="3">
        <v>2</v>
      </c>
      <c r="L1181" s="61">
        <f>Table1[[#This Row],[Final_Unit_Price]]*Table1[[#This Row],[Quantity]]</f>
        <v>3614.5079999999998</v>
      </c>
      <c r="M1181" s="59">
        <v>1265.08</v>
      </c>
      <c r="N1181" s="42">
        <v>45351</v>
      </c>
      <c r="O1181" s="20" t="str">
        <f>TEXT(Table1[[#This Row],[Order_Date]],"mmm")</f>
        <v>Feb</v>
      </c>
      <c r="P1181" s="20">
        <f t="shared" si="36"/>
        <v>2024</v>
      </c>
      <c r="Q1181" s="46">
        <v>45361</v>
      </c>
      <c r="R1181" s="20">
        <f>'Cleaned Data'!$Q1181-'Cleaned Data'!$N1181</f>
        <v>10</v>
      </c>
      <c r="S1181" s="19" t="str">
        <f t="shared" si="37"/>
        <v>Summer</v>
      </c>
    </row>
    <row r="1182" spans="1:19" x14ac:dyDescent="0.3">
      <c r="A1182" s="13" t="s">
        <v>1359</v>
      </c>
      <c r="B1182" s="13" t="s">
        <v>19</v>
      </c>
      <c r="C1182" s="5" t="s">
        <v>33</v>
      </c>
      <c r="D1182" s="5" t="s">
        <v>56</v>
      </c>
      <c r="E1182" s="5" t="s">
        <v>60</v>
      </c>
      <c r="F1182" s="5" t="s">
        <v>62</v>
      </c>
      <c r="G1182" s="5" t="s">
        <v>67</v>
      </c>
      <c r="H1182" s="38">
        <v>1730.57</v>
      </c>
      <c r="I1182" s="14">
        <v>0.05</v>
      </c>
      <c r="J1182" s="38">
        <v>1644.0415</v>
      </c>
      <c r="K1182" s="5">
        <v>3</v>
      </c>
      <c r="L1182" s="62">
        <f>Table1[[#This Row],[Final_Unit_Price]]*Table1[[#This Row],[Quantity]]</f>
        <v>4932.1244999999999</v>
      </c>
      <c r="M1182" s="60">
        <v>739.82</v>
      </c>
      <c r="N1182" s="43">
        <v>45415</v>
      </c>
      <c r="O1182" s="18" t="str">
        <f>TEXT(Table1[[#This Row],[Order_Date]],"mmm")</f>
        <v>May</v>
      </c>
      <c r="P1182" s="18">
        <f t="shared" si="36"/>
        <v>2024</v>
      </c>
      <c r="Q1182" s="45">
        <v>45425</v>
      </c>
      <c r="R1182" s="19">
        <f>'Cleaned Data'!$Q1182-'Cleaned Data'!$N1182</f>
        <v>10</v>
      </c>
      <c r="S1182" s="19" t="str">
        <f t="shared" si="37"/>
        <v>Summer</v>
      </c>
    </row>
    <row r="1183" spans="1:19" x14ac:dyDescent="0.3">
      <c r="A1183" s="11" t="s">
        <v>1360</v>
      </c>
      <c r="B1183" s="11" t="s">
        <v>22</v>
      </c>
      <c r="C1183" s="3" t="s">
        <v>31</v>
      </c>
      <c r="D1183" s="3" t="s">
        <v>36</v>
      </c>
      <c r="E1183" s="3" t="s">
        <v>58</v>
      </c>
      <c r="F1183" s="3" t="s">
        <v>61</v>
      </c>
      <c r="G1183" s="3" t="s">
        <v>65</v>
      </c>
      <c r="H1183" s="37">
        <v>3402.44</v>
      </c>
      <c r="I1183" s="12">
        <v>0.3</v>
      </c>
      <c r="J1183" s="37">
        <v>2381.7080000000001</v>
      </c>
      <c r="K1183" s="3">
        <v>3</v>
      </c>
      <c r="L1183" s="61">
        <f>Table1[[#This Row],[Final_Unit_Price]]*Table1[[#This Row],[Quantity]]</f>
        <v>7145.1239999999998</v>
      </c>
      <c r="M1183" s="59">
        <v>1786.28</v>
      </c>
      <c r="N1183" s="42">
        <v>45574</v>
      </c>
      <c r="O1183" s="20" t="str">
        <f>TEXT(Table1[[#This Row],[Order_Date]],"mmm")</f>
        <v>Oct</v>
      </c>
      <c r="P1183" s="20">
        <f t="shared" si="36"/>
        <v>2024</v>
      </c>
      <c r="Q1183" s="46">
        <v>45583</v>
      </c>
      <c r="R1183" s="20">
        <f>'Cleaned Data'!$Q1183-'Cleaned Data'!$N1183</f>
        <v>9</v>
      </c>
      <c r="S1183" s="19" t="str">
        <f t="shared" si="37"/>
        <v>Winter</v>
      </c>
    </row>
    <row r="1184" spans="1:19" x14ac:dyDescent="0.3">
      <c r="A1184" s="13" t="s">
        <v>1361</v>
      </c>
      <c r="B1184" s="13" t="s">
        <v>30</v>
      </c>
      <c r="C1184" s="5" t="s">
        <v>33</v>
      </c>
      <c r="D1184" s="5" t="s">
        <v>39</v>
      </c>
      <c r="E1184" s="5" t="s">
        <v>58</v>
      </c>
      <c r="F1184" s="5" t="s">
        <v>61</v>
      </c>
      <c r="G1184" s="5" t="s">
        <v>70</v>
      </c>
      <c r="H1184" s="38">
        <v>14314.31</v>
      </c>
      <c r="I1184" s="14">
        <v>0.15</v>
      </c>
      <c r="J1184" s="38">
        <v>12167.163500000001</v>
      </c>
      <c r="K1184" s="5">
        <v>3</v>
      </c>
      <c r="L1184" s="62">
        <f>Table1[[#This Row],[Final_Unit_Price]]*Table1[[#This Row],[Quantity]]</f>
        <v>36501.4905</v>
      </c>
      <c r="M1184" s="60">
        <v>9125.3700000000008</v>
      </c>
      <c r="N1184" s="43">
        <v>45406</v>
      </c>
      <c r="O1184" s="18" t="str">
        <f>TEXT(Table1[[#This Row],[Order_Date]],"mmm")</f>
        <v>Apr</v>
      </c>
      <c r="P1184" s="18">
        <f t="shared" si="36"/>
        <v>2024</v>
      </c>
      <c r="Q1184" s="45">
        <v>45414</v>
      </c>
      <c r="R1184" s="19">
        <f>'Cleaned Data'!$Q1184-'Cleaned Data'!$N1184</f>
        <v>8</v>
      </c>
      <c r="S1184" s="19" t="str">
        <f t="shared" si="37"/>
        <v>Summer</v>
      </c>
    </row>
    <row r="1185" spans="1:19" x14ac:dyDescent="0.3">
      <c r="A1185" s="11" t="s">
        <v>1362</v>
      </c>
      <c r="B1185" s="11" t="s">
        <v>26</v>
      </c>
      <c r="C1185" s="3" t="s">
        <v>32</v>
      </c>
      <c r="D1185" s="3" t="s">
        <v>54</v>
      </c>
      <c r="E1185" s="3" t="s">
        <v>60</v>
      </c>
      <c r="F1185" s="3" t="s">
        <v>64</v>
      </c>
      <c r="G1185" s="3" t="s">
        <v>74</v>
      </c>
      <c r="H1185" s="37">
        <v>31034.75</v>
      </c>
      <c r="I1185" s="12">
        <v>0.3</v>
      </c>
      <c r="J1185" s="37">
        <v>21724.325000000001</v>
      </c>
      <c r="K1185" s="3">
        <v>1</v>
      </c>
      <c r="L1185" s="61">
        <f>Table1[[#This Row],[Final_Unit_Price]]*Table1[[#This Row],[Quantity]]</f>
        <v>21724.325000000001</v>
      </c>
      <c r="M1185" s="59">
        <v>3258.65</v>
      </c>
      <c r="N1185" s="42">
        <v>45354</v>
      </c>
      <c r="O1185" s="20" t="str">
        <f>TEXT(Table1[[#This Row],[Order_Date]],"mmm")</f>
        <v>Mar</v>
      </c>
      <c r="P1185" s="20">
        <f t="shared" si="36"/>
        <v>2024</v>
      </c>
      <c r="Q1185" s="46">
        <v>45358</v>
      </c>
      <c r="R1185" s="20">
        <f>'Cleaned Data'!$Q1185-'Cleaned Data'!$N1185</f>
        <v>4</v>
      </c>
      <c r="S1185" s="19" t="str">
        <f t="shared" si="37"/>
        <v>Summer</v>
      </c>
    </row>
    <row r="1186" spans="1:19" x14ac:dyDescent="0.3">
      <c r="A1186" s="13" t="s">
        <v>1363</v>
      </c>
      <c r="B1186" s="13" t="s">
        <v>17</v>
      </c>
      <c r="C1186" s="5" t="s">
        <v>32</v>
      </c>
      <c r="D1186" s="5" t="s">
        <v>37</v>
      </c>
      <c r="E1186" s="5" t="s">
        <v>59</v>
      </c>
      <c r="F1186" s="5" t="s">
        <v>63</v>
      </c>
      <c r="G1186" s="5" t="s">
        <v>73</v>
      </c>
      <c r="H1186" s="38">
        <v>9512.07</v>
      </c>
      <c r="I1186" s="14">
        <v>0.15</v>
      </c>
      <c r="J1186" s="38">
        <v>8085.2594999999992</v>
      </c>
      <c r="K1186" s="5">
        <v>5</v>
      </c>
      <c r="L1186" s="62">
        <f>Table1[[#This Row],[Final_Unit_Price]]*Table1[[#This Row],[Quantity]]</f>
        <v>40426.297499999993</v>
      </c>
      <c r="M1186" s="60">
        <v>14149.2</v>
      </c>
      <c r="N1186" s="43">
        <v>45545</v>
      </c>
      <c r="O1186" s="18" t="str">
        <f>TEXT(Table1[[#This Row],[Order_Date]],"mmm")</f>
        <v>Sep</v>
      </c>
      <c r="P1186" s="18">
        <f t="shared" si="36"/>
        <v>2024</v>
      </c>
      <c r="Q1186" s="45">
        <v>45547</v>
      </c>
      <c r="R1186" s="19">
        <f>'Cleaned Data'!$Q1186-'Cleaned Data'!$N1186</f>
        <v>2</v>
      </c>
      <c r="S1186" s="19" t="str">
        <f t="shared" si="37"/>
        <v>Monsoon</v>
      </c>
    </row>
    <row r="1187" spans="1:19" x14ac:dyDescent="0.3">
      <c r="A1187" s="11" t="s">
        <v>1364</v>
      </c>
      <c r="B1187" s="11" t="s">
        <v>18</v>
      </c>
      <c r="C1187" s="3" t="s">
        <v>33</v>
      </c>
      <c r="D1187" s="3" t="s">
        <v>38</v>
      </c>
      <c r="E1187" s="3" t="s">
        <v>59</v>
      </c>
      <c r="F1187" s="3" t="s">
        <v>61</v>
      </c>
      <c r="G1187" s="3" t="s">
        <v>70</v>
      </c>
      <c r="H1187" s="37">
        <v>60486.69</v>
      </c>
      <c r="I1187" s="12">
        <v>0.1</v>
      </c>
      <c r="J1187" s="37">
        <v>54438.021000000001</v>
      </c>
      <c r="K1187" s="3">
        <v>2</v>
      </c>
      <c r="L1187" s="61">
        <f>Table1[[#This Row],[Final_Unit_Price]]*Table1[[#This Row],[Quantity]]</f>
        <v>108876.042</v>
      </c>
      <c r="M1187" s="59">
        <v>38106.61</v>
      </c>
      <c r="N1187" s="42">
        <v>45454</v>
      </c>
      <c r="O1187" s="20" t="str">
        <f>TEXT(Table1[[#This Row],[Order_Date]],"mmm")</f>
        <v>Jun</v>
      </c>
      <c r="P1187" s="20">
        <f t="shared" si="36"/>
        <v>2024</v>
      </c>
      <c r="Q1187" s="46">
        <v>45458</v>
      </c>
      <c r="R1187" s="20">
        <f>'Cleaned Data'!$Q1187-'Cleaned Data'!$N1187</f>
        <v>4</v>
      </c>
      <c r="S1187" s="19" t="str">
        <f t="shared" si="37"/>
        <v>Monsoon</v>
      </c>
    </row>
    <row r="1188" spans="1:19" x14ac:dyDescent="0.3">
      <c r="A1188" s="13" t="s">
        <v>1365</v>
      </c>
      <c r="B1188" s="13" t="s">
        <v>18</v>
      </c>
      <c r="C1188" s="5" t="s">
        <v>33</v>
      </c>
      <c r="D1188" s="5" t="s">
        <v>50</v>
      </c>
      <c r="E1188" s="5" t="s">
        <v>59</v>
      </c>
      <c r="F1188" s="5" t="s">
        <v>63</v>
      </c>
      <c r="G1188" s="5" t="s">
        <v>73</v>
      </c>
      <c r="H1188" s="38">
        <v>58921.3</v>
      </c>
      <c r="I1188" s="14">
        <v>0.05</v>
      </c>
      <c r="J1188" s="38">
        <v>55975.235000000001</v>
      </c>
      <c r="K1188" s="5">
        <v>2</v>
      </c>
      <c r="L1188" s="62">
        <f>Table1[[#This Row],[Final_Unit_Price]]*Table1[[#This Row],[Quantity]]</f>
        <v>111950.47</v>
      </c>
      <c r="M1188" s="60">
        <v>39182.660000000003</v>
      </c>
      <c r="N1188" s="43">
        <v>45765</v>
      </c>
      <c r="O1188" s="18" t="str">
        <f>TEXT(Table1[[#This Row],[Order_Date]],"mmm")</f>
        <v>Apr</v>
      </c>
      <c r="P1188" s="18">
        <f t="shared" si="36"/>
        <v>2025</v>
      </c>
      <c r="Q1188" s="45">
        <v>45774</v>
      </c>
      <c r="R1188" s="19">
        <f>'Cleaned Data'!$Q1188-'Cleaned Data'!$N1188</f>
        <v>9</v>
      </c>
      <c r="S1188" s="19" t="str">
        <f t="shared" si="37"/>
        <v>Summer</v>
      </c>
    </row>
    <row r="1189" spans="1:19" x14ac:dyDescent="0.3">
      <c r="A1189" s="11" t="s">
        <v>1366</v>
      </c>
      <c r="B1189" s="11" t="s">
        <v>17</v>
      </c>
      <c r="C1189" s="3" t="s">
        <v>32</v>
      </c>
      <c r="D1189" s="3" t="s">
        <v>54</v>
      </c>
      <c r="E1189" s="3" t="s">
        <v>60</v>
      </c>
      <c r="F1189" s="3" t="s">
        <v>64</v>
      </c>
      <c r="G1189" s="3" t="s">
        <v>76</v>
      </c>
      <c r="H1189" s="37">
        <v>7048.09</v>
      </c>
      <c r="I1189" s="12">
        <v>0.2</v>
      </c>
      <c r="J1189" s="37">
        <v>5638.4720000000007</v>
      </c>
      <c r="K1189" s="3">
        <v>4</v>
      </c>
      <c r="L1189" s="61">
        <f>Table1[[#This Row],[Final_Unit_Price]]*Table1[[#This Row],[Quantity]]</f>
        <v>22553.888000000003</v>
      </c>
      <c r="M1189" s="59">
        <v>3383.08</v>
      </c>
      <c r="N1189" s="42">
        <v>45680</v>
      </c>
      <c r="O1189" s="20" t="str">
        <f>TEXT(Table1[[#This Row],[Order_Date]],"mmm")</f>
        <v>Jan</v>
      </c>
      <c r="P1189" s="20">
        <f t="shared" si="36"/>
        <v>2025</v>
      </c>
      <c r="Q1189" s="46">
        <v>45684</v>
      </c>
      <c r="R1189" s="20">
        <f>'Cleaned Data'!$Q1189-'Cleaned Data'!$N1189</f>
        <v>4</v>
      </c>
      <c r="S1189" s="19" t="str">
        <f t="shared" si="37"/>
        <v>Winter</v>
      </c>
    </row>
    <row r="1190" spans="1:19" x14ac:dyDescent="0.3">
      <c r="A1190" s="13" t="s">
        <v>1367</v>
      </c>
      <c r="B1190" s="13" t="s">
        <v>20</v>
      </c>
      <c r="C1190" s="5" t="s">
        <v>32</v>
      </c>
      <c r="D1190" s="5" t="s">
        <v>37</v>
      </c>
      <c r="E1190" s="5" t="s">
        <v>59</v>
      </c>
      <c r="F1190" s="5" t="s">
        <v>62</v>
      </c>
      <c r="G1190" s="5" t="s">
        <v>69</v>
      </c>
      <c r="H1190" s="38">
        <v>36118.46</v>
      </c>
      <c r="I1190" s="14">
        <v>0</v>
      </c>
      <c r="J1190" s="38">
        <v>36118.46</v>
      </c>
      <c r="K1190" s="5">
        <v>5</v>
      </c>
      <c r="L1190" s="62">
        <f>Table1[[#This Row],[Final_Unit_Price]]*Table1[[#This Row],[Quantity]]</f>
        <v>180592.3</v>
      </c>
      <c r="M1190" s="60">
        <v>63207.3</v>
      </c>
      <c r="N1190" s="43">
        <v>45428</v>
      </c>
      <c r="O1190" s="18" t="str">
        <f>TEXT(Table1[[#This Row],[Order_Date]],"mmm")</f>
        <v>May</v>
      </c>
      <c r="P1190" s="18">
        <f t="shared" si="36"/>
        <v>2024</v>
      </c>
      <c r="Q1190" s="45">
        <v>45434</v>
      </c>
      <c r="R1190" s="19">
        <f>'Cleaned Data'!$Q1190-'Cleaned Data'!$N1190</f>
        <v>6</v>
      </c>
      <c r="S1190" s="19" t="str">
        <f t="shared" si="37"/>
        <v>Summer</v>
      </c>
    </row>
    <row r="1191" spans="1:19" x14ac:dyDescent="0.3">
      <c r="A1191" s="11" t="s">
        <v>1368</v>
      </c>
      <c r="B1191" s="11" t="s">
        <v>27</v>
      </c>
      <c r="C1191" s="3" t="s">
        <v>35</v>
      </c>
      <c r="D1191" s="3" t="s">
        <v>48</v>
      </c>
      <c r="E1191" s="3" t="s">
        <v>58</v>
      </c>
      <c r="F1191" s="3" t="s">
        <v>61</v>
      </c>
      <c r="G1191" s="3" t="s">
        <v>65</v>
      </c>
      <c r="H1191" s="37">
        <v>7580.6</v>
      </c>
      <c r="I1191" s="12">
        <v>0.2</v>
      </c>
      <c r="J1191" s="37">
        <v>6064.48</v>
      </c>
      <c r="K1191" s="3">
        <v>3</v>
      </c>
      <c r="L1191" s="61">
        <f>Table1[[#This Row],[Final_Unit_Price]]*Table1[[#This Row],[Quantity]]</f>
        <v>18193.439999999999</v>
      </c>
      <c r="M1191" s="59">
        <v>4548.3599999999997</v>
      </c>
      <c r="N1191" s="42">
        <v>45778</v>
      </c>
      <c r="O1191" s="20" t="str">
        <f>TEXT(Table1[[#This Row],[Order_Date]],"mmm")</f>
        <v>May</v>
      </c>
      <c r="P1191" s="20">
        <f t="shared" si="36"/>
        <v>2025</v>
      </c>
      <c r="Q1191" s="46">
        <v>45786</v>
      </c>
      <c r="R1191" s="20">
        <f>'Cleaned Data'!$Q1191-'Cleaned Data'!$N1191</f>
        <v>8</v>
      </c>
      <c r="S1191" s="19" t="str">
        <f t="shared" si="37"/>
        <v>Summer</v>
      </c>
    </row>
    <row r="1192" spans="1:19" x14ac:dyDescent="0.3">
      <c r="A1192" s="13" t="s">
        <v>1369</v>
      </c>
      <c r="B1192" s="13" t="s">
        <v>22</v>
      </c>
      <c r="C1192" s="5" t="s">
        <v>31</v>
      </c>
      <c r="D1192" s="5" t="s">
        <v>47</v>
      </c>
      <c r="E1192" s="5" t="s">
        <v>59</v>
      </c>
      <c r="F1192" s="5" t="s">
        <v>62</v>
      </c>
      <c r="G1192" s="5" t="s">
        <v>66</v>
      </c>
      <c r="H1192" s="38">
        <v>4414.79</v>
      </c>
      <c r="I1192" s="14">
        <v>0.1</v>
      </c>
      <c r="J1192" s="38">
        <v>3973.3110000000001</v>
      </c>
      <c r="K1192" s="5">
        <v>5</v>
      </c>
      <c r="L1192" s="62">
        <f>Table1[[#This Row],[Final_Unit_Price]]*Table1[[#This Row],[Quantity]]</f>
        <v>19866.555</v>
      </c>
      <c r="M1192" s="60">
        <v>6953.3</v>
      </c>
      <c r="N1192" s="43">
        <v>45467</v>
      </c>
      <c r="O1192" s="18" t="str">
        <f>TEXT(Table1[[#This Row],[Order_Date]],"mmm")</f>
        <v>Jun</v>
      </c>
      <c r="P1192" s="18">
        <f t="shared" si="36"/>
        <v>2024</v>
      </c>
      <c r="Q1192" s="45">
        <v>45476</v>
      </c>
      <c r="R1192" s="19">
        <f>'Cleaned Data'!$Q1192-'Cleaned Data'!$N1192</f>
        <v>9</v>
      </c>
      <c r="S1192" s="19" t="str">
        <f t="shared" si="37"/>
        <v>Monsoon</v>
      </c>
    </row>
    <row r="1193" spans="1:19" x14ac:dyDescent="0.3">
      <c r="A1193" s="11" t="s">
        <v>1370</v>
      </c>
      <c r="B1193" s="11" t="s">
        <v>23</v>
      </c>
      <c r="C1193" s="3" t="s">
        <v>35</v>
      </c>
      <c r="D1193" s="3" t="s">
        <v>44</v>
      </c>
      <c r="E1193" s="3" t="s">
        <v>60</v>
      </c>
      <c r="F1193" s="3" t="s">
        <v>64</v>
      </c>
      <c r="G1193" s="3" t="s">
        <v>74</v>
      </c>
      <c r="H1193" s="37">
        <v>22524.14</v>
      </c>
      <c r="I1193" s="12">
        <v>0.2</v>
      </c>
      <c r="J1193" s="37">
        <v>18019.312000000002</v>
      </c>
      <c r="K1193" s="3">
        <v>2</v>
      </c>
      <c r="L1193" s="61">
        <f>Table1[[#This Row],[Final_Unit_Price]]*Table1[[#This Row],[Quantity]]</f>
        <v>36038.624000000003</v>
      </c>
      <c r="M1193" s="59">
        <v>5405.79</v>
      </c>
      <c r="N1193" s="42">
        <v>45680</v>
      </c>
      <c r="O1193" s="20" t="str">
        <f>TEXT(Table1[[#This Row],[Order_Date]],"mmm")</f>
        <v>Jan</v>
      </c>
      <c r="P1193" s="20">
        <f t="shared" si="36"/>
        <v>2025</v>
      </c>
      <c r="Q1193" s="46">
        <v>45688</v>
      </c>
      <c r="R1193" s="20">
        <f>'Cleaned Data'!$Q1193-'Cleaned Data'!$N1193</f>
        <v>8</v>
      </c>
      <c r="S1193" s="19" t="str">
        <f t="shared" si="37"/>
        <v>Winter</v>
      </c>
    </row>
    <row r="1194" spans="1:19" x14ac:dyDescent="0.3">
      <c r="A1194" s="13" t="s">
        <v>1371</v>
      </c>
      <c r="B1194" s="13" t="s">
        <v>19</v>
      </c>
      <c r="C1194" s="5" t="s">
        <v>33</v>
      </c>
      <c r="D1194" s="5" t="s">
        <v>38</v>
      </c>
      <c r="E1194" s="5" t="s">
        <v>59</v>
      </c>
      <c r="F1194" s="5" t="s">
        <v>64</v>
      </c>
      <c r="G1194" s="5" t="s">
        <v>76</v>
      </c>
      <c r="H1194" s="38">
        <v>2482.9699999999998</v>
      </c>
      <c r="I1194" s="14">
        <v>0.05</v>
      </c>
      <c r="J1194" s="38">
        <v>2358.8215</v>
      </c>
      <c r="K1194" s="5">
        <v>1</v>
      </c>
      <c r="L1194" s="62">
        <f>Table1[[#This Row],[Final_Unit_Price]]*Table1[[#This Row],[Quantity]]</f>
        <v>2358.8215</v>
      </c>
      <c r="M1194" s="60">
        <v>825.59</v>
      </c>
      <c r="N1194" s="43">
        <v>45672</v>
      </c>
      <c r="O1194" s="18" t="str">
        <f>TEXT(Table1[[#This Row],[Order_Date]],"mmm")</f>
        <v>Jan</v>
      </c>
      <c r="P1194" s="18">
        <f t="shared" si="36"/>
        <v>2025</v>
      </c>
      <c r="Q1194" s="45">
        <v>45682</v>
      </c>
      <c r="R1194" s="19">
        <f>'Cleaned Data'!$Q1194-'Cleaned Data'!$N1194</f>
        <v>10</v>
      </c>
      <c r="S1194" s="19" t="str">
        <f t="shared" si="37"/>
        <v>Winter</v>
      </c>
    </row>
    <row r="1195" spans="1:19" x14ac:dyDescent="0.3">
      <c r="A1195" s="11" t="s">
        <v>1372</v>
      </c>
      <c r="B1195" s="11" t="s">
        <v>19</v>
      </c>
      <c r="C1195" s="3" t="s">
        <v>33</v>
      </c>
      <c r="D1195" s="3" t="s">
        <v>56</v>
      </c>
      <c r="E1195" s="3" t="s">
        <v>60</v>
      </c>
      <c r="F1195" s="3" t="s">
        <v>62</v>
      </c>
      <c r="G1195" s="3" t="s">
        <v>66</v>
      </c>
      <c r="H1195" s="37">
        <v>1810.76</v>
      </c>
      <c r="I1195" s="12">
        <v>0.05</v>
      </c>
      <c r="J1195" s="37">
        <v>1720.222</v>
      </c>
      <c r="K1195" s="3">
        <v>1</v>
      </c>
      <c r="L1195" s="61">
        <f>Table1[[#This Row],[Final_Unit_Price]]*Table1[[#This Row],[Quantity]]</f>
        <v>1720.222</v>
      </c>
      <c r="M1195" s="59">
        <v>258.02999999999997</v>
      </c>
      <c r="N1195" s="42">
        <v>45608</v>
      </c>
      <c r="O1195" s="20" t="str">
        <f>TEXT(Table1[[#This Row],[Order_Date]],"mmm")</f>
        <v>Nov</v>
      </c>
      <c r="P1195" s="20">
        <f t="shared" si="36"/>
        <v>2024</v>
      </c>
      <c r="Q1195" s="46">
        <v>45618</v>
      </c>
      <c r="R1195" s="20">
        <f>'Cleaned Data'!$Q1195-'Cleaned Data'!$N1195</f>
        <v>10</v>
      </c>
      <c r="S1195" s="19" t="str">
        <f t="shared" si="37"/>
        <v>Winter</v>
      </c>
    </row>
    <row r="1196" spans="1:19" x14ac:dyDescent="0.3">
      <c r="A1196" s="13" t="s">
        <v>1373</v>
      </c>
      <c r="B1196" s="13" t="s">
        <v>18</v>
      </c>
      <c r="C1196" s="5" t="s">
        <v>33</v>
      </c>
      <c r="D1196" s="5" t="s">
        <v>57</v>
      </c>
      <c r="E1196" s="5" t="s">
        <v>60</v>
      </c>
      <c r="F1196" s="5" t="s">
        <v>64</v>
      </c>
      <c r="G1196" s="5" t="s">
        <v>72</v>
      </c>
      <c r="H1196" s="38">
        <v>44044.98</v>
      </c>
      <c r="I1196" s="14">
        <v>0.2</v>
      </c>
      <c r="J1196" s="38">
        <v>35235.983999999997</v>
      </c>
      <c r="K1196" s="5">
        <v>1</v>
      </c>
      <c r="L1196" s="62">
        <f>Table1[[#This Row],[Final_Unit_Price]]*Table1[[#This Row],[Quantity]]</f>
        <v>35235.983999999997</v>
      </c>
      <c r="M1196" s="60">
        <v>5285.4</v>
      </c>
      <c r="N1196" s="43">
        <v>45462</v>
      </c>
      <c r="O1196" s="18" t="str">
        <f>TEXT(Table1[[#This Row],[Order_Date]],"mmm")</f>
        <v>Jun</v>
      </c>
      <c r="P1196" s="18">
        <f t="shared" si="36"/>
        <v>2024</v>
      </c>
      <c r="Q1196" s="45">
        <v>45470</v>
      </c>
      <c r="R1196" s="19">
        <f>'Cleaned Data'!$Q1196-'Cleaned Data'!$N1196</f>
        <v>8</v>
      </c>
      <c r="S1196" s="19" t="str">
        <f t="shared" si="37"/>
        <v>Monsoon</v>
      </c>
    </row>
    <row r="1197" spans="1:19" x14ac:dyDescent="0.3">
      <c r="A1197" s="11" t="s">
        <v>1374</v>
      </c>
      <c r="B1197" s="11" t="s">
        <v>18</v>
      </c>
      <c r="C1197" s="3" t="s">
        <v>33</v>
      </c>
      <c r="D1197" s="3" t="s">
        <v>53</v>
      </c>
      <c r="E1197" s="3" t="s">
        <v>58</v>
      </c>
      <c r="F1197" s="3" t="s">
        <v>64</v>
      </c>
      <c r="G1197" s="3" t="s">
        <v>72</v>
      </c>
      <c r="H1197" s="37">
        <v>54612.22</v>
      </c>
      <c r="I1197" s="12">
        <v>0.2</v>
      </c>
      <c r="J1197" s="37">
        <v>43689.776000000013</v>
      </c>
      <c r="K1197" s="3">
        <v>2</v>
      </c>
      <c r="L1197" s="61">
        <f>Table1[[#This Row],[Final_Unit_Price]]*Table1[[#This Row],[Quantity]]</f>
        <v>87379.552000000025</v>
      </c>
      <c r="M1197" s="59">
        <v>21844.89</v>
      </c>
      <c r="N1197" s="42">
        <v>45469</v>
      </c>
      <c r="O1197" s="20" t="str">
        <f>TEXT(Table1[[#This Row],[Order_Date]],"mmm")</f>
        <v>Jun</v>
      </c>
      <c r="P1197" s="20">
        <f t="shared" si="36"/>
        <v>2024</v>
      </c>
      <c r="Q1197" s="46">
        <v>45473</v>
      </c>
      <c r="R1197" s="20">
        <f>'Cleaned Data'!$Q1197-'Cleaned Data'!$N1197</f>
        <v>4</v>
      </c>
      <c r="S1197" s="19" t="str">
        <f t="shared" si="37"/>
        <v>Monsoon</v>
      </c>
    </row>
    <row r="1198" spans="1:19" x14ac:dyDescent="0.3">
      <c r="A1198" s="13" t="s">
        <v>1375</v>
      </c>
      <c r="B1198" s="13" t="s">
        <v>28</v>
      </c>
      <c r="C1198" s="5" t="s">
        <v>34</v>
      </c>
      <c r="D1198" s="5" t="s">
        <v>55</v>
      </c>
      <c r="E1198" s="5" t="s">
        <v>58</v>
      </c>
      <c r="F1198" s="5" t="s">
        <v>63</v>
      </c>
      <c r="G1198" s="5" t="s">
        <v>68</v>
      </c>
      <c r="H1198" s="38">
        <v>1389.71</v>
      </c>
      <c r="I1198" s="14">
        <v>0</v>
      </c>
      <c r="J1198" s="38">
        <v>1389.71</v>
      </c>
      <c r="K1198" s="5">
        <v>2</v>
      </c>
      <c r="L1198" s="62">
        <f>Table1[[#This Row],[Final_Unit_Price]]*Table1[[#This Row],[Quantity]]</f>
        <v>2779.42</v>
      </c>
      <c r="M1198" s="60">
        <v>694.86</v>
      </c>
      <c r="N1198" s="43">
        <v>45790</v>
      </c>
      <c r="O1198" s="18" t="str">
        <f>TEXT(Table1[[#This Row],[Order_Date]],"mmm")</f>
        <v>May</v>
      </c>
      <c r="P1198" s="18">
        <f t="shared" si="36"/>
        <v>2025</v>
      </c>
      <c r="Q1198" s="45">
        <v>45795</v>
      </c>
      <c r="R1198" s="19">
        <f>'Cleaned Data'!$Q1198-'Cleaned Data'!$N1198</f>
        <v>5</v>
      </c>
      <c r="S1198" s="19" t="str">
        <f t="shared" si="37"/>
        <v>Summer</v>
      </c>
    </row>
    <row r="1199" spans="1:19" x14ac:dyDescent="0.3">
      <c r="A1199" s="11" t="s">
        <v>1376</v>
      </c>
      <c r="B1199" s="11" t="s">
        <v>17</v>
      </c>
      <c r="C1199" s="3" t="s">
        <v>32</v>
      </c>
      <c r="D1199" s="3" t="s">
        <v>43</v>
      </c>
      <c r="E1199" s="3" t="s">
        <v>58</v>
      </c>
      <c r="F1199" s="3" t="s">
        <v>63</v>
      </c>
      <c r="G1199" s="3" t="s">
        <v>73</v>
      </c>
      <c r="H1199" s="37">
        <v>7533.25</v>
      </c>
      <c r="I1199" s="12">
        <v>0.25</v>
      </c>
      <c r="J1199" s="37">
        <v>5649.9375</v>
      </c>
      <c r="K1199" s="3">
        <v>5</v>
      </c>
      <c r="L1199" s="61">
        <f>Table1[[#This Row],[Final_Unit_Price]]*Table1[[#This Row],[Quantity]]</f>
        <v>28249.6875</v>
      </c>
      <c r="M1199" s="59">
        <v>7062.42</v>
      </c>
      <c r="N1199" s="42">
        <v>45348</v>
      </c>
      <c r="O1199" s="20" t="str">
        <f>TEXT(Table1[[#This Row],[Order_Date]],"mmm")</f>
        <v>Feb</v>
      </c>
      <c r="P1199" s="20">
        <f t="shared" si="36"/>
        <v>2024</v>
      </c>
      <c r="Q1199" s="46">
        <v>45353</v>
      </c>
      <c r="R1199" s="20">
        <f>'Cleaned Data'!$Q1199-'Cleaned Data'!$N1199</f>
        <v>5</v>
      </c>
      <c r="S1199" s="19" t="str">
        <f t="shared" si="37"/>
        <v>Summer</v>
      </c>
    </row>
    <row r="1200" spans="1:19" x14ac:dyDescent="0.3">
      <c r="A1200" s="13" t="s">
        <v>1377</v>
      </c>
      <c r="B1200" s="13" t="s">
        <v>22</v>
      </c>
      <c r="C1200" s="5" t="s">
        <v>31</v>
      </c>
      <c r="D1200" s="5" t="s">
        <v>47</v>
      </c>
      <c r="E1200" s="5" t="s">
        <v>59</v>
      </c>
      <c r="F1200" s="5" t="s">
        <v>61</v>
      </c>
      <c r="G1200" s="5" t="s">
        <v>70</v>
      </c>
      <c r="H1200" s="38">
        <v>4295.24</v>
      </c>
      <c r="I1200" s="14">
        <v>0.05</v>
      </c>
      <c r="J1200" s="38">
        <v>4080.4780000000001</v>
      </c>
      <c r="K1200" s="5">
        <v>4</v>
      </c>
      <c r="L1200" s="62">
        <f>Table1[[#This Row],[Final_Unit_Price]]*Table1[[#This Row],[Quantity]]</f>
        <v>16321.912</v>
      </c>
      <c r="M1200" s="60">
        <v>5712.67</v>
      </c>
      <c r="N1200" s="43">
        <v>45431</v>
      </c>
      <c r="O1200" s="18" t="str">
        <f>TEXT(Table1[[#This Row],[Order_Date]],"mmm")</f>
        <v>May</v>
      </c>
      <c r="P1200" s="18">
        <f t="shared" si="36"/>
        <v>2024</v>
      </c>
      <c r="Q1200" s="45">
        <v>45441</v>
      </c>
      <c r="R1200" s="19">
        <f>'Cleaned Data'!$Q1200-'Cleaned Data'!$N1200</f>
        <v>10</v>
      </c>
      <c r="S1200" s="19" t="str">
        <f t="shared" si="37"/>
        <v>Summer</v>
      </c>
    </row>
    <row r="1201" spans="1:19" x14ac:dyDescent="0.3">
      <c r="A1201" s="11" t="s">
        <v>1378</v>
      </c>
      <c r="B1201" s="11" t="s">
        <v>23</v>
      </c>
      <c r="C1201" s="3" t="s">
        <v>35</v>
      </c>
      <c r="D1201" s="3" t="s">
        <v>44</v>
      </c>
      <c r="E1201" s="3" t="s">
        <v>60</v>
      </c>
      <c r="F1201" s="3" t="s">
        <v>62</v>
      </c>
      <c r="G1201" s="3" t="s">
        <v>66</v>
      </c>
      <c r="H1201" s="37">
        <v>22650.2</v>
      </c>
      <c r="I1201" s="12">
        <v>0.15</v>
      </c>
      <c r="J1201" s="37">
        <v>19252.669999999998</v>
      </c>
      <c r="K1201" s="3">
        <v>1</v>
      </c>
      <c r="L1201" s="61">
        <f>Table1[[#This Row],[Final_Unit_Price]]*Table1[[#This Row],[Quantity]]</f>
        <v>19252.669999999998</v>
      </c>
      <c r="M1201" s="59">
        <v>2887.9</v>
      </c>
      <c r="N1201" s="42">
        <v>45853</v>
      </c>
      <c r="O1201" s="20" t="str">
        <f>TEXT(Table1[[#This Row],[Order_Date]],"mmm")</f>
        <v>Jul</v>
      </c>
      <c r="P1201" s="20">
        <f t="shared" si="36"/>
        <v>2025</v>
      </c>
      <c r="Q1201" s="46">
        <v>45863</v>
      </c>
      <c r="R1201" s="20">
        <f>'Cleaned Data'!$Q1201-'Cleaned Data'!$N1201</f>
        <v>10</v>
      </c>
      <c r="S1201" s="19" t="str">
        <f t="shared" si="37"/>
        <v>Monsoon</v>
      </c>
    </row>
  </sheetData>
  <dataConsolidate function="count">
    <dataRefs count="1">
      <dataRef ref="A1:A1048576" sheet="Cleaned Data"/>
    </dataRefs>
  </dataConsolidate>
  <dataValidations count="5">
    <dataValidation type="list" allowBlank="1" showInputMessage="1" showErrorMessage="1" errorTitle="Invalid Brand Type" error="Select from the list only" sqref="E2:E1201" xr:uid="{00000000-0002-0000-0200-000000000000}">
      <formula1>"Budget, Standard, Premium"</formula1>
    </dataValidation>
    <dataValidation type="list" allowBlank="1" showInputMessage="1" showErrorMessage="1" errorTitle="Invalid Region" error="Select Region from the list only." sqref="F2:F1201" xr:uid="{00000000-0002-0000-0200-000001000000}">
      <formula1>"East, West, North, South"</formula1>
    </dataValidation>
    <dataValidation type="date" errorStyle="warning" allowBlank="1" showInputMessage="1" showErrorMessage="1" errorTitle="Date Warning!" error="Select the date from the year 2024 to 2025." sqref="N2:N1201" xr:uid="{00000000-0002-0000-0200-000002000000}">
      <formula1>45292</formula1>
      <formula2>46022</formula2>
    </dataValidation>
    <dataValidation type="date" errorStyle="warning" allowBlank="1" showInputMessage="1" showErrorMessage="1" errorTitle="Date Waning!" error="Select the date from the year 2024 to 2025." sqref="Q2:Q1201" xr:uid="{00000000-0002-0000-0200-000003000000}">
      <formula1>45292</formula1>
      <formula2>46022</formula2>
    </dataValidation>
    <dataValidation type="list" allowBlank="1" showInputMessage="1" showErrorMessage="1" errorTitle="Invalid Category" error="Select Category from the list only." sqref="C2:C1201" xr:uid="{00000000-0002-0000-0200-000004000000}">
      <formula1>"Footwear, Furniture, Electronics, Clothing, Home Appliance"</formula1>
    </dataValidation>
  </dataValidation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27"/>
  <sheetViews>
    <sheetView showGridLines="0" workbookViewId="0">
      <selection activeCell="L18" sqref="L18"/>
    </sheetView>
  </sheetViews>
  <sheetFormatPr defaultRowHeight="14.4" x14ac:dyDescent="0.3"/>
  <cols>
    <col min="2" max="2" width="5.44140625" customWidth="1"/>
    <col min="3" max="3" width="9.109375" customWidth="1"/>
    <col min="4" max="4" width="11.109375" customWidth="1"/>
    <col min="5" max="5" width="10.109375" customWidth="1"/>
    <col min="6" max="6" width="10" customWidth="1"/>
    <col min="7" max="7" width="15.5546875" customWidth="1"/>
    <col min="8" max="8" width="9.109375" customWidth="1"/>
    <col min="9" max="9" width="6.88671875" customWidth="1"/>
  </cols>
  <sheetData>
    <row r="2" spans="1:11" ht="15" customHeight="1" x14ac:dyDescent="0.3">
      <c r="A2" s="69"/>
      <c r="B2" s="87" t="s">
        <v>1393</v>
      </c>
      <c r="C2" s="87"/>
      <c r="D2" s="87"/>
      <c r="E2" s="86" t="s">
        <v>1380</v>
      </c>
      <c r="F2" s="86"/>
      <c r="G2" s="87" t="s">
        <v>1381</v>
      </c>
      <c r="H2" s="94" t="str">
        <f>CONCATENATE("O-",E2)</f>
        <v>O-0001</v>
      </c>
      <c r="I2" s="94"/>
    </row>
    <row r="3" spans="1:11" ht="15" customHeight="1" x14ac:dyDescent="0.3">
      <c r="A3" s="7"/>
      <c r="B3" s="87"/>
      <c r="C3" s="87"/>
      <c r="D3" s="87"/>
      <c r="E3" s="86"/>
      <c r="F3" s="86"/>
      <c r="G3" s="88"/>
      <c r="H3" s="94"/>
      <c r="I3" s="94"/>
    </row>
    <row r="4" spans="1:11" ht="15" thickBot="1" x14ac:dyDescent="0.35"/>
    <row r="5" spans="1:11" x14ac:dyDescent="0.3">
      <c r="B5" s="66"/>
      <c r="C5" s="67"/>
      <c r="D5" s="67"/>
      <c r="E5" s="67"/>
      <c r="F5" s="67"/>
      <c r="G5" s="67"/>
      <c r="H5" s="67"/>
      <c r="I5" s="68"/>
      <c r="J5" s="22"/>
      <c r="K5" s="22"/>
    </row>
    <row r="6" spans="1:11" x14ac:dyDescent="0.3">
      <c r="B6" s="75"/>
      <c r="C6" s="76" t="s">
        <v>1386</v>
      </c>
      <c r="D6" s="22" t="str">
        <f>VLOOKUP($H$2,'Cleaned Data'!A:L,3,0)</f>
        <v>Footwear</v>
      </c>
      <c r="E6" s="22"/>
      <c r="F6" s="84" t="s">
        <v>1383</v>
      </c>
      <c r="G6" s="84"/>
      <c r="H6" s="89">
        <f>INDEX('Cleaned Data'!N:N,MATCH($H$2,'Cleaned Data'!A:A,0))</f>
        <v>45521</v>
      </c>
      <c r="I6" s="90"/>
      <c r="J6" s="22"/>
      <c r="K6" s="23"/>
    </row>
    <row r="7" spans="1:11" x14ac:dyDescent="0.3">
      <c r="B7" s="75"/>
      <c r="C7" s="76" t="s">
        <v>1387</v>
      </c>
      <c r="D7" s="93" t="str">
        <f>CONCATENATE(VLOOKUP($H$2,'Cleaned Data'!A:L,4,0)," ","(",VLOOKUP($H$2,'Cleaned Data'!A:L,5,0),")")</f>
        <v>Puma (Standard)</v>
      </c>
      <c r="E7" s="93"/>
      <c r="F7" s="84" t="s">
        <v>1382</v>
      </c>
      <c r="G7" s="84"/>
      <c r="H7" s="89">
        <f>INDEX('Cleaned Data'!Q:Q,MATCH($H$2,'Cleaned Data'!A:A,0))</f>
        <v>45525</v>
      </c>
      <c r="I7" s="90"/>
      <c r="J7" s="22"/>
      <c r="K7" s="23"/>
    </row>
    <row r="8" spans="1:11" x14ac:dyDescent="0.3">
      <c r="B8" s="75"/>
      <c r="C8" s="76" t="s">
        <v>1388</v>
      </c>
      <c r="D8" s="22" t="str">
        <f>VLOOKUP($H$2,'Cleaned Data'!A:L,6,0)</f>
        <v>South</v>
      </c>
      <c r="E8" s="22"/>
      <c r="F8" s="22"/>
      <c r="G8" s="22"/>
      <c r="H8" s="22"/>
      <c r="I8" s="25"/>
      <c r="J8" s="22"/>
      <c r="K8" s="22"/>
    </row>
    <row r="9" spans="1:11" x14ac:dyDescent="0.3">
      <c r="B9" s="75"/>
      <c r="C9" s="76" t="s">
        <v>1389</v>
      </c>
      <c r="D9" s="22" t="str">
        <f>VLOOKUP($H$2,'Cleaned Data'!A:L,7,0)</f>
        <v>Bengaluru</v>
      </c>
      <c r="E9" s="22"/>
      <c r="F9" s="22"/>
      <c r="G9" s="22"/>
      <c r="H9" s="22"/>
      <c r="I9" s="25"/>
      <c r="J9" s="22"/>
      <c r="K9" s="22"/>
    </row>
    <row r="10" spans="1:11" x14ac:dyDescent="0.3">
      <c r="B10" s="24"/>
      <c r="C10" s="22"/>
      <c r="D10" s="22"/>
      <c r="E10" s="22"/>
      <c r="F10" s="22"/>
      <c r="G10" s="22"/>
      <c r="H10" s="22"/>
      <c r="I10" s="25"/>
      <c r="J10" s="22"/>
      <c r="K10" s="22"/>
    </row>
    <row r="11" spans="1:11" ht="15" customHeight="1" x14ac:dyDescent="0.3">
      <c r="B11" s="24"/>
      <c r="C11" s="91" t="s">
        <v>1384</v>
      </c>
      <c r="D11" s="91"/>
      <c r="E11" s="73" t="s">
        <v>1385</v>
      </c>
      <c r="F11" s="73" t="s">
        <v>9</v>
      </c>
      <c r="G11" s="73" t="s">
        <v>1390</v>
      </c>
      <c r="H11" s="22"/>
      <c r="I11" s="25"/>
      <c r="J11" s="22"/>
      <c r="K11" s="22"/>
    </row>
    <row r="12" spans="1:11" x14ac:dyDescent="0.3">
      <c r="B12" s="24"/>
      <c r="C12" s="92" t="str">
        <f>VLOOKUP($H$2,'Cleaned Data'!A:L,2,0)</f>
        <v>Sneakers</v>
      </c>
      <c r="D12" s="92"/>
      <c r="E12" s="71">
        <f>VLOOKUP($H$2,'Cleaned Data'!A:L,8,0)</f>
        <v>2514.6</v>
      </c>
      <c r="F12" s="33">
        <f>VLOOKUP($H$2,'Cleaned Data'!A:L,11,0)</f>
        <v>20</v>
      </c>
      <c r="G12" s="71">
        <f>'Order Record'!E12*'Order Record'!F12</f>
        <v>50292</v>
      </c>
      <c r="H12" s="22"/>
      <c r="I12" s="25"/>
      <c r="J12" s="22"/>
      <c r="K12" s="22"/>
    </row>
    <row r="13" spans="1:11" x14ac:dyDescent="0.3">
      <c r="B13" s="24"/>
      <c r="C13" s="22"/>
      <c r="D13" s="22"/>
      <c r="E13" s="22"/>
      <c r="F13" s="22"/>
      <c r="G13" s="22"/>
      <c r="H13" s="22"/>
      <c r="I13" s="25"/>
      <c r="J13" s="22"/>
      <c r="K13" s="22"/>
    </row>
    <row r="14" spans="1:11" x14ac:dyDescent="0.3">
      <c r="B14" s="24"/>
      <c r="C14" s="22"/>
      <c r="D14" s="22"/>
      <c r="E14" s="74" t="s">
        <v>1391</v>
      </c>
      <c r="F14" s="72">
        <f>INDEX('Cleaned Data'!I:I,MATCH($H$2,'Cleaned Data'!A:A,0))</f>
        <v>0</v>
      </c>
      <c r="G14" s="33">
        <f>G12*F14</f>
        <v>0</v>
      </c>
      <c r="H14" s="22"/>
      <c r="I14" s="25"/>
      <c r="J14" s="22"/>
      <c r="K14" s="22"/>
    </row>
    <row r="15" spans="1:11" x14ac:dyDescent="0.3">
      <c r="B15" s="24"/>
      <c r="C15" s="22"/>
      <c r="D15" s="22"/>
      <c r="E15" s="22"/>
      <c r="F15" s="22"/>
      <c r="G15" s="22"/>
      <c r="H15" s="22"/>
      <c r="I15" s="25"/>
      <c r="J15" s="22"/>
      <c r="K15" s="22"/>
    </row>
    <row r="16" spans="1:11" ht="18" x14ac:dyDescent="0.3">
      <c r="B16" s="24"/>
      <c r="C16" s="22"/>
      <c r="D16" s="22"/>
      <c r="E16" s="85" t="s">
        <v>1392</v>
      </c>
      <c r="F16" s="85"/>
      <c r="G16" s="70">
        <f>G12-G14</f>
        <v>50292</v>
      </c>
      <c r="H16" s="22"/>
      <c r="I16" s="25"/>
      <c r="J16" s="22"/>
      <c r="K16" s="22"/>
    </row>
    <row r="17" spans="2:11" x14ac:dyDescent="0.3">
      <c r="B17" s="24"/>
      <c r="C17" s="22"/>
      <c r="D17" s="22"/>
      <c r="E17" s="81"/>
      <c r="F17" s="81"/>
      <c r="G17" s="81"/>
      <c r="H17" s="81"/>
      <c r="I17" s="25"/>
      <c r="J17" s="22"/>
      <c r="K17" s="22"/>
    </row>
    <row r="18" spans="2:11" x14ac:dyDescent="0.3">
      <c r="B18" s="24"/>
      <c r="C18" s="81" t="str">
        <f>"Your Total amount is Rs. "&amp;G16&amp;" Only."</f>
        <v>Your Total amount is Rs. 50292 Only.</v>
      </c>
      <c r="D18" s="81"/>
      <c r="E18" s="81"/>
      <c r="F18" s="81"/>
      <c r="G18" s="81"/>
      <c r="H18" s="81"/>
      <c r="I18" s="25"/>
      <c r="J18" s="22"/>
      <c r="K18" s="22"/>
    </row>
    <row r="19" spans="2:11" x14ac:dyDescent="0.3">
      <c r="B19" s="24"/>
      <c r="C19" s="22"/>
      <c r="D19" s="22"/>
      <c r="E19" s="82" t="s">
        <v>1394</v>
      </c>
      <c r="F19" s="83"/>
      <c r="G19" s="22"/>
      <c r="H19" s="22"/>
      <c r="I19" s="25"/>
      <c r="J19" s="22"/>
      <c r="K19" s="22"/>
    </row>
    <row r="20" spans="2:11" ht="15" thickBot="1" x14ac:dyDescent="0.35">
      <c r="B20" s="26"/>
      <c r="C20" s="27"/>
      <c r="D20" s="27"/>
      <c r="E20" s="27"/>
      <c r="F20" s="27"/>
      <c r="G20" s="27"/>
      <c r="H20" s="27"/>
      <c r="I20" s="28"/>
      <c r="J20" s="22"/>
      <c r="K20" s="22"/>
    </row>
    <row r="21" spans="2:11" x14ac:dyDescent="0.3">
      <c r="B21" s="22"/>
      <c r="C21" s="22"/>
      <c r="D21" s="22"/>
      <c r="E21" s="22"/>
      <c r="F21" s="22"/>
      <c r="G21" s="22"/>
      <c r="H21" s="22"/>
      <c r="I21" s="22"/>
      <c r="J21" s="22"/>
      <c r="K21" s="22"/>
    </row>
    <row r="22" spans="2:11" x14ac:dyDescent="0.3">
      <c r="B22" s="22"/>
      <c r="C22" s="22"/>
      <c r="D22" s="22"/>
      <c r="E22" s="22"/>
      <c r="F22" s="22"/>
      <c r="G22" s="22"/>
      <c r="H22" s="22"/>
      <c r="I22" s="22"/>
      <c r="J22" s="22"/>
      <c r="K22" s="22"/>
    </row>
    <row r="23" spans="2:11" x14ac:dyDescent="0.3">
      <c r="B23" s="22"/>
      <c r="C23" s="22"/>
      <c r="D23" s="22"/>
      <c r="E23" s="22"/>
      <c r="F23" s="22"/>
      <c r="G23" s="22"/>
      <c r="H23" s="22"/>
      <c r="I23" s="22"/>
      <c r="J23" s="22"/>
      <c r="K23" s="22"/>
    </row>
    <row r="24" spans="2:11" x14ac:dyDescent="0.3">
      <c r="B24" s="22"/>
      <c r="C24" s="22"/>
      <c r="D24" s="22"/>
      <c r="E24" s="22"/>
      <c r="F24" s="22"/>
      <c r="G24" s="22"/>
      <c r="H24" s="22"/>
      <c r="I24" s="22"/>
      <c r="J24" s="22"/>
      <c r="K24" s="22"/>
    </row>
    <row r="25" spans="2:11" x14ac:dyDescent="0.3">
      <c r="B25" s="22"/>
      <c r="C25" s="22"/>
      <c r="D25" s="22"/>
      <c r="E25" s="22"/>
      <c r="F25" s="22"/>
      <c r="G25" s="22"/>
      <c r="H25" s="22"/>
      <c r="I25" s="22"/>
      <c r="J25" s="22"/>
      <c r="K25" s="22"/>
    </row>
    <row r="26" spans="2:11" x14ac:dyDescent="0.3">
      <c r="B26" s="22"/>
      <c r="C26" s="22"/>
      <c r="D26" s="22"/>
      <c r="E26" s="22"/>
      <c r="F26" s="22"/>
      <c r="G26" s="22"/>
      <c r="H26" s="22"/>
      <c r="I26" s="22"/>
      <c r="J26" s="22"/>
      <c r="K26" s="22"/>
    </row>
    <row r="27" spans="2:11" x14ac:dyDescent="0.3">
      <c r="B27" s="22"/>
      <c r="C27" s="22"/>
      <c r="D27" s="22"/>
      <c r="E27" s="22"/>
      <c r="F27" s="22"/>
      <c r="G27" s="22"/>
      <c r="H27" s="22"/>
      <c r="I27" s="22"/>
      <c r="J27" s="22"/>
      <c r="K27" s="22"/>
    </row>
  </sheetData>
  <mergeCells count="15">
    <mergeCell ref="E2:F3"/>
    <mergeCell ref="G2:G3"/>
    <mergeCell ref="B2:D3"/>
    <mergeCell ref="H7:I7"/>
    <mergeCell ref="H6:I6"/>
    <mergeCell ref="D7:E7"/>
    <mergeCell ref="H2:I3"/>
    <mergeCell ref="C18:H18"/>
    <mergeCell ref="E17:H17"/>
    <mergeCell ref="E19:F19"/>
    <mergeCell ref="F6:G6"/>
    <mergeCell ref="F7:G7"/>
    <mergeCell ref="E16:F16"/>
    <mergeCell ref="C11:D11"/>
    <mergeCell ref="C12: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9"/>
  <sheetViews>
    <sheetView workbookViewId="0">
      <selection activeCell="D2" sqref="D2:D6"/>
    </sheetView>
  </sheetViews>
  <sheetFormatPr defaultRowHeight="14.4" x14ac:dyDescent="0.3"/>
  <cols>
    <col min="1" max="1" width="9.5546875" customWidth="1"/>
    <col min="2" max="2" width="26" customWidth="1"/>
    <col min="3" max="3" width="6.88671875" customWidth="1"/>
    <col min="4" max="4" width="15.6640625" customWidth="1"/>
    <col min="5" max="5" width="13.6640625" customWidth="1"/>
    <col min="6" max="6" width="17.33203125" customWidth="1"/>
    <col min="7" max="7" width="12.5546875" bestFit="1" customWidth="1"/>
    <col min="8" max="8" width="11" bestFit="1" customWidth="1"/>
    <col min="9" max="9" width="15.6640625" customWidth="1"/>
    <col min="10" max="10" width="15.44140625" customWidth="1"/>
    <col min="11" max="11" width="15.44140625" bestFit="1" customWidth="1"/>
    <col min="12" max="12" width="13.5546875" customWidth="1"/>
    <col min="13" max="13" width="12.5546875" customWidth="1"/>
    <col min="14" max="14" width="17.88671875" bestFit="1" customWidth="1"/>
    <col min="16" max="16" width="15.6640625" customWidth="1"/>
    <col min="17" max="17" width="17.88671875" customWidth="1"/>
    <col min="18" max="18" width="12.5546875" bestFit="1" customWidth="1"/>
  </cols>
  <sheetData>
    <row r="1" spans="1:18" x14ac:dyDescent="0.3">
      <c r="A1" s="29" t="s">
        <v>167</v>
      </c>
      <c r="B1" t="s">
        <v>153</v>
      </c>
      <c r="D1" s="29" t="s">
        <v>1</v>
      </c>
      <c r="E1" t="s">
        <v>153</v>
      </c>
      <c r="F1" t="s">
        <v>169</v>
      </c>
      <c r="H1" s="29" t="s">
        <v>15</v>
      </c>
      <c r="I1" s="29" t="s">
        <v>1</v>
      </c>
      <c r="J1" t="s">
        <v>166</v>
      </c>
      <c r="L1" s="29" t="s">
        <v>2</v>
      </c>
      <c r="M1" t="s">
        <v>153</v>
      </c>
    </row>
    <row r="2" spans="1:18" x14ac:dyDescent="0.3">
      <c r="A2" t="s">
        <v>159</v>
      </c>
      <c r="B2" s="15">
        <v>2766419.4845000012</v>
      </c>
      <c r="D2" t="s">
        <v>34</v>
      </c>
      <c r="E2" s="15">
        <v>1022503.879</v>
      </c>
      <c r="F2" s="15">
        <v>187590.35000000003</v>
      </c>
      <c r="H2" t="s">
        <v>175</v>
      </c>
      <c r="I2" t="s">
        <v>31</v>
      </c>
      <c r="J2" s="15">
        <v>265</v>
      </c>
      <c r="L2" t="s">
        <v>37</v>
      </c>
      <c r="M2" s="15">
        <v>3769531.5449999999</v>
      </c>
    </row>
    <row r="3" spans="1:18" x14ac:dyDescent="0.3">
      <c r="A3" t="s">
        <v>161</v>
      </c>
      <c r="B3" s="15">
        <v>3168947.8149999995</v>
      </c>
      <c r="D3" t="s">
        <v>33</v>
      </c>
      <c r="E3" s="15">
        <v>8986284.6645</v>
      </c>
      <c r="F3" s="15">
        <v>2328040.21</v>
      </c>
      <c r="H3" t="s">
        <v>175</v>
      </c>
      <c r="I3" t="s">
        <v>32</v>
      </c>
      <c r="J3" s="15">
        <v>203</v>
      </c>
      <c r="L3" t="s">
        <v>43</v>
      </c>
      <c r="M3" s="15">
        <v>3352451.3749999995</v>
      </c>
      <c r="P3" s="29" t="s">
        <v>1</v>
      </c>
      <c r="Q3" t="s">
        <v>153</v>
      </c>
      <c r="R3" t="s">
        <v>169</v>
      </c>
    </row>
    <row r="4" spans="1:18" x14ac:dyDescent="0.3">
      <c r="A4" t="s">
        <v>155</v>
      </c>
      <c r="B4" s="15">
        <v>2836240.1124999998</v>
      </c>
      <c r="C4" s="15"/>
      <c r="D4" t="s">
        <v>31</v>
      </c>
      <c r="E4" s="15">
        <v>1171142.0375000001</v>
      </c>
      <c r="F4" s="15">
        <v>219906.86</v>
      </c>
      <c r="H4" t="s">
        <v>175</v>
      </c>
      <c r="I4" t="s">
        <v>33</v>
      </c>
      <c r="J4" s="15">
        <v>191</v>
      </c>
      <c r="L4" t="s">
        <v>40</v>
      </c>
      <c r="M4" s="15">
        <v>4683633.2399999993</v>
      </c>
      <c r="P4" t="s">
        <v>34</v>
      </c>
      <c r="Q4" s="15">
        <v>1022503.879</v>
      </c>
      <c r="R4" s="15">
        <v>187590.35000000003</v>
      </c>
    </row>
    <row r="5" spans="1:18" x14ac:dyDescent="0.3">
      <c r="A5" t="s">
        <v>165</v>
      </c>
      <c r="B5" s="15">
        <v>2103874.2899999996</v>
      </c>
      <c r="C5" s="15"/>
      <c r="D5" t="s">
        <v>32</v>
      </c>
      <c r="E5" s="15">
        <v>14154979.614999998</v>
      </c>
      <c r="F5" s="15">
        <v>4149124.8999999971</v>
      </c>
      <c r="H5" t="s">
        <v>175</v>
      </c>
      <c r="I5" t="s">
        <v>34</v>
      </c>
      <c r="J5" s="15">
        <v>190</v>
      </c>
      <c r="L5" t="s">
        <v>54</v>
      </c>
      <c r="M5" s="15">
        <v>2349363.4549999996</v>
      </c>
      <c r="P5" t="s">
        <v>33</v>
      </c>
      <c r="Q5" s="15">
        <v>8986284.6645</v>
      </c>
      <c r="R5" s="15">
        <v>2328040.21</v>
      </c>
    </row>
    <row r="6" spans="1:18" x14ac:dyDescent="0.3">
      <c r="A6" t="s">
        <v>157</v>
      </c>
      <c r="B6" s="15">
        <v>3194801.9619999998</v>
      </c>
      <c r="C6" s="15"/>
      <c r="D6" t="s">
        <v>35</v>
      </c>
      <c r="E6" s="15">
        <v>6762788.9804999996</v>
      </c>
      <c r="F6" s="15">
        <v>2003335.5500000007</v>
      </c>
      <c r="H6" t="s">
        <v>175</v>
      </c>
      <c r="I6" t="s">
        <v>35</v>
      </c>
      <c r="J6" s="15">
        <v>142</v>
      </c>
      <c r="L6" t="s">
        <v>38</v>
      </c>
      <c r="M6" s="15">
        <v>3554384.7605000003</v>
      </c>
      <c r="P6" t="s">
        <v>31</v>
      </c>
      <c r="Q6" s="15">
        <v>1171142.0375000001</v>
      </c>
      <c r="R6" s="15">
        <v>219906.86</v>
      </c>
    </row>
    <row r="7" spans="1:18" x14ac:dyDescent="0.3">
      <c r="A7" t="s">
        <v>160</v>
      </c>
      <c r="B7" s="15">
        <v>3059869.6650000005</v>
      </c>
      <c r="C7" s="15"/>
      <c r="H7" t="s">
        <v>176</v>
      </c>
      <c r="I7" t="s">
        <v>32</v>
      </c>
      <c r="J7" s="15">
        <v>232</v>
      </c>
      <c r="P7" t="s">
        <v>32</v>
      </c>
      <c r="Q7" s="15">
        <v>14154979.614999998</v>
      </c>
      <c r="R7" s="15">
        <v>4149124.8999999971</v>
      </c>
    </row>
    <row r="8" spans="1:18" x14ac:dyDescent="0.3">
      <c r="A8" t="s">
        <v>156</v>
      </c>
      <c r="B8" s="15">
        <v>2129915.4490000005</v>
      </c>
      <c r="C8" s="15"/>
      <c r="H8" t="s">
        <v>176</v>
      </c>
      <c r="I8" t="s">
        <v>33</v>
      </c>
      <c r="J8" s="15">
        <v>187</v>
      </c>
      <c r="P8" t="s">
        <v>35</v>
      </c>
      <c r="Q8" s="15">
        <v>6762788.9804999996</v>
      </c>
      <c r="R8" s="15">
        <v>2003335.5500000007</v>
      </c>
    </row>
    <row r="9" spans="1:18" x14ac:dyDescent="0.3">
      <c r="A9" t="s">
        <v>154</v>
      </c>
      <c r="B9" s="15">
        <v>2445305.0640000007</v>
      </c>
      <c r="C9" s="15"/>
      <c r="H9" t="s">
        <v>176</v>
      </c>
      <c r="I9" t="s">
        <v>34</v>
      </c>
      <c r="J9" s="15">
        <v>149</v>
      </c>
    </row>
    <row r="10" spans="1:18" x14ac:dyDescent="0.3">
      <c r="A10" t="s">
        <v>158</v>
      </c>
      <c r="B10" s="15">
        <v>2644540.888499999</v>
      </c>
      <c r="C10" s="15"/>
      <c r="H10" t="s">
        <v>176</v>
      </c>
      <c r="I10" t="s">
        <v>35</v>
      </c>
      <c r="J10" s="15">
        <v>135</v>
      </c>
    </row>
    <row r="11" spans="1:18" x14ac:dyDescent="0.3">
      <c r="A11" t="s">
        <v>164</v>
      </c>
      <c r="B11" s="15">
        <v>3370594.6489999993</v>
      </c>
      <c r="C11" s="15"/>
      <c r="H11" t="s">
        <v>176</v>
      </c>
      <c r="I11" t="s">
        <v>31</v>
      </c>
      <c r="J11" s="15">
        <v>74</v>
      </c>
      <c r="L11" s="29" t="s">
        <v>2</v>
      </c>
      <c r="M11" t="s">
        <v>169</v>
      </c>
    </row>
    <row r="12" spans="1:18" x14ac:dyDescent="0.3">
      <c r="A12" t="s">
        <v>163</v>
      </c>
      <c r="B12" s="15">
        <v>2586855.5285000005</v>
      </c>
      <c r="C12" s="15"/>
      <c r="H12" t="s">
        <v>177</v>
      </c>
      <c r="I12" t="s">
        <v>34</v>
      </c>
      <c r="J12" s="15">
        <v>365</v>
      </c>
      <c r="L12" t="s">
        <v>37</v>
      </c>
      <c r="M12" s="15">
        <v>1319336.02</v>
      </c>
    </row>
    <row r="13" spans="1:18" x14ac:dyDescent="0.3">
      <c r="A13" t="s">
        <v>162</v>
      </c>
      <c r="B13" s="15">
        <v>1790334.2684999995</v>
      </c>
      <c r="C13" s="15"/>
      <c r="E13" s="29" t="s">
        <v>3</v>
      </c>
      <c r="F13" t="s">
        <v>1379</v>
      </c>
      <c r="H13" t="s">
        <v>177</v>
      </c>
      <c r="I13" t="s">
        <v>32</v>
      </c>
      <c r="J13" s="15">
        <v>231</v>
      </c>
      <c r="L13" t="s">
        <v>43</v>
      </c>
      <c r="M13" s="15">
        <v>838112.78999999969</v>
      </c>
    </row>
    <row r="14" spans="1:18" x14ac:dyDescent="0.3">
      <c r="C14" s="15"/>
      <c r="E14" t="s">
        <v>60</v>
      </c>
      <c r="F14" s="15">
        <v>218</v>
      </c>
      <c r="H14" t="s">
        <v>177</v>
      </c>
      <c r="I14" t="s">
        <v>35</v>
      </c>
      <c r="J14" s="15">
        <v>147</v>
      </c>
      <c r="L14" t="s">
        <v>40</v>
      </c>
      <c r="M14" s="15">
        <v>1639271.6</v>
      </c>
    </row>
    <row r="15" spans="1:18" x14ac:dyDescent="0.3">
      <c r="C15" s="15"/>
      <c r="E15" t="s">
        <v>59</v>
      </c>
      <c r="F15" s="15">
        <v>366</v>
      </c>
      <c r="H15" t="s">
        <v>177</v>
      </c>
      <c r="I15" t="s">
        <v>33</v>
      </c>
      <c r="J15" s="15">
        <v>124</v>
      </c>
      <c r="L15" t="s">
        <v>46</v>
      </c>
      <c r="M15" s="15">
        <v>765914.54000000015</v>
      </c>
    </row>
    <row r="16" spans="1:18" x14ac:dyDescent="0.3">
      <c r="A16" s="29" t="s">
        <v>15</v>
      </c>
      <c r="B16" t="s">
        <v>171</v>
      </c>
      <c r="E16" t="s">
        <v>58</v>
      </c>
      <c r="F16" s="15">
        <v>192</v>
      </c>
      <c r="H16" t="s">
        <v>177</v>
      </c>
      <c r="I16" t="s">
        <v>31</v>
      </c>
      <c r="J16" s="15">
        <v>92</v>
      </c>
      <c r="L16" t="s">
        <v>38</v>
      </c>
      <c r="M16" s="15">
        <v>1244034.6100000003</v>
      </c>
    </row>
    <row r="17" spans="1:2" x14ac:dyDescent="0.3">
      <c r="A17" t="s">
        <v>175</v>
      </c>
      <c r="B17" s="48">
        <v>6.1913357400722022</v>
      </c>
    </row>
    <row r="18" spans="1:2" x14ac:dyDescent="0.3">
      <c r="A18" t="s">
        <v>176</v>
      </c>
      <c r="B18" s="48">
        <v>5.8818897637795278</v>
      </c>
    </row>
    <row r="19" spans="1:2" x14ac:dyDescent="0.3">
      <c r="A19" t="s">
        <v>177</v>
      </c>
      <c r="B19" s="48">
        <v>5.963265306122449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28"/>
  <sheetViews>
    <sheetView showGridLines="0" zoomScale="103" zoomScaleNormal="103" workbookViewId="0">
      <selection activeCell="H58" sqref="H58"/>
    </sheetView>
  </sheetViews>
  <sheetFormatPr defaultRowHeight="14.4" x14ac:dyDescent="0.3"/>
  <cols>
    <col min="1" max="1" width="4.44140625" customWidth="1"/>
    <col min="2" max="2" width="20.6640625" customWidth="1"/>
    <col min="3" max="3" width="13.88671875" customWidth="1"/>
    <col min="4" max="4" width="18.5546875" customWidth="1"/>
    <col min="5" max="5" width="14" customWidth="1"/>
    <col min="6" max="6" width="23.44140625" customWidth="1"/>
    <col min="7" max="7" width="13.44140625" customWidth="1"/>
    <col min="8" max="8" width="21.6640625" customWidth="1"/>
    <col min="9" max="9" width="17" customWidth="1"/>
    <col min="10" max="10" width="29.109375" customWidth="1"/>
    <col min="11" max="11" width="4.88671875" customWidth="1"/>
    <col min="12" max="12" width="12.5546875" style="6" customWidth="1"/>
    <col min="13" max="13" width="5.5546875" style="6" customWidth="1"/>
    <col min="14" max="16" width="9.109375" style="6"/>
    <col min="17" max="17" width="6" style="6" customWidth="1"/>
    <col min="18" max="20" width="9.109375" style="6"/>
    <col min="21" max="21" width="4.5546875" customWidth="1"/>
  </cols>
  <sheetData>
    <row r="1" spans="1:22" ht="15" customHeight="1" x14ac:dyDescent="0.3">
      <c r="A1" s="95" t="s">
        <v>152</v>
      </c>
      <c r="B1" s="96"/>
      <c r="C1" s="96"/>
      <c r="D1" s="96"/>
      <c r="E1" s="96"/>
      <c r="F1" s="96"/>
      <c r="G1" s="96"/>
      <c r="H1" s="96"/>
      <c r="I1" s="96"/>
      <c r="J1" s="96"/>
      <c r="K1" s="96"/>
      <c r="L1" s="55"/>
      <c r="M1" s="55"/>
      <c r="N1" s="55"/>
      <c r="O1" s="56"/>
      <c r="P1" s="56"/>
      <c r="Q1" s="56"/>
      <c r="R1" s="56"/>
      <c r="S1" s="56"/>
      <c r="T1" s="56"/>
      <c r="U1" s="49"/>
      <c r="V1" s="22"/>
    </row>
    <row r="2" spans="1:22" ht="15" customHeight="1" x14ac:dyDescent="0.3">
      <c r="A2" s="97"/>
      <c r="B2" s="98"/>
      <c r="C2" s="98"/>
      <c r="D2" s="98"/>
      <c r="E2" s="98"/>
      <c r="F2" s="98"/>
      <c r="G2" s="98"/>
      <c r="H2" s="98"/>
      <c r="I2" s="98"/>
      <c r="J2" s="98"/>
      <c r="K2" s="98"/>
      <c r="L2" s="55"/>
      <c r="M2" s="55"/>
      <c r="N2" s="55"/>
      <c r="O2" s="56"/>
      <c r="P2" s="56"/>
      <c r="Q2" s="56"/>
      <c r="R2" s="56"/>
      <c r="S2" s="56"/>
      <c r="T2" s="56"/>
      <c r="U2" s="49"/>
      <c r="V2" s="22"/>
    </row>
    <row r="3" spans="1:22" ht="15" customHeight="1" x14ac:dyDescent="0.3">
      <c r="A3" s="97"/>
      <c r="B3" s="98"/>
      <c r="C3" s="98"/>
      <c r="D3" s="98"/>
      <c r="E3" s="98"/>
      <c r="F3" s="98"/>
      <c r="G3" s="98"/>
      <c r="H3" s="98"/>
      <c r="I3" s="98"/>
      <c r="J3" s="98"/>
      <c r="K3" s="98"/>
      <c r="L3" s="55"/>
      <c r="M3" s="55"/>
      <c r="N3" s="55"/>
      <c r="O3" s="56"/>
      <c r="P3" s="56"/>
      <c r="Q3" s="56"/>
      <c r="R3" s="56"/>
      <c r="S3" s="56"/>
      <c r="T3" s="56"/>
      <c r="U3" s="49"/>
      <c r="V3" s="22"/>
    </row>
    <row r="4" spans="1:22" x14ac:dyDescent="0.3">
      <c r="A4" s="24"/>
      <c r="E4" s="22"/>
      <c r="F4" s="30"/>
      <c r="G4" s="30"/>
      <c r="H4" s="30"/>
      <c r="I4" s="22"/>
      <c r="J4" s="30"/>
      <c r="K4" s="30"/>
      <c r="L4" s="57"/>
      <c r="M4" s="58"/>
      <c r="N4" s="57"/>
      <c r="O4" s="57"/>
      <c r="P4" s="57"/>
      <c r="Q4" s="58"/>
      <c r="R4" s="57"/>
      <c r="S4" s="57"/>
      <c r="T4" s="57"/>
      <c r="U4" s="22"/>
      <c r="V4" s="22"/>
    </row>
    <row r="5" spans="1:22" ht="18" x14ac:dyDescent="0.3">
      <c r="A5" s="24"/>
      <c r="B5" s="50" t="s">
        <v>168</v>
      </c>
      <c r="C5" s="15"/>
      <c r="D5" s="52" t="s">
        <v>170</v>
      </c>
      <c r="E5" s="22"/>
      <c r="F5" s="52" t="s">
        <v>174</v>
      </c>
      <c r="H5" s="52" t="s">
        <v>173</v>
      </c>
      <c r="J5" s="52" t="s">
        <v>172</v>
      </c>
      <c r="L5" s="58"/>
      <c r="M5" s="58"/>
      <c r="N5" s="57"/>
      <c r="O5" s="57"/>
      <c r="P5" s="57"/>
      <c r="Q5" s="58"/>
      <c r="R5" s="57"/>
      <c r="S5" s="57"/>
      <c r="T5" s="57"/>
      <c r="U5" s="22"/>
      <c r="V5" s="22"/>
    </row>
    <row r="6" spans="1:22" ht="18" x14ac:dyDescent="0.3">
      <c r="A6" s="24"/>
      <c r="B6" s="51">
        <v>32097699.176500004</v>
      </c>
      <c r="C6" s="30"/>
      <c r="D6" s="51">
        <v>8887997.8699999955</v>
      </c>
      <c r="E6" s="22"/>
      <c r="F6" s="53">
        <v>2727</v>
      </c>
      <c r="H6" s="54">
        <v>0.1532216494845359</v>
      </c>
      <c r="J6" s="53">
        <v>6.018041237113402</v>
      </c>
      <c r="L6" s="58"/>
      <c r="M6" s="58"/>
      <c r="N6" s="57"/>
      <c r="O6" s="57"/>
      <c r="P6" s="57"/>
      <c r="Q6" s="58"/>
      <c r="R6" s="57"/>
      <c r="S6" s="57"/>
      <c r="T6" s="57"/>
      <c r="U6" s="22"/>
      <c r="V6" s="22"/>
    </row>
    <row r="7" spans="1:22" x14ac:dyDescent="0.3">
      <c r="A7" s="24"/>
      <c r="B7" s="30"/>
      <c r="C7" s="30"/>
      <c r="D7" s="30"/>
      <c r="E7" s="22"/>
      <c r="I7" s="22"/>
      <c r="L7" s="58"/>
      <c r="M7" s="58"/>
      <c r="N7" s="57"/>
      <c r="O7" s="57"/>
      <c r="P7" s="57"/>
      <c r="Q7" s="58"/>
      <c r="R7" s="57"/>
      <c r="S7" s="57"/>
      <c r="T7" s="57"/>
      <c r="U7" s="22"/>
      <c r="V7" s="22"/>
    </row>
    <row r="8" spans="1:22" x14ac:dyDescent="0.3">
      <c r="A8" s="24"/>
      <c r="B8" s="22"/>
      <c r="C8" s="22"/>
      <c r="D8" s="22"/>
      <c r="E8" s="22"/>
      <c r="I8" s="22"/>
      <c r="L8" s="58"/>
      <c r="M8" s="58"/>
      <c r="N8" s="58"/>
      <c r="O8" s="58"/>
      <c r="P8" s="58"/>
      <c r="Q8" s="58"/>
      <c r="R8" s="58"/>
      <c r="S8" s="58"/>
      <c r="T8" s="58"/>
      <c r="U8" s="22"/>
      <c r="V8" s="22"/>
    </row>
    <row r="9" spans="1:22" x14ac:dyDescent="0.3">
      <c r="A9" s="24"/>
      <c r="B9" s="22"/>
      <c r="C9" s="22"/>
      <c r="D9" s="22"/>
      <c r="E9" s="22"/>
      <c r="I9" s="22"/>
      <c r="L9" s="58"/>
      <c r="M9" s="58"/>
      <c r="N9" s="58"/>
      <c r="O9" s="58"/>
      <c r="P9" s="58"/>
      <c r="Q9" s="58"/>
      <c r="R9" s="58"/>
      <c r="S9" s="58"/>
      <c r="T9" s="58"/>
      <c r="U9" s="22"/>
      <c r="V9" s="22"/>
    </row>
    <row r="10" spans="1:22" x14ac:dyDescent="0.3">
      <c r="A10" s="24"/>
      <c r="B10" s="30"/>
      <c r="C10" s="30"/>
      <c r="D10" s="30"/>
      <c r="E10" s="30"/>
      <c r="I10" s="22"/>
      <c r="L10" s="58"/>
      <c r="M10" s="58"/>
      <c r="N10" s="57"/>
      <c r="O10" s="57"/>
      <c r="P10" s="57"/>
      <c r="Q10" s="57"/>
      <c r="R10" s="57"/>
      <c r="S10" s="57"/>
      <c r="T10" s="57"/>
      <c r="U10" s="22"/>
      <c r="V10" s="22"/>
    </row>
    <row r="11" spans="1:22" x14ac:dyDescent="0.3">
      <c r="A11" s="24"/>
      <c r="B11" s="30"/>
      <c r="C11" s="30"/>
      <c r="D11" s="30"/>
      <c r="E11" s="30"/>
      <c r="I11" s="22"/>
      <c r="L11" s="58"/>
      <c r="M11" s="58"/>
      <c r="N11" s="58"/>
      <c r="O11" s="57"/>
      <c r="P11" s="57"/>
      <c r="Q11" s="57"/>
      <c r="R11" s="57"/>
      <c r="S11" s="57"/>
      <c r="T11" s="57"/>
      <c r="U11" s="22"/>
      <c r="V11" s="22"/>
    </row>
    <row r="12" spans="1:22" x14ac:dyDescent="0.3">
      <c r="A12" s="24"/>
      <c r="B12" s="30"/>
      <c r="C12" s="30"/>
      <c r="D12" s="30"/>
      <c r="E12" s="30"/>
      <c r="I12" s="22"/>
      <c r="L12" s="58"/>
      <c r="M12" s="58"/>
      <c r="N12" s="58"/>
      <c r="O12" s="57"/>
      <c r="P12" s="57"/>
      <c r="Q12" s="57"/>
      <c r="R12" s="57"/>
      <c r="S12" s="57"/>
      <c r="T12" s="57"/>
      <c r="U12" s="22"/>
      <c r="V12" s="22"/>
    </row>
    <row r="13" spans="1:22" x14ac:dyDescent="0.3">
      <c r="A13" s="24"/>
      <c r="B13" s="30"/>
      <c r="C13" s="30"/>
      <c r="D13" s="30"/>
      <c r="E13" s="30"/>
      <c r="I13" s="22"/>
      <c r="L13" s="58"/>
      <c r="M13" s="58"/>
      <c r="N13" s="58"/>
      <c r="O13" s="57"/>
      <c r="P13" s="57"/>
      <c r="Q13" s="57"/>
      <c r="R13" s="57"/>
      <c r="S13" s="57"/>
      <c r="T13" s="57"/>
      <c r="U13" s="22"/>
      <c r="V13" s="22"/>
    </row>
    <row r="14" spans="1:22" x14ac:dyDescent="0.3">
      <c r="A14" s="24"/>
      <c r="B14" s="30"/>
      <c r="C14" s="30"/>
      <c r="D14" s="30"/>
      <c r="E14" s="30"/>
      <c r="I14" s="22"/>
      <c r="L14" s="58"/>
      <c r="M14" s="58"/>
      <c r="N14" s="58"/>
      <c r="O14" s="57"/>
      <c r="P14" s="57"/>
      <c r="Q14" s="57"/>
      <c r="R14" s="57"/>
      <c r="S14" s="57"/>
      <c r="T14" s="57"/>
      <c r="U14" s="22"/>
      <c r="V14" s="22"/>
    </row>
    <row r="15" spans="1:22" x14ac:dyDescent="0.3">
      <c r="A15" s="24"/>
      <c r="B15" s="30"/>
      <c r="C15" s="30"/>
      <c r="D15" s="30"/>
      <c r="E15" s="30"/>
      <c r="I15" s="22"/>
      <c r="L15" s="58"/>
      <c r="M15" s="58"/>
      <c r="N15" s="58"/>
      <c r="O15" s="57"/>
      <c r="P15" s="57"/>
      <c r="Q15" s="57"/>
      <c r="R15" s="57"/>
      <c r="S15" s="57"/>
      <c r="T15" s="57"/>
      <c r="U15" s="22"/>
      <c r="V15" s="22"/>
    </row>
    <row r="16" spans="1:22" x14ac:dyDescent="0.3">
      <c r="A16" s="24"/>
      <c r="B16" s="30"/>
      <c r="C16" s="30"/>
      <c r="D16" s="30"/>
      <c r="E16" s="30"/>
      <c r="I16" s="22"/>
      <c r="L16" s="58"/>
      <c r="M16" s="58"/>
      <c r="N16" s="58"/>
      <c r="O16" s="57"/>
      <c r="P16" s="57"/>
      <c r="Q16" s="57"/>
      <c r="R16" s="57"/>
      <c r="S16" s="57"/>
      <c r="T16" s="57"/>
      <c r="U16" s="22"/>
      <c r="V16" s="22"/>
    </row>
    <row r="17" spans="1:22" x14ac:dyDescent="0.3">
      <c r="A17" s="24"/>
      <c r="B17" s="30"/>
      <c r="C17" s="30"/>
      <c r="D17" s="30"/>
      <c r="E17" s="30"/>
      <c r="I17" s="22"/>
      <c r="L17" s="58"/>
      <c r="M17" s="58"/>
      <c r="N17" s="58"/>
      <c r="O17" s="57"/>
      <c r="P17" s="57"/>
      <c r="Q17" s="57"/>
      <c r="R17" s="57"/>
      <c r="S17" s="57"/>
      <c r="T17" s="57"/>
      <c r="U17" s="22"/>
      <c r="V17" s="22"/>
    </row>
    <row r="18" spans="1:22" x14ac:dyDescent="0.3">
      <c r="A18" s="24"/>
      <c r="B18" s="30"/>
      <c r="C18" s="30"/>
      <c r="D18" s="30"/>
      <c r="E18" s="30"/>
      <c r="I18" s="22"/>
      <c r="L18" s="58"/>
      <c r="M18" s="58"/>
      <c r="N18" s="58"/>
      <c r="O18" s="57"/>
      <c r="P18" s="57"/>
      <c r="Q18" s="57"/>
      <c r="R18" s="57"/>
      <c r="S18" s="57"/>
      <c r="T18" s="57"/>
      <c r="U18" s="22"/>
      <c r="V18" s="22"/>
    </row>
    <row r="19" spans="1:22" x14ac:dyDescent="0.3">
      <c r="A19" s="24"/>
      <c r="B19" s="30"/>
      <c r="C19" s="30"/>
      <c r="D19" s="30"/>
      <c r="E19" s="30"/>
      <c r="I19" s="22"/>
      <c r="L19" s="58"/>
      <c r="M19" s="58"/>
      <c r="N19" s="58"/>
      <c r="O19" s="57"/>
      <c r="P19" s="57"/>
      <c r="Q19" s="57"/>
      <c r="R19" s="57"/>
      <c r="S19" s="57"/>
      <c r="T19" s="57"/>
      <c r="U19" s="22"/>
      <c r="V19" s="22"/>
    </row>
    <row r="20" spans="1:22" x14ac:dyDescent="0.3">
      <c r="A20" s="24"/>
      <c r="B20" s="30"/>
      <c r="C20" s="30"/>
      <c r="D20" s="30"/>
      <c r="E20" s="30"/>
      <c r="I20" s="22"/>
      <c r="L20" s="58"/>
      <c r="M20" s="58"/>
      <c r="N20" s="58"/>
      <c r="O20" s="57"/>
      <c r="P20" s="57"/>
      <c r="Q20" s="57"/>
      <c r="R20" s="57"/>
      <c r="S20" s="57"/>
      <c r="T20" s="57"/>
      <c r="U20" s="22"/>
      <c r="V20" s="22"/>
    </row>
    <row r="21" spans="1:22" x14ac:dyDescent="0.3">
      <c r="A21" s="24"/>
      <c r="B21" s="22"/>
      <c r="C21" s="22"/>
      <c r="D21" s="22"/>
      <c r="E21" s="22"/>
      <c r="I21" s="22"/>
      <c r="L21" s="58"/>
      <c r="M21" s="58"/>
      <c r="N21" s="58"/>
      <c r="O21" s="58"/>
      <c r="P21" s="58"/>
      <c r="Q21" s="58"/>
      <c r="R21" s="58"/>
      <c r="S21" s="58"/>
      <c r="T21" s="58"/>
      <c r="U21" s="22"/>
      <c r="V21" s="22"/>
    </row>
    <row r="22" spans="1:22" x14ac:dyDescent="0.3">
      <c r="A22" s="24"/>
      <c r="B22" s="22"/>
      <c r="C22" s="22"/>
      <c r="D22" s="22"/>
      <c r="E22" s="22"/>
      <c r="I22" s="22"/>
      <c r="L22" s="58"/>
      <c r="M22" s="58"/>
      <c r="N22" s="58"/>
      <c r="O22" s="58"/>
      <c r="P22" s="58"/>
      <c r="Q22" s="58"/>
      <c r="R22" s="58"/>
      <c r="S22" s="58"/>
      <c r="T22" s="58"/>
      <c r="U22" s="22"/>
      <c r="V22" s="22"/>
    </row>
    <row r="23" spans="1:22" x14ac:dyDescent="0.3">
      <c r="A23" s="24"/>
      <c r="B23" s="22"/>
      <c r="C23" s="22"/>
      <c r="D23" s="22"/>
      <c r="E23" s="22"/>
      <c r="F23" s="22"/>
      <c r="G23" s="22"/>
      <c r="H23" s="22"/>
      <c r="I23" s="22"/>
      <c r="L23" s="58"/>
      <c r="M23" s="58"/>
      <c r="N23" s="58"/>
      <c r="O23" s="58"/>
      <c r="P23" s="58"/>
      <c r="Q23" s="58"/>
      <c r="R23" s="58"/>
      <c r="S23" s="58"/>
      <c r="T23" s="58"/>
      <c r="U23" s="22"/>
      <c r="V23" s="22"/>
    </row>
    <row r="24" spans="1:22" x14ac:dyDescent="0.3">
      <c r="A24" s="24"/>
      <c r="B24" s="22"/>
      <c r="C24" s="22"/>
      <c r="D24" s="22"/>
      <c r="E24" s="22"/>
      <c r="F24" s="22"/>
      <c r="G24" s="22"/>
      <c r="H24" s="22"/>
      <c r="I24" s="22"/>
      <c r="L24" s="58"/>
      <c r="M24" s="58"/>
      <c r="N24" s="58"/>
      <c r="O24" s="58"/>
      <c r="P24" s="58"/>
      <c r="Q24" s="58"/>
      <c r="R24" s="58"/>
      <c r="S24" s="58"/>
      <c r="T24" s="58"/>
      <c r="U24" s="22"/>
      <c r="V24" s="22"/>
    </row>
    <row r="25" spans="1:22" x14ac:dyDescent="0.3">
      <c r="A25" s="24"/>
      <c r="B25" s="22"/>
      <c r="C25" s="22"/>
      <c r="D25" s="22"/>
      <c r="E25" s="22"/>
      <c r="F25" s="22"/>
      <c r="G25" s="22"/>
      <c r="H25" s="22"/>
      <c r="I25" s="22"/>
      <c r="L25" s="58"/>
      <c r="M25" s="58"/>
      <c r="N25" s="58"/>
      <c r="O25" s="58"/>
      <c r="P25" s="58"/>
      <c r="Q25" s="58"/>
      <c r="R25" s="58"/>
      <c r="S25" s="58"/>
      <c r="T25" s="58"/>
      <c r="U25" s="22"/>
      <c r="V25" s="22"/>
    </row>
    <row r="26" spans="1:22" x14ac:dyDescent="0.3">
      <c r="A26" s="24"/>
      <c r="B26" s="22"/>
      <c r="C26" s="22"/>
      <c r="D26" s="22"/>
      <c r="E26" s="22"/>
      <c r="F26" s="22"/>
      <c r="G26" s="22"/>
      <c r="H26" s="22"/>
      <c r="I26" s="22"/>
      <c r="L26" s="58"/>
      <c r="M26" s="58"/>
      <c r="N26" s="58"/>
      <c r="O26" s="58"/>
      <c r="P26" s="58"/>
      <c r="Q26" s="58"/>
      <c r="R26" s="58"/>
      <c r="S26" s="58"/>
      <c r="T26" s="58"/>
      <c r="U26" s="22"/>
      <c r="V26" s="22"/>
    </row>
    <row r="27" spans="1:22" x14ac:dyDescent="0.3">
      <c r="A27" s="24"/>
      <c r="B27" s="22"/>
      <c r="C27" s="22"/>
      <c r="D27" s="22"/>
      <c r="E27" s="22"/>
      <c r="F27" s="22"/>
      <c r="G27" s="22"/>
      <c r="H27" s="22"/>
      <c r="I27" s="22"/>
      <c r="L27" s="58"/>
      <c r="M27" s="58"/>
      <c r="N27" s="58"/>
      <c r="O27" s="58"/>
      <c r="P27" s="58"/>
      <c r="Q27" s="58"/>
      <c r="R27" s="58"/>
      <c r="S27" s="58"/>
      <c r="T27" s="58"/>
      <c r="U27" s="22"/>
      <c r="V27" s="22"/>
    </row>
    <row r="28" spans="1:22" x14ac:dyDescent="0.3">
      <c r="A28" s="24"/>
      <c r="B28" s="22"/>
      <c r="C28" s="22"/>
      <c r="D28" s="22"/>
      <c r="E28" s="22"/>
      <c r="F28" s="22"/>
      <c r="G28" s="22"/>
      <c r="H28" s="22"/>
      <c r="I28" s="22"/>
      <c r="L28" s="58"/>
      <c r="M28" s="58"/>
      <c r="N28" s="58"/>
      <c r="O28" s="58"/>
      <c r="P28" s="58"/>
      <c r="Q28" s="58"/>
      <c r="R28" s="58"/>
      <c r="S28" s="58"/>
      <c r="T28" s="58"/>
      <c r="U28" s="22"/>
      <c r="V28" s="22"/>
    </row>
  </sheetData>
  <mergeCells count="1">
    <mergeCell ref="A1:K3"/>
  </mergeCells>
  <pageMargins left="0.7" right="0.7" top="0.75" bottom="0.75" header="0.3" footer="0.3"/>
  <pageSetup scale="51" fitToHeight="0"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Raw Data</vt:lpstr>
      <vt:lpstr>Sheet1</vt:lpstr>
      <vt:lpstr>Master Table</vt:lpstr>
      <vt:lpstr>Cleaned Data</vt:lpstr>
      <vt:lpstr>Order Record</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Yash Patil</cp:lastModifiedBy>
  <dcterms:created xsi:type="dcterms:W3CDTF">2025-08-15T13:24:06Z</dcterms:created>
  <dcterms:modified xsi:type="dcterms:W3CDTF">2025-09-02T07:38:34Z</dcterms:modified>
</cp:coreProperties>
</file>